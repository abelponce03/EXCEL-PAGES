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GUIA_USO" sheetId="2" state="visible" r:id="rId2"/>
    <sheet xmlns:r="http://schemas.openxmlformats.org/officeDocument/2006/relationships" name="ANALISIS" sheetId="3" state="visible" r:id="rId3"/>
    <sheet xmlns:r="http://schemas.openxmlformats.org/officeDocument/2006/relationships" name="DASHBOARD" sheetId="4" state="visible" r:id="rId4"/>
    <sheet xmlns:r="http://schemas.openxmlformats.org/officeDocument/2006/relationships" name="ENTRADA" sheetId="5" state="visible" r:id="rId5"/>
    <sheet xmlns:r="http://schemas.openxmlformats.org/officeDocument/2006/relationships" name="PARAMETROS" sheetId="6" state="visible" r:id="rId6"/>
    <sheet xmlns:r="http://schemas.openxmlformats.org/officeDocument/2006/relationships" name="PRECIOS" sheetId="7" state="visible" r:id="rId7"/>
    <sheet xmlns:r="http://schemas.openxmlformats.org/officeDocument/2006/relationships" name="ACTIVOS" sheetId="8" state="visible" r:id="rId8"/>
    <sheet xmlns:r="http://schemas.openxmlformats.org/officeDocument/2006/relationships" name="COSTOS_FIJOS" sheetId="9" state="visible" r:id="rId9"/>
    <sheet xmlns:r="http://schemas.openxmlformats.org/officeDocument/2006/relationships" name="COMERCIAL" sheetId="10" state="visible" r:id="rId10"/>
    <sheet xmlns:r="http://schemas.openxmlformats.org/officeDocument/2006/relationships" name="CALCULO" sheetId="11" state="visible" r:id="rId11"/>
    <sheet xmlns:r="http://schemas.openxmlformats.org/officeDocument/2006/relationships" name="RESUMEN_MES" sheetId="12" state="visible" r:id="rId12"/>
    <sheet xmlns:r="http://schemas.openxmlformats.org/officeDocument/2006/relationships" name="SIMULADOR" sheetId="13" state="visible" r:id="rId13"/>
    <sheet xmlns:r="http://schemas.openxmlformats.org/officeDocument/2006/relationships" name="LISTAS" sheetId="14" state="visible" r:id="rId14"/>
  </sheets>
  <definedNames>
    <definedName name="L_Transitaria">LISTAS!$A$5:$A$7</definedName>
    <definedName name="L_Region">LISTAS!$B$5:$B$7</definedName>
    <definedName name="L_SiNo">LISTAS!$C$5:$C$6</definedName>
    <definedName name="L_Prorrateo">LISTAS!$D$5:$D$6</definedName>
    <definedName name="L_BaseCom">LISTAS!$E$5:$E$6</definedName>
    <definedName name="L_Estado">LISTAS!$F$5:$F$6</definedName>
    <definedName name="L_TipoCont">LISTAS!$G$5:$G$8</definedName>
    <definedName name="L_Grupo">LISTAS!$H$5:$H$6</definedName>
    <definedName name="L_Centro">LISTAS!$I$5:$I$8</definedName>
    <definedName name="L_Elemento">LISTAS!$J$5:$J$10</definedName>
    <definedName name="L_TipoActivo">LISTAS!$K$5:$K$7</definedName>
    <definedName name="L_Territorio">LISTAS!$L$5:$L$21</definedName>
    <definedName name="L_TerrRegion">LISTAS!$M$5:$M$21</definedName>
    <definedName name="Empresa">PARAMETROS!$C$6</definedName>
    <definedName name="Fecha_Inicio">PARAMETROS!$C$7</definedName>
    <definedName name="Metodo_Prorrateo">PARAMETROS!$C$8</definedName>
    <definedName name="Base_Comision">PARAMETROS!$C$9</definedName>
    <definedName name="Tolerancia_Comb">PARAMETROS!$C$10</definedName>
    <definedName name="Mes_Corte">PARAMETROS!$C$11</definedName>
    <definedName name="Std_Viajes_Puerto">PARAMETROS!$C$13</definedName>
    <definedName name="Litros_Puerto_Viaje">PARAMETROS!$C$14</definedName>
    <definedName name="Km_Puerto_Viaje">PARAMETROS!$C$15</definedName>
    <definedName name="Rend_Desagrupe">PARAMETROS!$C$16</definedName>
    <definedName name="Rend_Desagrupe_CT">PARAMETROS!$C$17</definedName>
    <definedName name="Cap_Camion_OCC">PARAMETROS!$C$18</definedName>
    <definedName name="Cap_Camion_CEN">PARAMETROS!$C$19</definedName>
    <definedName name="Cap_Camion_ORI">PARAMETROS!$C$20</definedName>
    <definedName name="L_Dist_OCC">PARAMETROS!$C$21</definedName>
    <definedName name="L_Tras_CEN">PARAMETROS!$C$22</definedName>
    <definedName name="L_Dist_CEN">PARAMETROS!$C$23</definedName>
    <definedName name="L_Tras_ORI">PARAMETROS!$C$24</definedName>
    <definedName name="L_Dist_ORI">PARAMETROS!$C$25</definedName>
    <definedName name="Pct_Reclamaciones">PARAMETROS!$C$27</definedName>
    <definedName name="Pct_Banco">PARAMETROS!$C$28</definedName>
    <definedName name="Imp_Ventas_Serv">PARAMETROS!$C$30</definedName>
    <definedName name="Contrib_Territorial">PARAMETROS!$C$31</definedName>
    <definedName name="Contrib_SS">PARAMETROS!$C$32</definedName>
    <definedName name="Imp_Fuerza_Trabajo">PARAMETROS!$C$33</definedName>
    <definedName name="Imp_Utilidades">PARAMETROS!$C$34</definedName>
    <definedName name="_xlnm._FilterDatabase" localSheetId="4" hidden="1">'ENTRADA'!$A$5:$AC$305</definedName>
    <definedName name="_xlnm._FilterDatabase" localSheetId="10" hidden="1">'CALCULO'!$A$5:$CT$305</definedName>
  </definedNames>
  <calcPr calcId="124519" fullCalcOnLoad="1"/>
</workbook>
</file>

<file path=xl/styles.xml><?xml version="1.0" encoding="utf-8"?>
<styleSheet xmlns="http://schemas.openxmlformats.org/spreadsheetml/2006/main">
  <numFmts count="11">
    <numFmt numFmtId="164" formatCode="yyyy-mm-dd"/>
    <numFmt numFmtId="165" formatCode="dd/mm/yyyy;;&quot;-&quot;"/>
    <numFmt numFmtId="166" formatCode="0.0%;[Red]-0.0%;&quot;-&quot;"/>
    <numFmt numFmtId="167" formatCode="#,##0.0;[Red]-#,##0.0;&quot;-&quot;"/>
    <numFmt numFmtId="168" formatCode="#,##0;[Red]-#,##0;&quot;-&quot;"/>
    <numFmt numFmtId="169" formatCode="$0.000;[Red]($0.000);&quot;-&quot;"/>
    <numFmt numFmtId="170" formatCode="$#,##0.00;[Red]($#,##0.00);&quot;-&quot;"/>
    <numFmt numFmtId="171" formatCode="mmm-yyyy"/>
    <numFmt numFmtId="172" formatCode="0.0000"/>
    <numFmt numFmtId="173" formatCode="$#,##0;[Red]($#,##0);&quot;-&quot;"/>
    <numFmt numFmtId="174" formatCode="+0%;-0%;0%"/>
  </numFmts>
  <fonts count="13">
    <font>
      <name val="Calibri"/>
      <family val="2"/>
      <color theme="1"/>
      <sz val="11"/>
      <scheme val="minor"/>
    </font>
    <font>
      <name val="Arial"/>
      <b val="1"/>
      <color rgb="001F3864"/>
      <sz val="16"/>
    </font>
    <font>
      <name val="Arial"/>
      <i val="1"/>
      <color rgb="00595959"/>
      <sz val="10"/>
    </font>
    <font>
      <name val="Arial"/>
      <b val="1"/>
      <color rgb="00FFFFFF"/>
      <sz val="10"/>
    </font>
    <font>
      <name val="Arial"/>
      <sz val="10"/>
    </font>
    <font>
      <name val="Arial"/>
      <b val="1"/>
      <sz val="10"/>
    </font>
    <font>
      <name val="Arial"/>
      <color rgb="007F7F7F"/>
      <sz val="9"/>
    </font>
    <font>
      <name val="Arial"/>
      <color rgb="000000FF"/>
      <sz val="10"/>
    </font>
    <font>
      <name val="Arial"/>
      <color rgb="00008000"/>
      <sz val="10"/>
    </font>
    <font>
      <name val="Arial"/>
      <b val="1"/>
      <color rgb="001F3864"/>
      <sz val="12"/>
    </font>
    <font>
      <name val="Arial"/>
      <b val="1"/>
      <color rgb="00C00000"/>
      <sz val="10"/>
    </font>
    <font>
      <name val="Arial"/>
      <b val="1"/>
      <sz val="11"/>
    </font>
    <font>
      <name val="Arial"/>
      <color rgb="000563C1"/>
      <sz val="10"/>
      <u val="single"/>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9DB"/>
      </patternFill>
    </fill>
    <fill>
      <patternFill patternType="solid">
        <fgColor rgb="00F2F2F2"/>
      </patternFill>
    </fill>
    <fill>
      <patternFill patternType="solid">
        <fgColor rgb="00EEF3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9" fillId="0" borderId="0" pivotButton="0" quotePrefix="0" xfId="0"/>
    <xf numFmtId="0" fontId="4" fillId="0" borderId="0" applyAlignment="1" pivotButton="0" quotePrefix="0" xfId="0">
      <alignment vertical="top" wrapText="1"/>
    </xf>
    <xf numFmtId="0" fontId="3" fillId="2" borderId="1" applyAlignment="1" pivotButton="0" quotePrefix="0" xfId="0">
      <alignment horizontal="center" vertical="center" wrapText="1"/>
    </xf>
    <xf numFmtId="0" fontId="12" fillId="0" borderId="1" pivotButton="0" quotePrefix="0" xfId="0"/>
    <xf numFmtId="0" fontId="4" fillId="0" borderId="1" applyAlignment="1" pivotButton="0" quotePrefix="0" xfId="0">
      <alignment vertical="top" wrapText="1"/>
    </xf>
    <xf numFmtId="0" fontId="4" fillId="0" borderId="1" pivotButton="0" quotePrefix="0" xfId="0"/>
    <xf numFmtId="0" fontId="5" fillId="0" borderId="1" pivotButton="0" quotePrefix="0" xfId="0"/>
    <xf numFmtId="3" fontId="7" fillId="4" borderId="1" pivotButton="0" quotePrefix="0" xfId="0"/>
    <xf numFmtId="0" fontId="4" fillId="0" borderId="0" pivotButton="0" quotePrefix="0" xfId="0"/>
    <xf numFmtId="3" fontId="4" fillId="0" borderId="1" pivotButton="0" quotePrefix="0" xfId="0"/>
    <xf numFmtId="3" fontId="8" fillId="0" borderId="1" pivotButton="0" quotePrefix="0" xfId="0"/>
    <xf numFmtId="1" fontId="5" fillId="0" borderId="1" applyAlignment="1" pivotButton="0" quotePrefix="0" xfId="0">
      <alignment horizontal="left"/>
    </xf>
    <xf numFmtId="0" fontId="5" fillId="0" borderId="1" applyAlignment="1" pivotButton="0" quotePrefix="0" xfId="0">
      <alignment horizontal="left"/>
    </xf>
    <xf numFmtId="173" fontId="5" fillId="0" borderId="1" applyAlignment="1" pivotButton="0" quotePrefix="0" xfId="0">
      <alignment horizontal="left"/>
    </xf>
    <xf numFmtId="0" fontId="10" fillId="0" borderId="0" pivotButton="0" quotePrefix="0" xfId="0"/>
    <xf numFmtId="0" fontId="5" fillId="0" borderId="0" pivotButton="0" quotePrefix="0" xfId="0"/>
    <xf numFmtId="171" fontId="7" fillId="4" borderId="1" applyProtection="1" pivotButton="0" quotePrefix="0" xfId="0">
      <protection locked="0" hidden="0"/>
    </xf>
    <xf numFmtId="0" fontId="4" fillId="6" borderId="1" pivotButton="0" quotePrefix="0" xfId="0"/>
    <xf numFmtId="1" fontId="11" fillId="6" borderId="1" pivotButton="0" quotePrefix="0" xfId="0"/>
    <xf numFmtId="166" fontId="11" fillId="6" borderId="1" pivotButton="0" quotePrefix="0" xfId="0"/>
    <xf numFmtId="168" fontId="11" fillId="6" borderId="1" pivotButton="0" quotePrefix="0" xfId="0"/>
    <xf numFmtId="169" fontId="11" fillId="6" borderId="1" pivotButton="0" quotePrefix="0" xfId="0"/>
    <xf numFmtId="173" fontId="11" fillId="6" borderId="1" pivotButton="0" quotePrefix="0" xfId="0"/>
    <xf numFmtId="0" fontId="5" fillId="6" borderId="1" pivotButton="0" quotePrefix="0" xfId="0"/>
    <xf numFmtId="167" fontId="11" fillId="6" borderId="1" pivotButton="0" quotePrefix="0" xfId="0"/>
    <xf numFmtId="173" fontId="4" fillId="0" borderId="1" pivotButton="0" quotePrefix="0" xfId="0"/>
    <xf numFmtId="166" fontId="4" fillId="0" borderId="1" pivotButton="0" quotePrefix="0" xfId="0"/>
    <xf numFmtId="169" fontId="4" fillId="0" borderId="1" pivotButton="0" quotePrefix="0" xfId="0"/>
    <xf numFmtId="168" fontId="4" fillId="0" borderId="1" pivotButton="0" quotePrefix="0" xfId="0"/>
    <xf numFmtId="0" fontId="5" fillId="5" borderId="1" pivotButton="0" quotePrefix="0" xfId="0"/>
    <xf numFmtId="168" fontId="5" fillId="5" borderId="1" pivotButton="0" quotePrefix="0" xfId="0"/>
    <xf numFmtId="173" fontId="5" fillId="5" borderId="1" pivotButton="0" quotePrefix="0" xfId="0"/>
    <xf numFmtId="166" fontId="5" fillId="5" borderId="1" pivotButton="0" quotePrefix="0" xfId="0"/>
    <xf numFmtId="169" fontId="5" fillId="5" borderId="1" pivotButton="0" quotePrefix="0" xfId="0"/>
    <xf numFmtId="170" fontId="4" fillId="0" borderId="0" pivotButton="0" quotePrefix="0" xfId="0"/>
    <xf numFmtId="17" fontId="4" fillId="0" borderId="1"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49" fontId="7" fillId="4" borderId="1" applyProtection="1" pivotButton="0" quotePrefix="0" xfId="0">
      <protection locked="0" hidden="0"/>
    </xf>
    <xf numFmtId="165" fontId="7" fillId="4" borderId="1" applyProtection="1" pivotButton="0" quotePrefix="0" xfId="0">
      <protection locked="0" hidden="0"/>
    </xf>
    <xf numFmtId="0" fontId="7" fillId="4" borderId="1" applyProtection="1" pivotButton="0" quotePrefix="0" xfId="0">
      <protection locked="0" hidden="0"/>
    </xf>
    <xf numFmtId="168" fontId="7" fillId="4" borderId="1" applyProtection="1" pivotButton="0" quotePrefix="0" xfId="0">
      <protection locked="0" hidden="0"/>
    </xf>
    <xf numFmtId="167" fontId="7" fillId="4" borderId="1" applyProtection="1" pivotButton="0" quotePrefix="0" xfId="0">
      <protection locked="0" hidden="0"/>
    </xf>
    <xf numFmtId="170" fontId="7" fillId="4" borderId="1" applyProtection="1" pivotButton="0" quotePrefix="0" xfId="0">
      <protection locked="0" hidden="0"/>
    </xf>
    <xf numFmtId="0" fontId="8" fillId="0" borderId="1" pivotButton="0" quotePrefix="0" xfId="0"/>
    <xf numFmtId="170" fontId="8" fillId="0" borderId="1" pivotButton="0" quotePrefix="0" xfId="0"/>
    <xf numFmtId="0" fontId="5" fillId="3" borderId="0" pivotButton="0" quotePrefix="0" xfId="0"/>
    <xf numFmtId="0" fontId="0" fillId="3" borderId="0" pivotButton="0" quotePrefix="0" xfId="0"/>
    <xf numFmtId="0" fontId="6" fillId="0" borderId="1" pivotButton="0" quotePrefix="0" xfId="0"/>
    <xf numFmtId="0" fontId="2" fillId="0" borderId="1" applyAlignment="1" pivotButton="0" quotePrefix="0" xfId="0">
      <alignment vertical="top" wrapText="1"/>
    </xf>
    <xf numFmtId="166" fontId="7" fillId="4" borderId="1" applyProtection="1" pivotButton="0" quotePrefix="0" xfId="0">
      <protection locked="0" hidden="0"/>
    </xf>
    <xf numFmtId="169" fontId="7" fillId="4" borderId="1" applyProtection="1" pivotButton="0" quotePrefix="0" xfId="0">
      <protection locked="0" hidden="0"/>
    </xf>
    <xf numFmtId="170" fontId="4" fillId="0" borderId="1" pivotButton="0" quotePrefix="0" xfId="0"/>
    <xf numFmtId="165" fontId="4" fillId="0" borderId="1" pivotButton="0" quotePrefix="0" xfId="0"/>
    <xf numFmtId="170" fontId="5" fillId="5" borderId="1" pivotButton="0" quotePrefix="0" xfId="0"/>
    <xf numFmtId="171" fontId="3" fillId="2" borderId="1" applyAlignment="1" pivotButton="0" quotePrefix="0" xfId="0">
      <alignment horizontal="center" vertical="center" wrapText="1"/>
    </xf>
    <xf numFmtId="170" fontId="5" fillId="0" borderId="1" pivotButton="0" quotePrefix="0" xfId="0"/>
    <xf numFmtId="1" fontId="4" fillId="0" borderId="0" pivotButton="0" quotePrefix="0" xfId="0"/>
    <xf numFmtId="0" fontId="8" fillId="0" borderId="0" pivotButton="0" quotePrefix="0" xfId="0"/>
    <xf numFmtId="172" fontId="4" fillId="0" borderId="0" pivotButton="0" quotePrefix="0" xfId="0"/>
    <xf numFmtId="49" fontId="8" fillId="0" borderId="0" pivotButton="0" quotePrefix="0" xfId="0"/>
    <xf numFmtId="165" fontId="8" fillId="0" borderId="0" pivotButton="0" quotePrefix="0" xfId="0"/>
    <xf numFmtId="171" fontId="4" fillId="0" borderId="0" pivotButton="0" quotePrefix="0" xfId="0"/>
    <xf numFmtId="49" fontId="4" fillId="0" borderId="0" pivotButton="0" quotePrefix="0" xfId="0"/>
    <xf numFmtId="168" fontId="4" fillId="0" borderId="0" pivotButton="0" quotePrefix="0" xfId="0"/>
    <xf numFmtId="168" fontId="5" fillId="5" borderId="0" pivotButton="0" quotePrefix="0" xfId="0"/>
    <xf numFmtId="165" fontId="4" fillId="0" borderId="0" pivotButton="0" quotePrefix="0" xfId="0"/>
    <xf numFmtId="170" fontId="5" fillId="5" borderId="0" pivotButton="0" quotePrefix="0" xfId="0"/>
    <xf numFmtId="167" fontId="4" fillId="0" borderId="0" pivotButton="0" quotePrefix="0" xfId="0"/>
    <xf numFmtId="166" fontId="4" fillId="0" borderId="0" pivotButton="0" quotePrefix="0" xfId="0"/>
    <xf numFmtId="169" fontId="4" fillId="0" borderId="0" pivotButton="0" quotePrefix="0" xfId="0"/>
    <xf numFmtId="171" fontId="5" fillId="0" borderId="0" pivotButton="0" quotePrefix="0" xfId="0"/>
    <xf numFmtId="171" fontId="4" fillId="0" borderId="1" pivotButton="0" quotePrefix="0" xfId="0"/>
    <xf numFmtId="1" fontId="4" fillId="0" borderId="1" pivotButton="0" quotePrefix="0" xfId="0"/>
    <xf numFmtId="173" fontId="5" fillId="0" borderId="1" pivotButton="0" quotePrefix="0" xfId="0"/>
    <xf numFmtId="167" fontId="4" fillId="0" borderId="1" pivotButton="0" quotePrefix="0" xfId="0"/>
    <xf numFmtId="1" fontId="5" fillId="5" borderId="1" pivotButton="0" quotePrefix="0" xfId="0"/>
    <xf numFmtId="167" fontId="5" fillId="5" borderId="1" pivotButton="0" quotePrefix="0" xfId="0"/>
    <xf numFmtId="168" fontId="8" fillId="0" borderId="1" pivotButton="0" quotePrefix="0" xfId="0"/>
    <xf numFmtId="168" fontId="5" fillId="0" borderId="1" pivotButton="0" quotePrefix="0" xfId="0"/>
    <xf numFmtId="167" fontId="8" fillId="0" borderId="1" pivotButton="0" quotePrefix="0" xfId="0"/>
    <xf numFmtId="167" fontId="5" fillId="0" borderId="1" pivotButton="0" quotePrefix="0" xfId="0"/>
    <xf numFmtId="169" fontId="8" fillId="0" borderId="1" pivotButton="0" quotePrefix="0" xfId="0"/>
    <xf numFmtId="169" fontId="5" fillId="0" borderId="1" pivotButton="0" quotePrefix="0" xfId="0"/>
    <xf numFmtId="166" fontId="8" fillId="0" borderId="1" pivotButton="0" quotePrefix="0" xfId="0"/>
    <xf numFmtId="166" fontId="5" fillId="0" borderId="1" pivotButton="0" quotePrefix="0" xfId="0"/>
    <xf numFmtId="173" fontId="8" fillId="0" borderId="1" pivotButton="0" quotePrefix="0" xfId="0"/>
    <xf numFmtId="173" fontId="7" fillId="4" borderId="1" applyProtection="1" pivotButton="0" quotePrefix="0" xfId="0">
      <protection locked="0" hidden="0"/>
    </xf>
    <xf numFmtId="0" fontId="5" fillId="3" borderId="1" pivotButton="0" quotePrefix="0" xfId="0"/>
    <xf numFmtId="174" fontId="7" fillId="4" borderId="1" applyProtection="1" pivotButton="0" quotePrefix="0" xfId="0">
      <protection locked="0" hidden="0"/>
    </xf>
    <xf numFmtId="1" fontId="7" fillId="4" borderId="1" applyProtection="1" pivotButton="0" quotePrefix="0" xfId="0">
      <protection locked="0" hidden="0"/>
    </xf>
  </cellXfs>
  <cellStyles count="1">
    <cellStyle name="Normal" xfId="0" builtinId="0" hidden="0"/>
  </cellStyles>
  <dxfs count="4">
    <dxf>
      <font>
        <name val="Arial"/>
        <b val="1"/>
        <color rgb="00008000"/>
      </font>
    </dxf>
    <dxf>
      <font>
        <name val="Arial"/>
        <b val="1"/>
        <color rgb="00C00000"/>
      </font>
    </dxf>
    <dxf>
      <fill>
        <patternFill patternType="solid">
          <fgColor rgb="00FCE4D6"/>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Ingresos, costos y utilidad por mes (USD)</a:t>
            </a:r>
          </a:p>
        </rich>
      </tx>
    </title>
    <plotArea>
      <barChart>
        <barDir val="col"/>
        <grouping val="clustered"/>
        <ser>
          <idx val="0"/>
          <order val="0"/>
          <tx>
            <strRef>
              <f>'DASHBOARD'!C36</f>
            </strRef>
          </tx>
          <spPr>
            <a:solidFill xmlns:a="http://schemas.openxmlformats.org/drawingml/2006/main">
              <a:srgbClr val="2A78D6"/>
            </a:solidFill>
            <a:ln xmlns:a="http://schemas.openxmlformats.org/drawingml/2006/main">
              <a:noFill/>
              <a:prstDash val="solid"/>
            </a:ln>
          </spPr>
          <cat>
            <numRef>
              <f>'DASHBOARD'!$B$37:$B$48</f>
            </numRef>
          </cat>
          <val>
            <numRef>
              <f>'DASHBOARD'!$C$37:$C$48</f>
            </numRef>
          </val>
        </ser>
        <ser>
          <idx val="1"/>
          <order val="1"/>
          <tx>
            <strRef>
              <f>'DASHBOARD'!D36</f>
            </strRef>
          </tx>
          <spPr>
            <a:solidFill xmlns:a="http://schemas.openxmlformats.org/drawingml/2006/main">
              <a:srgbClr val="EB6834"/>
            </a:solidFill>
            <a:ln xmlns:a="http://schemas.openxmlformats.org/drawingml/2006/main">
              <a:noFill/>
              <a:prstDash val="solid"/>
            </a:ln>
          </spPr>
          <cat>
            <numRef>
              <f>'DASHBOARD'!$B$37:$B$48</f>
            </numRef>
          </cat>
          <val>
            <numRef>
              <f>'DASHBOARD'!$D$37:$D$48</f>
            </numRef>
          </val>
        </ser>
        <gapWidth val="150"/>
        <axId val="10"/>
        <axId val="100"/>
      </barChart>
      <lineChart>
        <grouping val="standard"/>
        <ser>
          <idx val="2"/>
          <order val="2"/>
          <tx>
            <strRef>
              <f>'DASHBOARD'!E36</f>
            </strRef>
          </tx>
          <spPr>
            <a:ln xmlns:a="http://schemas.openxmlformats.org/drawingml/2006/main" w="28000">
              <a:solidFill>
                <a:srgbClr val="1BAF7A"/>
              </a:solidFill>
              <a:prstDash val="solid"/>
            </a:ln>
          </spPr>
          <marker>
            <symbol val="circle"/>
            <size val="7"/>
            <spPr>
              <a:solidFill xmlns:a="http://schemas.openxmlformats.org/drawingml/2006/main">
                <a:srgbClr val="1BAF7A"/>
              </a:solidFill>
              <a:ln xmlns:a="http://schemas.openxmlformats.org/drawingml/2006/main">
                <a:prstDash val="solid"/>
              </a:ln>
            </spPr>
          </marker>
          <val>
            <numRef>
              <f>'DASHBOARD'!$E$37:$E$48</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Estructura de costos del período (USD)</a:t>
            </a:r>
          </a:p>
        </rich>
      </tx>
    </title>
    <plotArea>
      <barChart>
        <barDir val="bar"/>
        <grouping val="clustered"/>
        <ser>
          <idx val="0"/>
          <order val="0"/>
          <tx>
            <strRef>
              <f>'DASHBOARD'!C21</f>
            </strRef>
          </tx>
          <spPr>
            <a:solidFill xmlns:a="http://schemas.openxmlformats.org/drawingml/2006/main">
              <a:srgbClr val="2A78D6"/>
            </a:solidFill>
            <a:ln xmlns:a="http://schemas.openxmlformats.org/drawingml/2006/main">
              <a:prstDash val="solid"/>
            </a:ln>
          </spPr>
          <cat>
            <numRef>
              <f>'DASHBOARD'!$B$22:$B$31</f>
            </numRef>
          </cat>
          <val>
            <numRef>
              <f>'DASHBOARD'!$C$22:$C$31</f>
            </numRef>
          </val>
        </ser>
        <gapWidth val="4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Utilidad antes de impuesto por región (USD)</a:t>
            </a:r>
          </a:p>
        </rich>
      </tx>
    </title>
    <plotArea>
      <barChart>
        <barDir val="col"/>
        <grouping val="clustered"/>
        <ser>
          <idx val="0"/>
          <order val="0"/>
          <tx>
            <strRef>
              <f>'DASHBOARD'!J21</f>
            </strRef>
          </tx>
          <spPr>
            <a:solidFill xmlns:a="http://schemas.openxmlformats.org/drawingml/2006/main">
              <a:srgbClr val="2A78D6"/>
            </a:solidFill>
            <a:ln xmlns:a="http://schemas.openxmlformats.org/drawingml/2006/main">
              <a:prstDash val="solid"/>
            </a:ln>
          </spPr>
          <cat>
            <numRef>
              <f>'DASHBOARD'!$G$22:$G$24</f>
            </numRef>
          </cat>
          <val>
            <numRef>
              <f>'DASHBOARD'!$J$22:$J$24</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a:t>
                </a:r>
              </a:p>
            </rich>
          </tx>
        </title>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Modelo</author>
  </authors>
  <commentList>
    <comment ref="B5" authorId="0" shapeId="0">
      <text>
        <t>Número del contenedor o del BL. Obligatorio: sin ID la fila no se calcula.</t>
      </text>
    </comment>
    <comment ref="C5" authorId="0" shapeId="0">
      <text>
        <t>Determina el mes y los precios vigentes.</t>
      </text>
    </comment>
    <comment ref="D5" authorId="0" shapeId="0">
      <text>
        <t>ENCI o A.V</t>
      </text>
    </comment>
    <comment ref="F5" authorId="0" shapeId="0">
      <text>
        <t>Informativo.</t>
      </text>
    </comment>
    <comment ref="G5" authorId="0" shapeId="0">
      <text>
        <t>kg destinados a Pinar del Río, Artemisa, La Habana, Mayabeque, Matanzas e Isla de la Juventud.</t>
      </text>
    </comment>
    <comment ref="H5" authorId="0" shapeId="0">
      <text>
        <t>kg destinados a Cienfuegos, Villa Clara, Sancti Spíritus, Ciego de Ávila y Camagüey.</t>
      </text>
    </comment>
    <comment ref="I5" authorId="0" shapeId="0">
      <text>
        <t>kg destinados a Las Tunas, Holguín, Granma, Santiago de Cuba y Guantánamo.</t>
      </text>
    </comment>
    <comment ref="J5" authorId="0" shapeId="0">
      <text>
        <t>Vacío = norma (1 viaje).</t>
      </text>
    </comment>
    <comment ref="K5" authorId="0" shapeId="0">
      <text>
        <t>Total de litros del contenedor según los vales. Vacío = viajes × 60 L.</t>
      </text>
    </comment>
    <comment ref="L5" authorId="0" shapeId="0">
      <text>
        <t>Vacío = viajes × dieta vigente.</t>
      </text>
    </comment>
    <comment ref="M5" authorId="0" shapeId="0">
      <text>
        <t>Jornales = trabajadores × días. Vacío = kg ÷ rendimiento.</t>
      </text>
    </comment>
    <comment ref="N5" authorId="0" shapeId="0">
      <text>
        <t>Cargos por exceder los días libres.</t>
      </text>
    </comment>
    <comment ref="V5" authorId="0" shapeId="0">
      <text>
        <t>Gastos del contenedor que no tienen columna propia.</t>
      </text>
    </comment>
    <comment ref="X5" authorId="0" shapeId="0">
      <text>
        <t>Cargos extra cobrados: entrega a domicilio, sobrepeso, etc.</t>
      </text>
    </comment>
    <comment ref="Y5" authorId="0" shapeId="0">
      <text>
        <t>Para medir los días de ciclo.</t>
      </text>
    </comment>
    <comment ref="Z5" authorId="0" shapeId="0">
      <text>
        <t>Abierto mientras falten datos reales; Cerrado al completar.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0</colOff>
      <row>34</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50</row>
      <rowOff>0</rowOff>
    </from>
    <ext cx="576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50</row>
      <rowOff>0</rowOff>
    </from>
    <ext cx="46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UIA_USO'!A1" TargetMode="External" Id="rId1"/><Relationship Type="http://schemas.openxmlformats.org/officeDocument/2006/relationships/hyperlink" Target="#'ANALISIS'!A1" TargetMode="External" Id="rId2"/><Relationship Type="http://schemas.openxmlformats.org/officeDocument/2006/relationships/hyperlink" Target="#'PARAMETROS'!A1" TargetMode="External" Id="rId3"/><Relationship Type="http://schemas.openxmlformats.org/officeDocument/2006/relationships/hyperlink" Target="#'PRECIOS'!A1" TargetMode="External" Id="rId4"/><Relationship Type="http://schemas.openxmlformats.org/officeDocument/2006/relationships/hyperlink" Target="#'ACTIVOS'!A1" TargetMode="External" Id="rId5"/><Relationship Type="http://schemas.openxmlformats.org/officeDocument/2006/relationships/hyperlink" Target="#'COSTOS_FIJOS'!A1" TargetMode="External" Id="rId6"/><Relationship Type="http://schemas.openxmlformats.org/officeDocument/2006/relationships/hyperlink" Target="#'COMERCIAL'!A1" TargetMode="External" Id="rId7"/><Relationship Type="http://schemas.openxmlformats.org/officeDocument/2006/relationships/hyperlink" Target="#'ENTRADA'!A1" TargetMode="External" Id="rId8"/><Relationship Type="http://schemas.openxmlformats.org/officeDocument/2006/relationships/hyperlink" Target="#'CALCULO'!A1" TargetMode="External" Id="rId9"/><Relationship Type="http://schemas.openxmlformats.org/officeDocument/2006/relationships/hyperlink" Target="#'RESUMEN_MES'!A1" TargetMode="External" Id="rId10"/><Relationship Type="http://schemas.openxmlformats.org/officeDocument/2006/relationships/hyperlink" Target="#'DASHBOARD'!A1" TargetMode="External" Id="rId11"/><Relationship Type="http://schemas.openxmlformats.org/officeDocument/2006/relationships/hyperlink" Target="#'SIMULADOR'!A1" TargetMode="External" Id="rId12"/><Relationship Type="http://schemas.openxmlformats.org/officeDocument/2006/relationships/hyperlink" Target="#'LISTAS'!A1" TargetMode="External" Id="rId13"/></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3864"/>
    <outlinePr summaryBelow="1" summaryRight="1"/>
    <pageSetUpPr fitToPage="1"/>
  </sheetPr>
  <dimension ref="B2:D45"/>
  <sheetViews>
    <sheetView showGridLines="0" zoomScale="90" workbookViewId="0">
      <selection activeCell="A1" sqref="A1"/>
    </sheetView>
  </sheetViews>
  <sheetFormatPr baseColWidth="8" defaultRowHeight="15"/>
  <cols>
    <col width="3" customWidth="1" min="1" max="1"/>
    <col width="38" customWidth="1" min="2" max="2"/>
    <col width="70" customWidth="1" min="3" max="3"/>
    <col width="28" customWidth="1" min="4" max="4"/>
  </cols>
  <sheetData>
    <row r="2">
      <c r="B2" s="1" t="inlineStr">
        <is>
          <t>ANÁLISIS DE RENTABILIDAD – NEGOCIO DE PAQUETERÍA</t>
        </is>
      </c>
    </row>
    <row r="3">
      <c r="B3" s="2" t="str">
        <f>Empresa&amp;"  ·  Modelo por contenedor, por región y por mes  ·  Importes en USD"</f>
        <v>Empresa de Paquetería (editar)  ·  Modelo por contenedor, por región y por mes  ·  Importes en USD</v>
      </c>
    </row>
    <row r="5">
      <c r="B5" s="3" t="inlineStr">
        <is>
          <t>Flujo modelado</t>
        </is>
      </c>
    </row>
    <row r="6" ht="45" customHeight="1">
      <c r="B6" s="4" t="inlineStr">
        <is>
          <t>1. PUERTO (vehículo propio: cita, combustible, dieta, desgaste)  →  2. TRANSITARIA ENCI / A.V (desagrupe por jornal)  →  3. DISTRIBUCIÓN: Occidente directa · Centro y Oriente con traslado, centro transitorio y distribución  →  4. COMERCIALIZACIÓN (21 gestores: fijo + variable)</t>
        </is>
      </c>
    </row>
    <row r="8">
      <c r="B8" s="3" t="inlineStr">
        <is>
          <t>Hojas del libro</t>
        </is>
      </c>
    </row>
    <row r="9">
      <c r="B9" s="5" t="inlineStr">
        <is>
          <t>Hoja</t>
        </is>
      </c>
      <c r="C9" s="5" t="inlineStr">
        <is>
          <t>Contenido</t>
        </is>
      </c>
      <c r="D9" s="5" t="inlineStr">
        <is>
          <t>Cuándo se usa</t>
        </is>
      </c>
    </row>
    <row r="10">
      <c r="B10" s="6" t="inlineStr">
        <is>
          <t>GUIA_USO</t>
        </is>
      </c>
      <c r="C10" s="7" t="inlineStr">
        <is>
          <t>Resumen de la guía (la guía completa con imágenes es el PDF que acompaña al libro).</t>
        </is>
      </c>
      <c r="D10" s="8" t="inlineStr">
        <is>
          <t>Antes de empezar</t>
        </is>
      </c>
    </row>
    <row r="11">
      <c r="B11" s="6" t="inlineStr">
        <is>
          <t>ANALISIS</t>
        </is>
      </c>
      <c r="C11" s="7" t="inlineStr">
        <is>
          <t>Diagnóstico, metodología, clasificación de costos y propuestas de mejora.</t>
        </is>
      </c>
      <c r="D11" s="8" t="inlineStr">
        <is>
          <t>Para decidir</t>
        </is>
      </c>
    </row>
    <row r="12">
      <c r="B12" s="6" t="inlineStr">
        <is>
          <t>PARAMETROS</t>
        </is>
      </c>
      <c r="C12" s="7" t="inlineStr">
        <is>
          <t>Normas técnicas, porcentajes, tributos y métodos de cálculo.</t>
        </is>
      </c>
      <c r="D12" s="8" t="inlineStr">
        <is>
          <t>Una vez / si cambia una norma</t>
        </is>
      </c>
    </row>
    <row r="13">
      <c r="B13" s="6" t="inlineStr">
        <is>
          <t>PRECIOS</t>
        </is>
      </c>
      <c r="C13" s="7" t="inlineStr">
        <is>
          <t>Tarifas y precios con fecha de vigencia (historial auditable).</t>
        </is>
      </c>
      <c r="D13" s="8" t="inlineStr">
        <is>
          <t>Una vez / si cambia un precio</t>
        </is>
      </c>
    </row>
    <row r="14">
      <c r="B14" s="6" t="inlineStr">
        <is>
          <t>ACTIVOS</t>
        </is>
      </c>
      <c r="C14" s="7" t="inlineStr">
        <is>
          <t>Vehículos y equipos: depreciación, mantenimiento y seguros.</t>
        </is>
      </c>
      <c r="D14" s="8" t="inlineStr">
        <is>
          <t>Una vez / al comprar o vender</t>
        </is>
      </c>
    </row>
    <row r="15">
      <c r="B15" s="6" t="inlineStr">
        <is>
          <t>COSTOS_FIJOS</t>
        </is>
      </c>
      <c r="C15" s="7" t="inlineStr">
        <is>
          <t>Costos fijos mensuales por centro de costo y tributos sobre salarios.</t>
        </is>
      </c>
      <c r="D15" s="8" t="inlineStr">
        <is>
          <t>Una vez / cierre de mes</t>
        </is>
      </c>
    </row>
    <row r="16">
      <c r="B16" s="6" t="inlineStr">
        <is>
          <t>COMERCIAL</t>
        </is>
      </c>
      <c r="C16" s="7" t="inlineStr">
        <is>
          <t>21 gestores: pago fijo, liquidación variable y conciliación mensual.</t>
        </is>
      </c>
      <c r="D16" s="8" t="inlineStr">
        <is>
          <t>Cierre de mes</t>
        </is>
      </c>
    </row>
    <row r="17">
      <c r="B17" s="6" t="inlineStr">
        <is>
          <t>ENTRADA</t>
        </is>
      </c>
      <c r="C17" s="7" t="inlineStr">
        <is>
          <t>Registro de contenedores: la hoja donde se trabaja a diario.</t>
        </is>
      </c>
      <c r="D17" s="8" t="inlineStr">
        <is>
          <t>Con cada contenedor</t>
        </is>
      </c>
    </row>
    <row r="18">
      <c r="B18" s="6" t="inlineStr">
        <is>
          <t>CALCULO</t>
        </is>
      </c>
      <c r="C18" s="7" t="inlineStr">
        <is>
          <t>Cálculo automático completo por contenedor y por región.</t>
        </is>
      </c>
      <c r="D18" s="8" t="inlineStr">
        <is>
          <t>Solo consulta</t>
        </is>
      </c>
    </row>
    <row r="19">
      <c r="B19" s="6" t="inlineStr">
        <is>
          <t>RESUMEN_MES</t>
        </is>
      </c>
      <c r="C19" s="7" t="inlineStr">
        <is>
          <t>Rentabilidad mensual, punto de equilibrio e impuesto anual estimado.</t>
        </is>
      </c>
      <c r="D19" s="8" t="inlineStr">
        <is>
          <t>Cierre de mes</t>
        </is>
      </c>
    </row>
    <row r="20">
      <c r="B20" s="6" t="inlineStr">
        <is>
          <t>DASHBOARD</t>
        </is>
      </c>
      <c r="C20" s="7" t="inlineStr">
        <is>
          <t>Panel de indicadores y gráficos del período elegido.</t>
        </is>
      </c>
      <c r="D20" s="8" t="inlineStr">
        <is>
          <t>Para informar</t>
        </is>
      </c>
    </row>
    <row r="21">
      <c r="B21" s="6" t="inlineStr">
        <is>
          <t>SIMULADOR</t>
        </is>
      </c>
      <c r="C21" s="7" t="inlineStr">
        <is>
          <t>Escenarios: tarifa mínima por región, sensibilidad a la tarifa, al diésel y al volumen.</t>
        </is>
      </c>
      <c r="D21" s="8" t="inlineStr">
        <is>
          <t>Para decidir</t>
        </is>
      </c>
    </row>
    <row r="22">
      <c r="B22" s="6" t="inlineStr">
        <is>
          <t>LISTAS</t>
        </is>
      </c>
      <c r="C22" s="7" t="inlineStr">
        <is>
          <t>Listas de los desplegables (técnica).</t>
        </is>
      </c>
      <c r="D22" s="8" t="inlineStr">
        <is>
          <t>No se toca</t>
        </is>
      </c>
    </row>
    <row r="24">
      <c r="B24" s="3" t="inlineStr">
        <is>
          <t>Su rutina de trabajo (una sola persona lleva el libro)</t>
        </is>
      </c>
    </row>
    <row r="25" ht="28" customHeight="1">
      <c r="B25" s="9" t="inlineStr">
        <is>
          <t>Una sola vez, al empezar</t>
        </is>
      </c>
      <c r="C25" s="7" t="inlineStr">
        <is>
          <t>PARAMETROS → PRECIOS → ACTIVOS → COSTOS_FIJOS → COMERCIAL. Después, borrar los datos de ejemplo.</t>
        </is>
      </c>
    </row>
    <row r="26" ht="28" customHeight="1">
      <c r="B26" s="9" t="inlineStr">
        <is>
          <t>Con cada contenedor</t>
        </is>
      </c>
      <c r="C26" s="7" t="inlineStr">
        <is>
          <t>ENTRADA: 1) al llegar, ID, fecha, transitaria y kg por región; 2) al terminar la distribución, datos reales y Estado «Cerrado».</t>
        </is>
      </c>
    </row>
    <row r="27" ht="28" customHeight="1">
      <c r="B27" s="9" t="inlineStr">
        <is>
          <t>Cuando cambia un precio</t>
        </is>
      </c>
      <c r="C27" s="7" t="inlineStr">
        <is>
          <t>PRECIOS: agregar una fila nueva con la fecha desde la que rige. Nunca sobrescribir la anterior.</t>
        </is>
      </c>
    </row>
    <row r="28" ht="28" customHeight="1">
      <c r="B28" s="9" t="inlineStr">
        <is>
          <t>Cada fin de mes</t>
        </is>
      </c>
      <c r="C28" s="7" t="inlineStr">
        <is>
          <t>Revisar alertas en INICIO → gastos reales en COSTOS_FIJOS → liquidación en COMERCIAL → RESUMEN_MES y DASHBOARD → guardar una copia con fecha.</t>
        </is>
      </c>
    </row>
    <row r="30">
      <c r="B30" s="3" t="inlineStr">
        <is>
          <t>Leyenda de colores</t>
        </is>
      </c>
    </row>
    <row r="31">
      <c r="B31" s="10" t="inlineStr">
        <is>
          <t>1.234</t>
        </is>
      </c>
      <c r="C31" s="11" t="inlineStr">
        <is>
          <t>Dato de entrada: se puede escribir (letra azul, fondo amarillo).</t>
        </is>
      </c>
    </row>
    <row r="32">
      <c r="B32" s="12" t="n">
        <v>1234</v>
      </c>
      <c r="C32" s="11" t="inlineStr">
        <is>
          <t>Fórmula: no escribir (letra negra).</t>
        </is>
      </c>
    </row>
    <row r="33">
      <c r="B33" s="13" t="n">
        <v>1234</v>
      </c>
      <c r="C33" s="11" t="inlineStr">
        <is>
          <t>Enlace a otra hoja (letra verde).</t>
        </is>
      </c>
    </row>
    <row r="35">
      <c r="B35" s="3" t="inlineStr">
        <is>
          <t>Estado del libro (controles automáticos)</t>
        </is>
      </c>
    </row>
    <row r="36">
      <c r="B36" s="8" t="inlineStr">
        <is>
          <t>Contenedores registrados</t>
        </is>
      </c>
      <c r="C36" s="14">
        <f>COUNTIF(ENTRADA!$B$6:$B$305,"?*")</f>
        <v>4</v>
      </c>
    </row>
    <row r="37">
      <c r="B37" s="8" t="inlineStr">
        <is>
          <t>Contenedores con alertas</t>
        </is>
      </c>
      <c r="C37" s="14">
        <f>COUNTIF(CALCULO!$CT$6:$CT$305,"?*")</f>
        <v>1</v>
      </c>
    </row>
    <row r="38">
      <c r="B38" s="8" t="inlineStr">
        <is>
          <t>Contenedores abiertos (sin cerrar)</t>
        </is>
      </c>
      <c r="C38" s="14">
        <f>COUNTIF(CALCULO!$F$6:$F$305,"Abierto")</f>
        <v>1</v>
      </c>
    </row>
    <row r="39">
      <c r="B39" s="8" t="inlineStr">
        <is>
          <t>Cuadre de regiones (CALCULO)</t>
        </is>
      </c>
      <c r="C39" s="15" t="str">
        <f>IF(AND(MAX(CALCULO!$CO$6:$CO$305)&lt;0.01,MIN(CALCULO!$CO$6:$CO$305)&gt;-0.01),"OK","REVISAR")</f>
        <v>OK</v>
      </c>
    </row>
    <row r="40">
      <c r="B40" s="8" t="inlineStr">
        <is>
          <t>Cuadre mensual (RESUMEN_MES)</t>
        </is>
      </c>
      <c r="C40" s="15" t="str">
        <f>IF(AND(MAX(RESUMEN_MES!$AA$6:$AA$29)&lt;0.01,MIN(RESUMEN_MES!$AA$6:$AA$29)&gt;-0.01),"OK","REVISAR")</f>
        <v>OK</v>
      </c>
    </row>
    <row r="41">
      <c r="B41" s="8" t="inlineStr">
        <is>
          <t>Conciliación de comercialización</t>
        </is>
      </c>
      <c r="C41" s="15" t="str">
        <f>COMERCIAL!G39</f>
        <v>CUADRA</v>
      </c>
    </row>
    <row r="42">
      <c r="B42" s="8" t="inlineStr">
        <is>
          <t>Utilidad antes de impuesto acumulada</t>
        </is>
      </c>
      <c r="C42" s="16">
        <f>RESUMEN_MES!O30</f>
        <v>9168.31666666667</v>
      </c>
    </row>
    <row r="45">
      <c r="B45" s="17" t="inlineStr">
        <is>
          <t>Los datos que contiene el libro son de EJEMPLO para mostrar su funcionamiento. Sustitúyalos siguiendo la guía en PDF (capítulo «Preparar el libro con sus datos»).</t>
        </is>
      </c>
    </row>
  </sheetData>
  <sheetProtection selectLockedCells="0" selectUnlockedCells="0" sheet="1" objects="0" insertRows="1" insertHyperlinks="1" autoFilter="0" scenarios="0" formatColumns="0" deleteColumns="1" insertColumns="1" pivotTables="1" deleteRows="1" formatCells="1" formatRows="0" sort="1"/>
  <mergeCells count="5">
    <mergeCell ref="C25:D25"/>
    <mergeCell ref="C27:D27"/>
    <mergeCell ref="C28:D28"/>
    <mergeCell ref="C26:D26"/>
    <mergeCell ref="B6:D6"/>
  </mergeCells>
  <conditionalFormatting sqref="C39:C41">
    <cfRule type="expression" priority="1" dxfId="0">
      <formula>LEFT(C39,2)="OK"</formula>
    </cfRule>
    <cfRule type="expression" priority="2" dxfId="1">
      <formula>LEFT(C39,3)="REV"</formula>
    </cfRule>
  </conditionalFormatting>
  <conditionalFormatting sqref="C41">
    <cfRule type="expression" priority="3" dxfId="0">
      <formula>C41="CUADRA"</formula>
    </cfRule>
  </conditionalFormatting>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FFC000"/>
    <outlinePr summaryBelow="1" summaryRight="1"/>
    <pageSetUpPr fitToPage="1"/>
  </sheetPr>
  <dimension ref="B2:F77"/>
  <sheetViews>
    <sheetView showGridLines="0" zoomScale="90" workbookViewId="0">
      <selection activeCell="A1" sqref="A1"/>
    </sheetView>
  </sheetViews>
  <sheetFormatPr baseColWidth="8" defaultRowHeight="15"/>
  <cols>
    <col width="3" customWidth="1" min="1" max="1"/>
    <col width="34" customWidth="1" min="2" max="2"/>
    <col width="48" customWidth="1" min="3" max="3"/>
    <col width="40" customWidth="1" min="4" max="4"/>
    <col width="30" customWidth="1" min="5" max="5"/>
    <col width="22" customWidth="1" min="6" max="6"/>
  </cols>
  <sheetData>
    <row r="2">
      <c r="B2" s="1" t="inlineStr">
        <is>
          <t>GUÍA DE USO (RESUMEN)</t>
        </is>
      </c>
    </row>
    <row r="4" ht="45" customHeight="1">
      <c r="B4" s="4" t="inlineStr">
        <is>
          <t>Este libro calcula de forma automática cuánto gana o pierde la empresa con cada contenedor de paquetería, en cada región y en cada mes. Lo lleva UNA sola persona, que solo escribe datos en las celdas de entrada (amarillas, letra azul). Todo lo demás se calcula con fórmulas. La guía completa, con imágenes y ejercicios paso a paso, es el PDF «Guia_de_Uso_Rentabilidad_Paqueteria.pdf» que acompaña a este archivo.</t>
        </is>
      </c>
    </row>
    <row r="6">
      <c r="B6" s="3" t="inlineStr">
        <is>
          <t>1. Colores y convenciones</t>
        </is>
      </c>
    </row>
    <row r="7" ht="15" customHeight="1">
      <c r="B7" s="5" t="inlineStr">
        <is>
          <t>Aspecto de la celda</t>
        </is>
      </c>
      <c r="C7" s="5" t="inlineStr">
        <is>
          <t>Significado</t>
        </is>
      </c>
      <c r="D7" s="5" t="inlineStr">
        <is>
          <t>¿Se puede escribir?</t>
        </is>
      </c>
    </row>
    <row r="8" ht="15" customHeight="1">
      <c r="B8" s="7" t="inlineStr">
        <is>
          <t>Fondo amarillo claro, letra azul</t>
        </is>
      </c>
      <c r="C8" s="7" t="inlineStr">
        <is>
          <t>Dato de entrada (valor que usted escribe)</t>
        </is>
      </c>
      <c r="D8" s="7" t="inlineStr">
        <is>
          <t>SÍ</t>
        </is>
      </c>
    </row>
    <row r="9" ht="15" customHeight="1">
      <c r="B9" s="7" t="inlineStr">
        <is>
          <t>Letra negra</t>
        </is>
      </c>
      <c r="C9" s="7" t="inlineStr">
        <is>
          <t>Fórmula de cálculo</t>
        </is>
      </c>
      <c r="D9" s="7" t="inlineStr">
        <is>
          <t>NO</t>
        </is>
      </c>
    </row>
    <row r="10" ht="15" customHeight="1">
      <c r="B10" s="7" t="inlineStr">
        <is>
          <t>Letra verde</t>
        </is>
      </c>
      <c r="C10" s="7" t="inlineStr">
        <is>
          <t>Enlace a otra hoja</t>
        </is>
      </c>
      <c r="D10" s="7" t="inlineStr">
        <is>
          <t>NO</t>
        </is>
      </c>
    </row>
    <row r="11" ht="15" customHeight="1">
      <c r="B11" s="7" t="inlineStr">
        <is>
          <t>Fondo gris en encabezados</t>
        </is>
      </c>
      <c r="C11" s="7" t="inlineStr">
        <is>
          <t>Títulos de columnas y secciones</t>
        </is>
      </c>
      <c r="D11" s="7" t="inlineStr">
        <is>
          <t>NO</t>
        </is>
      </c>
    </row>
    <row r="12" ht="15" customHeight="1">
      <c r="B12" s="7" t="inlineStr">
        <is>
          <t>Celda vacía en columnas «(opcional)»</t>
        </is>
      </c>
      <c r="C12" s="7" t="inlineStr">
        <is>
          <t>El libro usa la norma técnica de PARAMETROS</t>
        </is>
      </c>
      <c r="D12" s="7" t="inlineStr">
        <is>
          <t>Sí, si hay dato real</t>
        </is>
      </c>
    </row>
    <row r="14" ht="30" customHeight="1">
      <c r="B14" s="4" t="inlineStr">
        <is>
          <t>Las hojas están protegidas sin contraseña para evitar borrar fórmulas por error. Si necesita modificar la estructura: Revisar &gt; Desproteger hoja. Vuelva a protegerla al terminar.</t>
        </is>
      </c>
    </row>
    <row r="16">
      <c r="B16" s="3" t="inlineStr">
        <is>
          <t>2. Configuración inicial (una sola vez)</t>
        </is>
      </c>
    </row>
    <row r="17" ht="45" customHeight="1">
      <c r="B17" s="4" t="inlineStr">
        <is>
          <t>1.  PARAMETROS: escriba el nombre de la empresa, el primer mes del período (Fecha_Inicio) y revise las normas técnicas: litros por viaje, kilómetros, capacidad de los camiones y rendimiento del desagrupe (kg por jornal). Revise también los porcentajes de reclamaciones, de comisiones bancarias y las tasas tributarias.</t>
        </is>
      </c>
    </row>
    <row r="18" ht="30" customHeight="1">
      <c r="B18" s="4" t="inlineStr">
        <is>
          <t>2.  PRECIOS: en la primera fila escriba las tarifas por kg que cobra la empresa en cada región, el precio del diésel, la cita del puerto, la dieta, el pago por jornal y las comisiones de comercialización, con la fecha desde la que rigen.</t>
        </is>
      </c>
    </row>
    <row r="19" ht="30" customHeight="1">
      <c r="B19" s="4" t="inlineStr">
        <is>
          <t>3.  ACTIVOS: registre cada vehículo propio y cada equipo con su fecha de alta, valor de compra, valor residual y vida útil. El libro calcula la depreciación mensual y deja de calcularla al terminar la vida útil o en la fecha de baja.</t>
        </is>
      </c>
    </row>
    <row r="20" ht="45" customHeight="1">
      <c r="B20" s="4" t="inlineStr">
        <is>
          <t>4.  COSTOS_FIJOS: escriba en la columna «Valor base mensual» cada gasto fijo (salarios de oficina, alquiler, electricidad, servicios contratados de chofer y ayudante por región, etc.). Indique si es salario de un trabajador propio («Sí» en la columna correspondiente): así se calculan la seguridad social (14 %) y el impuesto por la utilización de la fuerza de trabajo (5 %).</t>
        </is>
      </c>
    </row>
    <row r="21" ht="30" customHeight="1">
      <c r="B21" s="4" t="inlineStr">
        <is>
          <t>5.  COMERCIAL: escriba los nombres de los 21 gestores (5 del grupo central y 16 provinciales) y el pago fijo mensual de cada uno. El total pasa solo a COSTOS_FIJOS.</t>
        </is>
      </c>
    </row>
    <row r="22" ht="30" customHeight="1">
      <c r="B22" s="4" t="inlineStr">
        <is>
          <t>6.  Borre los datos de EJEMPLO de las hojas ENTRADA, PRECIOS, ACTIVOS y COMERCIAL. Seleccione las celdas y pulse la tecla Supr. NUNCA elimine filas ni columnas.</t>
        </is>
      </c>
    </row>
    <row r="23">
      <c r="B23" s="3" t="inlineStr">
        <is>
          <t>3. Registro de cada contenedor (hoja ENTRADA)</t>
        </is>
      </c>
    </row>
    <row r="24" ht="15" customHeight="1">
      <c r="B24" s="4" t="inlineStr">
        <is>
          <t>Use una fila por contenedor. Los datos se registran en dos momentos:</t>
        </is>
      </c>
    </row>
    <row r="26" ht="30" customHeight="1">
      <c r="B26" s="4" t="inlineStr">
        <is>
          <t>1.  Al recibir el contenedor: ID del contenedor, fecha de arribo, transitaria (ENCI o A.V), tipo, número de bultos y kg que van a cada región (Occidente, Centro, Oriente), según el manifiesto o desglose. Ponga el Estado en «Abierto».</t>
        </is>
      </c>
    </row>
    <row r="27" ht="45" customHeight="1">
      <c r="B27" s="4" t="inlineStr">
        <is>
          <t>2.  Al terminar la distribución, escriba los datos REALES que tenga: viajes y litros al puerto, dieta pagada, jornales del desagrupe, litros de traslado y de distribución por región, jornales de los centros transitorios, cargos por estadía o almacenaje, otros gastos directos con su detalle y otros ingresos. Ponga la fecha de fin de la distribución y cambie el Estado a «Cerrado».</t>
        </is>
      </c>
    </row>
    <row r="28" ht="30" customHeight="1">
      <c r="B28" s="4" t="inlineStr">
        <is>
          <t>•  Si deja vacía una celda «(opcional)», el libro usa la norma técnica: por ejemplo, 60 L por viaje al puerto. Lo correcto es escribir siempre el dato real, tomado de los vales de combustible y de las hojas de ruta.</t>
        </is>
      </c>
    </row>
    <row r="29" ht="15" customHeight="1">
      <c r="B29" s="4" t="inlineStr">
        <is>
          <t>•  Las columnas «Alertas» y «Utilidad» al final de la fila muestran el resultado al instante.</t>
        </is>
      </c>
    </row>
    <row r="30" ht="15" customHeight="1">
      <c r="B30" s="4" t="inlineStr">
        <is>
          <t>•  Cada importe debe tener un documento que lo respalde: factura, vale, nómina o comprobante. Anote el número del documento en Observaciones.</t>
        </is>
      </c>
    </row>
    <row r="31">
      <c r="B31" s="3" t="inlineStr">
        <is>
          <t>4. Cierre mensual (el primer día hábil del mes siguiente)</t>
        </is>
      </c>
    </row>
    <row r="32" ht="15" customHeight="1">
      <c r="B32" s="4" t="inlineStr">
        <is>
          <t>1.  Compruebe que todos los contenedores del mes estén en «Cerrado» y sin alertas pendientes.</t>
        </is>
      </c>
    </row>
    <row r="33" ht="30" customHeight="1">
      <c r="B33" s="4" t="inlineStr">
        <is>
          <t>2.  En COSTOS_FIJOS, si algún gasto fijo real del mes fue distinto del valor base, escriba el valor real en la celda de ese mes. Esa celda sustituye la fórmula solo para ese mes.</t>
        </is>
      </c>
    </row>
    <row r="34" ht="30" customHeight="1">
      <c r="B34" s="4" t="inlineStr">
        <is>
          <t>3.  En COMERCIAL, seleccione el mes, escriba la base variable de cada gestor (kg o USD cobrados) y compruebe que la conciliación diga «CUADRA». El resultado es la liquidación que se paga a los 21 gestores.</t>
        </is>
      </c>
    </row>
    <row r="35" ht="15" customHeight="1">
      <c r="B35" s="4" t="inlineStr">
        <is>
          <t>4.  Revise RESUMEN_MES y DASHBOARD. La columna «Control» de RESUMEN_MES debe ser cero.</t>
        </is>
      </c>
    </row>
    <row r="36" ht="15" customHeight="1">
      <c r="B36" s="4" t="inlineStr">
        <is>
          <t>5.  Guarde una copia del archivo con el nombre del mes, por ejemplo Rentabilidad_2026-10.xlsx, como respaldo.</t>
        </is>
      </c>
    </row>
    <row r="37">
      <c r="B37" s="3" t="inlineStr">
        <is>
          <t>5. Cuando cambia un precio o una tarifa</t>
        </is>
      </c>
    </row>
    <row r="38" ht="45" customHeight="1">
      <c r="B38" s="4" t="inlineStr">
        <is>
          <t>NO sobrescriba la fila vigente de PRECIOS. Agregue una fila nueva debajo, con la fecha desde la que rige el nuevo precio, y copie los demás valores que no cambian. Cada contenedor toma automáticamente los precios vigentes en su fecha de arribo. Así los contenedores anteriores conservan su costo real y el historial no se altera. Mantenga las fechas en orden ascendente.</t>
        </is>
      </c>
    </row>
    <row r="40">
      <c r="B40" s="3" t="inlineStr">
        <is>
          <t>6. Cómo leer los resultados</t>
        </is>
      </c>
    </row>
    <row r="41" ht="15" customHeight="1">
      <c r="B41" s="5" t="inlineStr">
        <is>
          <t>Indicador</t>
        </is>
      </c>
      <c r="C41" s="5" t="inlineStr">
        <is>
          <t>Qué significa</t>
        </is>
      </c>
      <c r="D41" s="5" t="inlineStr">
        <is>
          <t>Cómo se calcula</t>
        </is>
      </c>
    </row>
    <row r="42" ht="28" customHeight="1">
      <c r="B42" s="7" t="inlineStr">
        <is>
          <t>Margen de contribución (MC)</t>
        </is>
      </c>
      <c r="C42" s="7" t="inlineStr">
        <is>
          <t>Lo que queda de los ingresos para cubrir los costos fijos</t>
        </is>
      </c>
      <c r="D42" s="7" t="inlineStr">
        <is>
          <t>Ingresos − costos variables</t>
        </is>
      </c>
    </row>
    <row r="43" ht="28" customHeight="1">
      <c r="B43" s="7" t="inlineStr">
        <is>
          <t>Utilidad antes de impuesto (UAI)</t>
        </is>
      </c>
      <c r="C43" s="7" t="inlineStr">
        <is>
          <t>Ganancia o pérdida después de todos los costos y de los tributos sobre ingresos</t>
        </is>
      </c>
      <c r="D43" s="7" t="inlineStr">
        <is>
          <t>MC − costos fijos − impuesto sobre ventas y servicios − contribución territorial</t>
        </is>
      </c>
    </row>
    <row r="44" ht="28" customHeight="1">
      <c r="B44" s="7" t="inlineStr">
        <is>
          <t>Utilidad neta estimada</t>
        </is>
      </c>
      <c r="C44" s="7" t="inlineStr">
        <is>
          <t>Ganancia después del impuesto sobre utilidades (estimado)</t>
        </is>
      </c>
      <c r="D44" s="7" t="inlineStr">
        <is>
          <t>UAI − 35 % de la UAI positiva</t>
        </is>
      </c>
    </row>
    <row r="45" ht="15" customHeight="1">
      <c r="B45" s="7" t="inlineStr">
        <is>
          <t>Costo total por kg</t>
        </is>
      </c>
      <c r="C45" s="7" t="inlineStr">
        <is>
          <t>Lo que cuesta mover 1 kg de punta a punta</t>
        </is>
      </c>
      <c r="D45" s="7" t="inlineStr">
        <is>
          <t>Costos totales ÷ kg</t>
        </is>
      </c>
    </row>
    <row r="46" ht="28" customHeight="1">
      <c r="B46" s="7" t="inlineStr">
        <is>
          <t>Punto de equilibrio (kg)</t>
        </is>
      </c>
      <c r="C46" s="7" t="inlineStr">
        <is>
          <t>kg mínimos del mes para no perder dinero</t>
        </is>
      </c>
      <c r="D46" s="7" t="inlineStr">
        <is>
          <t>Costos fijos ÷ (MC − tributos sobre ingresos) por kg</t>
        </is>
      </c>
    </row>
    <row r="47" ht="28" customHeight="1">
      <c r="B47" s="7" t="inlineStr">
        <is>
          <t>Margen de seguridad</t>
        </is>
      </c>
      <c r="C47" s="7" t="inlineStr">
        <is>
          <t>Cuánto pueden caer los kg antes de entrar en pérdida</t>
        </is>
      </c>
      <c r="D47" s="7" t="inlineStr">
        <is>
          <t>(kg reales − kg de equilibrio) ÷ kg reales</t>
        </is>
      </c>
    </row>
    <row r="48" ht="28" customHeight="1">
      <c r="B48" s="7" t="inlineStr">
        <is>
          <t>Fijos no absorbidos</t>
        </is>
      </c>
      <c r="C48" s="7" t="inlineStr">
        <is>
          <t>Costos fijos del mes que ningún contenedor cubrió (meses sin arribos o regiones sin carga)</t>
        </is>
      </c>
      <c r="D48" s="7" t="inlineStr">
        <is>
          <t>Fijos del mes − fijos asignados a contenedores</t>
        </is>
      </c>
    </row>
    <row r="49" ht="28" customHeight="1">
      <c r="B49" s="7" t="inlineStr">
        <is>
          <t>Tarifa mínima (SIMULADOR)</t>
        </is>
      </c>
      <c r="C49" s="7" t="inlineStr">
        <is>
          <t>Precio por kg por debajo del cual la región pierde dinero</t>
        </is>
      </c>
      <c r="D49" s="7" t="inlineStr">
        <is>
          <t>Costos de la región ÷ kg ajustados por los % sobre ingreso</t>
        </is>
      </c>
    </row>
    <row r="51" ht="30" customHeight="1">
      <c r="B51" s="4" t="inlineStr">
        <is>
          <t>•  Utilidad de una región: ingresos de la región menos sus costos propios (combustible, desagrupe, comisión y fijos regionales), menos su parte de los costos compartidos (puerto, transitaria, fijos generales) según sus kg.</t>
        </is>
      </c>
    </row>
    <row r="52" ht="30" customHeight="1">
      <c r="B52" s="4" t="inlineStr">
        <is>
          <t>•  El impuesto sobre utilidades es una ESTIMACIÓN. La liquidación oficial es anual: use la tabla anual de RESUMEN_MES y valídela con el contador y la ONAT.</t>
        </is>
      </c>
    </row>
    <row r="53">
      <c r="B53" s="3" t="inlineStr">
        <is>
          <t>7. Simulador («¿qué pasaría si...?»)</t>
        </is>
      </c>
    </row>
    <row r="54" ht="45" customHeight="1">
      <c r="B54" s="4" t="inlineStr">
        <is>
          <t>En SIMULADOR la columna «Valor actual» trae los datos reales del libro. Escriba un valor en «Valor a simular» para probar un escenario: subir la tarifa, subir el diésel, recibir más contenedores, etc. Borre el valor para volver al dato real. Las tablas de sensibilidad muestran la utilidad mensual para distintas tarifas, precios del diésel y cantidades de contenedores. El simulador no modifica ningún dato del libro.</t>
        </is>
      </c>
    </row>
    <row r="56">
      <c r="B56" s="3" t="inlineStr">
        <is>
          <t>8. Alertas y cómo resolverlas</t>
        </is>
      </c>
    </row>
    <row r="57" ht="15" customHeight="1">
      <c r="B57" s="5" t="inlineStr">
        <is>
          <t>Alerta</t>
        </is>
      </c>
      <c r="C57" s="5" t="inlineStr">
        <is>
          <t>Causa</t>
        </is>
      </c>
      <c r="D57" s="5" t="inlineStr">
        <is>
          <t>Qué hacer</t>
        </is>
      </c>
    </row>
    <row r="58" ht="15" customHeight="1">
      <c r="B58" s="7" t="inlineStr">
        <is>
          <t>Falta fecha / Falta transitaria</t>
        </is>
      </c>
      <c r="C58" s="7" t="inlineStr">
        <is>
          <t>Dato obligatorio vacío</t>
        </is>
      </c>
      <c r="D58" s="7" t="inlineStr">
        <is>
          <t>Complete la columna en ENTRADA</t>
        </is>
      </c>
    </row>
    <row r="59" ht="42" customHeight="1">
      <c r="B59" s="7" t="inlineStr">
        <is>
          <t>Mes fuera del rango de COSTOS_FIJOS</t>
        </is>
      </c>
      <c r="C59" s="7" t="inlineStr">
        <is>
          <t>La fecha cae fuera de los 24 meses del período</t>
        </is>
      </c>
      <c r="D59" s="7" t="inlineStr">
        <is>
          <t>Corrija la fecha, o cambie Fecha_Inicio en PARAMETROS al comenzar un nuevo período (guarde antes una copia)</t>
        </is>
      </c>
    </row>
    <row r="60" ht="28" customHeight="1">
      <c r="B60" s="7" t="inlineStr">
        <is>
          <t>Sin kg</t>
        </is>
      </c>
      <c r="C60" s="7" t="inlineStr">
        <is>
          <t>No se registraron kg por región</t>
        </is>
      </c>
      <c r="D60" s="7" t="inlineStr">
        <is>
          <t>Escriba los kg de Occidente, Centro y Oriente</t>
        </is>
      </c>
    </row>
    <row r="61" ht="28" customHeight="1">
      <c r="B61" s="7" t="inlineStr">
        <is>
          <t>Combustible X % sobre norma</t>
        </is>
      </c>
      <c r="C61" s="7" t="inlineStr">
        <is>
          <t>El consumo real supera la norma más la tolerancia</t>
        </is>
      </c>
      <c r="D61" s="7" t="inlineStr">
        <is>
          <t>Revise vales y hojas de ruta. Si la norma está desactualizada, corríjala en PARAMETROS</t>
        </is>
      </c>
    </row>
    <row r="62" ht="28" customHeight="1">
      <c r="B62" s="7" t="inlineStr">
        <is>
          <t>Fecha anterior a la 1ª vigencia de precios</t>
        </is>
      </c>
      <c r="C62" s="7" t="inlineStr">
        <is>
          <t>No hay precios para esa fecha</t>
        </is>
      </c>
      <c r="D62" s="7" t="inlineStr">
        <is>
          <t>Agregue en PRECIOS una vigencia anterior</t>
        </is>
      </c>
    </row>
    <row r="63" ht="28" customHeight="1">
      <c r="B63" s="7" t="inlineStr">
        <is>
          <t>Contenedor con pérdida</t>
        </is>
      </c>
      <c r="C63" s="7" t="inlineStr">
        <is>
          <t>Los costos superan los ingresos</t>
        </is>
      </c>
      <c r="D63" s="7" t="inlineStr">
        <is>
          <t>Analice la causa en CALCULO (región, combustible, estadía)</t>
        </is>
      </c>
    </row>
    <row r="65">
      <c r="B65" s="3" t="inlineStr">
        <is>
          <t>9. Reglas de oro</t>
        </is>
      </c>
    </row>
    <row r="66" ht="15" customHeight="1">
      <c r="B66" s="4" t="inlineStr">
        <is>
          <t>•  Nunca elimine filas ni columnas. Para borrar datos, seleccione las celdas y pulse Supr.</t>
        </is>
      </c>
    </row>
    <row r="67" ht="15" customHeight="1">
      <c r="B67" s="4" t="inlineStr">
        <is>
          <t>•  Escriba solo en las celdas amarillas. No copie y pegue formatos desde otros archivos: use «Pegar valores».</t>
        </is>
      </c>
    </row>
    <row r="68" ht="15" customHeight="1">
      <c r="B68" s="4" t="inlineStr">
        <is>
          <t>•  Escriba los números sin texto: 60, no «60 L». Escriba las fechas como dd/mm/aaaa.</t>
        </is>
      </c>
    </row>
    <row r="69" ht="15" customHeight="1">
      <c r="B69" s="4" t="inlineStr">
        <is>
          <t>•  Trabaje siempre sobre un único archivo maestro. No haga copias de trabajo paralelas: las copias con fecha son solo respaldos.</t>
        </is>
      </c>
    </row>
    <row r="70" ht="15" customHeight="1">
      <c r="B70" s="4" t="inlineStr">
        <is>
          <t>•  Haga una copia de respaldo semanal y otra en cada cierre mensual.</t>
        </is>
      </c>
    </row>
    <row r="71" ht="30" customHeight="1">
      <c r="B71" s="4" t="inlineStr">
        <is>
          <t>•  El libro admite 300 contenedores en ENTRADA y 24 meses. Al llegar al límite, guarde el archivo como histórico y empiece uno nuevo con Fecha_Inicio actualizada.</t>
        </is>
      </c>
    </row>
    <row r="72">
      <c r="B72" s="3" t="inlineStr">
        <is>
          <t>10. Preguntas frecuentes</t>
        </is>
      </c>
    </row>
    <row r="73" ht="30" customHeight="1">
      <c r="B73" s="4" t="inlineStr">
        <is>
          <t>•  ¿Por qué cambia la utilidad de un contenedor cuando registro otro del mismo mes? Porque los costos fijos del mes se reparten entre todos los contenedores del mes según sus kg. El resultado de un mes es definitivo al cerrarlo.</t>
        </is>
      </c>
    </row>
    <row r="74" ht="15" customHeight="1">
      <c r="B74" s="4" t="inlineStr">
        <is>
          <t>•  ¿Puedo cambiar el método de reparto de los fijos? Sí, en PARAMETROS &gt; Metodo_Prorrateo: KG (recomendado) o CONTENEDOR (partes iguales).</t>
        </is>
      </c>
    </row>
    <row r="75" ht="30" customHeight="1">
      <c r="B75" s="4" t="inlineStr">
        <is>
          <t>•  ¿Cómo registro un gasto que no aparece en ninguna columna? Úselo como «Otros gastos directos» en ENTRADA, si es del contenedor, o como fila «Otros fijos» en COSTOS_FIJOS, si es del mes.</t>
        </is>
      </c>
    </row>
    <row r="76" ht="15" customHeight="1">
      <c r="B76" s="4" t="inlineStr">
        <is>
          <t>•  ¿Qué hago si cambian los impuestos? Actualice las tasas en PARAMETROS, sección D, después de consultarlo con el contador.</t>
        </is>
      </c>
    </row>
    <row r="77" ht="45" customHeight="1">
      <c r="B77" s="4" t="inlineStr">
        <is>
          <t>•  ¿Por qué los meses futuros no muestran costos fijos? Porque todavía no han ocurrido. Los resultados llegan hasta el «mes de corte»: el último mes con contenedores, o el que se fije en PARAMETROS &gt; Mes_Corte. Un mes YA transcurrido sin arribos sí carga sus costos fijos, porque es capacidad ociosa real.</t>
        </is>
      </c>
    </row>
  </sheetData>
  <sheetProtection selectLockedCells="0" selectUnlockedCells="0" sheet="1" objects="0" insertRows="1" insertHyperlinks="1" autoFilter="0" scenarios="0" formatColumns="0" deleteColumns="1" insertColumns="1" pivotTables="1" deleteRows="1" formatCells="1" formatRows="0" sort="1"/>
  <mergeCells count="34">
    <mergeCell ref="B4:F4"/>
    <mergeCell ref="B75:F75"/>
    <mergeCell ref="B54:F54"/>
    <mergeCell ref="B66:F66"/>
    <mergeCell ref="B22:F22"/>
    <mergeCell ref="B71:F71"/>
    <mergeCell ref="B18:F18"/>
    <mergeCell ref="B27:F27"/>
    <mergeCell ref="B52:F52"/>
    <mergeCell ref="B21:F21"/>
    <mergeCell ref="B70:F70"/>
    <mergeCell ref="B77:F77"/>
    <mergeCell ref="B67:F67"/>
    <mergeCell ref="B14:F14"/>
    <mergeCell ref="B17:F17"/>
    <mergeCell ref="B29:F29"/>
    <mergeCell ref="B73:F73"/>
    <mergeCell ref="B69:F69"/>
    <mergeCell ref="B38:F38"/>
    <mergeCell ref="B34:F34"/>
    <mergeCell ref="B28:F28"/>
    <mergeCell ref="B19:F19"/>
    <mergeCell ref="B74:F74"/>
    <mergeCell ref="B30:F30"/>
    <mergeCell ref="B68:F68"/>
    <mergeCell ref="B24:F24"/>
    <mergeCell ref="B20:F20"/>
    <mergeCell ref="B33:F33"/>
    <mergeCell ref="B51:F51"/>
    <mergeCell ref="B76:F76"/>
    <mergeCell ref="B36:F36"/>
    <mergeCell ref="B32:F32"/>
    <mergeCell ref="B26:F26"/>
    <mergeCell ref="B35:F35"/>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FFC000"/>
    <outlinePr summaryBelow="1" summaryRight="1"/>
    <pageSetUpPr fitToPage="1"/>
  </sheetPr>
  <dimension ref="B1:F96"/>
  <sheetViews>
    <sheetView showGridLines="0" zoomScale="90" workbookViewId="0">
      <selection activeCell="A1" sqref="A1"/>
    </sheetView>
  </sheetViews>
  <sheetFormatPr baseColWidth="8" defaultRowHeight="15"/>
  <cols>
    <col width="3" customWidth="1" min="1" max="1"/>
    <col width="34" customWidth="1" min="2" max="2"/>
    <col width="48" customWidth="1" min="3" max="3"/>
    <col width="40" customWidth="1" min="4" max="4"/>
    <col width="30" customWidth="1" min="5" max="5"/>
    <col width="22" customWidth="1" min="6" max="6"/>
  </cols>
  <sheetData>
    <row r="1">
      <c r="B1" s="2" t="inlineStr">
        <is>
          <t>Fuentes de tributos y combustible: ver README (enlaces). Valores ILUSTRATIVOS marcados en PARAMETROS y PRECIOS.</t>
        </is>
      </c>
    </row>
    <row r="2">
      <c r="B2" s="1" t="inlineStr">
        <is>
          <t>ANÁLISIS ECONÓMICO Y PROPUESTA</t>
        </is>
      </c>
    </row>
    <row r="4" ht="30" customHeight="1">
      <c r="B4" s="4" t="inlineStr">
        <is>
          <t>Objetivo: medir con rigor la rentabilidad del negocio de paquetería por contenedor, por región y por mes; identificar dónde se gana y dónde se pierde dinero; y dar a la dirección indicadores para decidir tarifas, rutas y volumen.</t>
        </is>
      </c>
    </row>
    <row r="6">
      <c r="B6" s="3" t="inlineStr">
        <is>
          <t>1. Diagnóstico del flujo actual</t>
        </is>
      </c>
    </row>
    <row r="7" ht="15" customHeight="1">
      <c r="B7" s="5" t="inlineStr">
        <is>
          <t>Etapa</t>
        </is>
      </c>
      <c r="C7" s="5" t="inlineStr">
        <is>
          <t>Actividad</t>
        </is>
      </c>
      <c r="D7" s="5" t="inlineStr">
        <is>
          <t>Recurso</t>
        </is>
      </c>
      <c r="E7" s="5" t="inlineStr">
        <is>
          <t>Costos identificados</t>
        </is>
      </c>
      <c r="F7" s="5" t="inlineStr">
        <is>
          <t>Comportamiento</t>
        </is>
      </c>
    </row>
    <row r="8" ht="42" customHeight="1">
      <c r="B8" s="7" t="inlineStr">
        <is>
          <t>1. Puerto</t>
        </is>
      </c>
      <c r="C8" s="7" t="inlineStr">
        <is>
          <t>Recogida del contenedor en el muelle</t>
        </is>
      </c>
      <c r="D8" s="7" t="inlineStr">
        <is>
          <t>Vehículo PROPIO</t>
        </is>
      </c>
      <c r="E8" s="7" t="inlineStr">
        <is>
          <t>Cita (10 USD), 60 L de combustible, dieta del chofer, desgaste, depreciación, mantenimiento</t>
        </is>
      </c>
      <c r="F8" s="7" t="inlineStr">
        <is>
          <t>Variable por viaje + fijo mensual</t>
        </is>
      </c>
    </row>
    <row r="9" ht="28" customHeight="1">
      <c r="B9" s="7" t="inlineStr">
        <is>
          <t>2. Transitaria (ENCI / A.V)</t>
        </is>
      </c>
      <c r="C9" s="7" t="inlineStr">
        <is>
          <t>Desagrupe y clasificación por destinatario</t>
        </is>
      </c>
      <c r="D9" s="7" t="inlineStr">
        <is>
          <t>Mano de obra por jornada</t>
        </is>
      </c>
      <c r="E9" s="7" t="inlineStr">
        <is>
          <t>Jornales; posibles cargos de la transitaria, almacenaje y estadía</t>
        </is>
      </c>
      <c r="F9" s="7" t="inlineStr">
        <is>
          <t>Variable por kg / contenedor</t>
        </is>
      </c>
    </row>
    <row r="10" ht="42" customHeight="1">
      <c r="B10" s="7" t="inlineStr">
        <is>
          <t>3a. Occidente</t>
        </is>
      </c>
      <c r="C10" s="7" t="inlineStr">
        <is>
          <t>Distribución directa</t>
        </is>
      </c>
      <c r="D10" s="7" t="inlineStr">
        <is>
          <t>Servicio contratado a terceros</t>
        </is>
      </c>
      <c r="E10" s="7" t="inlineStr">
        <is>
          <t>Chofer y ayudante (pago fijo mensual) + combustible de distribución</t>
        </is>
      </c>
      <c r="F10" s="7" t="inlineStr">
        <is>
          <t>Fijo mensual + variable</t>
        </is>
      </c>
    </row>
    <row r="11" ht="42" customHeight="1">
      <c r="B11" s="7" t="inlineStr">
        <is>
          <t>3b. Centro y Oriente</t>
        </is>
      </c>
      <c r="C11" s="7" t="inlineStr">
        <is>
          <t>Traslado a centro transitorio, desagrupe y distribución</t>
        </is>
      </c>
      <c r="D11" s="7" t="inlineStr">
        <is>
          <t>Servicio contratado a terceros</t>
        </is>
      </c>
      <c r="E11" s="7" t="inlineStr">
        <is>
          <t>Chofer y ayudante + combustible de traslado + jornales de desagrupe + combustible de distribución</t>
        </is>
      </c>
      <c r="F11" s="7" t="inlineStr">
        <is>
          <t>Fijo mensual + variable</t>
        </is>
      </c>
    </row>
    <row r="12" ht="28" customHeight="1">
      <c r="B12" s="7" t="inlineStr">
        <is>
          <t>4. Comercialización</t>
        </is>
      </c>
      <c r="C12" s="7" t="inlineStr">
        <is>
          <t>Gestión y cobro en 16 territorios + grupo central de 5</t>
        </is>
      </c>
      <c r="D12" s="7" t="inlineStr">
        <is>
          <t>21 gestores</t>
        </is>
      </c>
      <c r="E12" s="7" t="inlineStr">
        <is>
          <t>Pago fijo igual para todos + parte variable según lo gestionado</t>
        </is>
      </c>
      <c r="F12" s="7" t="inlineStr">
        <is>
          <t>Fijo mensual + variable</t>
        </is>
      </c>
    </row>
    <row r="13" ht="42" customHeight="1">
      <c r="B13" s="7" t="inlineStr">
        <is>
          <t>Transversal</t>
        </is>
      </c>
      <c r="C13" s="7" t="inlineStr">
        <is>
          <t>Dirección, contabilidad, local, servicios</t>
        </is>
      </c>
      <c r="D13" s="7" t="inlineStr">
        <is>
          <t>Estructura</t>
        </is>
      </c>
      <c r="E13" s="7" t="inlineStr">
        <is>
          <t>Salarios, alquiler, electricidad, comunicaciones, seguros, tributos</t>
        </is>
      </c>
      <c r="F13" s="7" t="inlineStr">
        <is>
          <t>Fijo mensual</t>
        </is>
      </c>
    </row>
    <row r="15">
      <c r="B15" s="3" t="inlineStr">
        <is>
          <t>2. Problemas de la medición actual</t>
        </is>
      </c>
    </row>
    <row r="16" ht="15" customHeight="1">
      <c r="B16" s="4" t="inlineStr">
        <is>
          <t>•  No se separan los costos fijos de los variables. Sin esa separación no se puede calcular el punto de equilibrio ni saber cuánto aporta cada kg.</t>
        </is>
      </c>
    </row>
    <row r="17" ht="30" customHeight="1">
      <c r="B17" s="4" t="inlineStr">
        <is>
          <t>•  Faltan costos ocultos: depreciación y mantenimiento del vehículo propio, tributos sobre ingresos y salarios, estadía y almacenaje del contenedor, mermas y reclamaciones, y comisiones bancarias. Por eso la rentabilidad aparente es MAYOR que la real.</t>
        </is>
      </c>
    </row>
    <row r="18" ht="30" customHeight="1">
      <c r="B18" s="4" t="inlineStr">
        <is>
          <t>•  Centro y Oriente tienen dos tramos de transporte y un segundo desagrupe. Con una tarifa por kg igual en todo el país, el Occidente probablemente subsidia al Oriente. Hoy no se puede ver.</t>
        </is>
      </c>
    </row>
    <row r="19" ht="15" customHeight="1">
      <c r="B19" s="4" t="inlineStr">
        <is>
          <t>•  No existen normas de consumo de combustible por ruta. Los desvíos (consumo excesivo, pérdidas) no se detectan.</t>
        </is>
      </c>
    </row>
    <row r="20" ht="30" customHeight="1">
      <c r="B20" s="4" t="inlineStr">
        <is>
          <t>•  Los precios cambian (el diésel en USD varía desde mayo de 2026) y no hay historial. Si se sobrescriben, se pierde el costo real de los contenedores anteriores.</t>
        </is>
      </c>
    </row>
    <row r="21" ht="15" customHeight="1">
      <c r="B21" s="4" t="inlineStr">
        <is>
          <t>•  La parte variable de la comercialización no se concilia con los kg o ingresos realmente entregados y cobrados.</t>
        </is>
      </c>
    </row>
    <row r="22">
      <c r="B22" s="3" t="inlineStr">
        <is>
          <t>3. Metodología del modelo propuesto</t>
        </is>
      </c>
    </row>
    <row r="23" ht="30" customHeight="1">
      <c r="B23" s="4" t="inlineStr">
        <is>
          <t>•  Costeo variable (direct costing) para decidir: margen de contribución por contenedor, por kg y por región, punto de equilibrio y margen de seguridad.</t>
        </is>
      </c>
    </row>
    <row r="24" ht="30" customHeight="1">
      <c r="B24" s="4" t="inlineStr">
        <is>
          <t>•  Costeo por absorción para conocer el costo completo: los costos fijos mensuales se reparten entre los contenedores del mes según sus kg o en partes iguales. Los fijos regionales se reparten solo entre los kg de esa región.</t>
        </is>
      </c>
    </row>
    <row r="25" ht="30" customHeight="1">
      <c r="B25" s="4" t="inlineStr">
        <is>
          <t>•  Centros de costo: Puerto, Transitaria, Occidente, Centro, Oriente, Comercialización y Generales. Cada costo tiene un inductor: viajes, kg, jornales, litros o ingreso.</t>
        </is>
      </c>
    </row>
    <row r="26" ht="15" customHeight="1">
      <c r="B26" s="4" t="inlineStr">
        <is>
          <t>•  Precios con vigencia (hoja PRECIOS): cada contenedor se valora con los precios de su fecha de arribo. El historial queda intacto y es auditable.</t>
        </is>
      </c>
    </row>
    <row r="27" ht="30" customHeight="1">
      <c r="B27" s="4" t="inlineStr">
        <is>
          <t>•  Real frente a norma: cada consumo tiene una norma técnica. Si no hay dato real, se usa la norma. Si el dato real la supera más allá de la tolerancia, aparece una alerta.</t>
        </is>
      </c>
    </row>
    <row r="28" ht="30" customHeight="1">
      <c r="B28" s="4" t="inlineStr">
        <is>
          <t>•  Clasificación por elementos de gasto: materias primas y materiales, combustibles, energía, fuerza de trabajo, depreciación y otros gastos monetarios. Así el libro conecta con la contabilidad y con los informes estadísticos.</t>
        </is>
      </c>
    </row>
    <row r="29" ht="30" customHeight="1">
      <c r="B29" s="4" t="inlineStr">
        <is>
          <t>•  Controles de cuadre: la suma de las utilidades por región es igual a la utilidad del contenedor, y la utilidad mensual es igual a la suma de los contenedores menos los fijos no absorbidos.</t>
        </is>
      </c>
    </row>
    <row r="30">
      <c r="B30" s="3" t="inlineStr">
        <is>
          <t>4. Clasificación de costos</t>
        </is>
      </c>
    </row>
    <row r="31" ht="15" customHeight="1">
      <c r="B31" s="5" t="inlineStr">
        <is>
          <t>Concepto</t>
        </is>
      </c>
      <c r="C31" s="5" t="inlineStr">
        <is>
          <t>Centro de costo</t>
        </is>
      </c>
      <c r="D31" s="5" t="inlineStr">
        <is>
          <t>Tipo</t>
        </is>
      </c>
      <c r="E31" s="5" t="inlineStr">
        <is>
          <t>Inductor</t>
        </is>
      </c>
      <c r="F31" s="5" t="inlineStr">
        <is>
          <t>Elemento de gasto</t>
        </is>
      </c>
    </row>
    <row r="32" ht="15" customHeight="1">
      <c r="B32" s="7" t="inlineStr">
        <is>
          <t>Cita del puerto</t>
        </is>
      </c>
      <c r="C32" s="7" t="inlineStr">
        <is>
          <t>Puerto</t>
        </is>
      </c>
      <c r="D32" s="7" t="inlineStr">
        <is>
          <t>Variable</t>
        </is>
      </c>
      <c r="E32" s="7" t="inlineStr">
        <is>
          <t>Viaje</t>
        </is>
      </c>
      <c r="F32" s="7" t="inlineStr">
        <is>
          <t>Otros gastos monetarios</t>
        </is>
      </c>
    </row>
    <row r="33" ht="28" customHeight="1">
      <c r="B33" s="7" t="inlineStr">
        <is>
          <t>Combustible al puerto</t>
        </is>
      </c>
      <c r="C33" s="7" t="inlineStr">
        <is>
          <t>Puerto</t>
        </is>
      </c>
      <c r="D33" s="7" t="inlineStr">
        <is>
          <t>Variable</t>
        </is>
      </c>
      <c r="E33" s="7" t="inlineStr">
        <is>
          <t>Litros (norma 60 L/viaje)</t>
        </is>
      </c>
      <c r="F33" s="7" t="inlineStr">
        <is>
          <t>Combustibles y lubricantes</t>
        </is>
      </c>
    </row>
    <row r="34" ht="15" customHeight="1">
      <c r="B34" s="7" t="inlineStr">
        <is>
          <t>Dieta del chofer</t>
        </is>
      </c>
      <c r="C34" s="7" t="inlineStr">
        <is>
          <t>Puerto</t>
        </is>
      </c>
      <c r="D34" s="7" t="inlineStr">
        <is>
          <t>Variable</t>
        </is>
      </c>
      <c r="E34" s="7" t="inlineStr">
        <is>
          <t>Viaje</t>
        </is>
      </c>
      <c r="F34" s="7" t="inlineStr">
        <is>
          <t>Otros gastos monetarios</t>
        </is>
      </c>
    </row>
    <row r="35" ht="28" customHeight="1">
      <c r="B35" s="7" t="inlineStr">
        <is>
          <t>Desgaste (neumáticos, lubricantes)</t>
        </is>
      </c>
      <c r="C35" s="7" t="inlineStr">
        <is>
          <t>Puerto</t>
        </is>
      </c>
      <c r="D35" s="7" t="inlineStr">
        <is>
          <t>Variable</t>
        </is>
      </c>
      <c r="E35" s="7" t="inlineStr">
        <is>
          <t>Km recorridos</t>
        </is>
      </c>
      <c r="F35" s="7" t="inlineStr">
        <is>
          <t>Materias primas y materiales</t>
        </is>
      </c>
    </row>
    <row r="36" ht="28" customHeight="1">
      <c r="B36" s="7" t="inlineStr">
        <is>
          <t>Depreciación del vehículo propio</t>
        </is>
      </c>
      <c r="C36" s="7" t="inlineStr">
        <is>
          <t>Generales</t>
        </is>
      </c>
      <c r="D36" s="7" t="inlineStr">
        <is>
          <t>Fijo</t>
        </is>
      </c>
      <c r="E36" s="7" t="inlineStr">
        <is>
          <t>Mes (vida útil)</t>
        </is>
      </c>
      <c r="F36" s="7" t="inlineStr">
        <is>
          <t>Depreciación y amortización</t>
        </is>
      </c>
    </row>
    <row r="37" ht="28" customHeight="1">
      <c r="B37" s="7" t="inlineStr">
        <is>
          <t>Mantenimiento preventivo, seguros y licencias</t>
        </is>
      </c>
      <c r="C37" s="7" t="inlineStr">
        <is>
          <t>Generales</t>
        </is>
      </c>
      <c r="D37" s="7" t="inlineStr">
        <is>
          <t>Fijo</t>
        </is>
      </c>
      <c r="E37" s="7" t="inlineStr">
        <is>
          <t>Mes</t>
        </is>
      </c>
      <c r="F37" s="7" t="inlineStr">
        <is>
          <t>Otros gastos monetarios</t>
        </is>
      </c>
    </row>
    <row r="38" ht="28" customHeight="1">
      <c r="B38" s="7" t="inlineStr">
        <is>
          <t>Jornales de desagrupe (ENCI / A.V)</t>
        </is>
      </c>
      <c r="C38" s="7" t="inlineStr">
        <is>
          <t>Transitaria</t>
        </is>
      </c>
      <c r="D38" s="7" t="inlineStr">
        <is>
          <t>Variable</t>
        </is>
      </c>
      <c r="E38" s="7" t="inlineStr">
        <is>
          <t>Jornal (kg / rendimiento)</t>
        </is>
      </c>
      <c r="F38" s="7" t="inlineStr">
        <is>
          <t>Gastos de fuerza de trabajo</t>
        </is>
      </c>
    </row>
    <row r="39" ht="28" customHeight="1">
      <c r="B39" s="7" t="inlineStr">
        <is>
          <t>Servicio de la transitaria, estadía y almacenaje</t>
        </is>
      </c>
      <c r="C39" s="7" t="inlineStr">
        <is>
          <t>Transitaria</t>
        </is>
      </c>
      <c r="D39" s="7" t="inlineStr">
        <is>
          <t>Variable</t>
        </is>
      </c>
      <c r="E39" s="7" t="inlineStr">
        <is>
          <t>Contenedor / días</t>
        </is>
      </c>
      <c r="F39" s="7" t="inlineStr">
        <is>
          <t>Otros gastos monetarios</t>
        </is>
      </c>
    </row>
    <row r="40" ht="28" customHeight="1">
      <c r="B40" s="7" t="inlineStr">
        <is>
          <t>Chofer y ayudante (servicio contratado)</t>
        </is>
      </c>
      <c r="C40" s="7" t="inlineStr">
        <is>
          <t>Occidente / Centro / Oriente</t>
        </is>
      </c>
      <c r="D40" s="7" t="inlineStr">
        <is>
          <t>Fijo</t>
        </is>
      </c>
      <c r="E40" s="7" t="inlineStr">
        <is>
          <t>Mes</t>
        </is>
      </c>
      <c r="F40" s="7" t="inlineStr">
        <is>
          <t>Otros gastos monetarios</t>
        </is>
      </c>
    </row>
    <row r="41" ht="28" customHeight="1">
      <c r="B41" s="7" t="inlineStr">
        <is>
          <t>Combustible de traslado y distribución</t>
        </is>
      </c>
      <c r="C41" s="7" t="inlineStr">
        <is>
          <t>Occidente / Centro / Oriente</t>
        </is>
      </c>
      <c r="D41" s="7" t="inlineStr">
        <is>
          <t>Variable</t>
        </is>
      </c>
      <c r="E41" s="7" t="inlineStr">
        <is>
          <t>Litros (viajes × norma)</t>
        </is>
      </c>
      <c r="F41" s="7" t="inlineStr">
        <is>
          <t>Combustibles y lubricantes</t>
        </is>
      </c>
    </row>
    <row r="42" ht="28" customHeight="1">
      <c r="B42" s="7" t="inlineStr">
        <is>
          <t>Jornales de desagrupe en centro transitorio</t>
        </is>
      </c>
      <c r="C42" s="7" t="inlineStr">
        <is>
          <t>Centro / Oriente</t>
        </is>
      </c>
      <c r="D42" s="7" t="inlineStr">
        <is>
          <t>Variable</t>
        </is>
      </c>
      <c r="E42" s="7" t="inlineStr">
        <is>
          <t>Jornal</t>
        </is>
      </c>
      <c r="F42" s="7" t="inlineStr">
        <is>
          <t>Gastos de fuerza de trabajo</t>
        </is>
      </c>
    </row>
    <row r="43" ht="28" customHeight="1">
      <c r="B43" s="7" t="inlineStr">
        <is>
          <t>Comercialización: parte fija</t>
        </is>
      </c>
      <c r="C43" s="7" t="inlineStr">
        <is>
          <t>Generales</t>
        </is>
      </c>
      <c r="D43" s="7" t="inlineStr">
        <is>
          <t>Fijo</t>
        </is>
      </c>
      <c r="E43" s="7" t="inlineStr">
        <is>
          <t>Mes × 21 gestores</t>
        </is>
      </c>
      <c r="F43" s="7" t="inlineStr">
        <is>
          <t>Gastos de fuerza de trabajo</t>
        </is>
      </c>
    </row>
    <row r="44" ht="28" customHeight="1">
      <c r="B44" s="7" t="inlineStr">
        <is>
          <t>Comercialización: parte variable</t>
        </is>
      </c>
      <c r="C44" s="7" t="inlineStr">
        <is>
          <t>Por región</t>
        </is>
      </c>
      <c r="D44" s="7" t="inlineStr">
        <is>
          <t>Variable</t>
        </is>
      </c>
      <c r="E44" s="7" t="inlineStr">
        <is>
          <t>% del ingreso o USD/kg</t>
        </is>
      </c>
      <c r="F44" s="7" t="inlineStr">
        <is>
          <t>Gastos de fuerza de trabajo</t>
        </is>
      </c>
    </row>
    <row r="45" ht="15" customHeight="1">
      <c r="B45" s="7" t="inlineStr">
        <is>
          <t>Reclamaciones / mermas</t>
        </is>
      </c>
      <c r="C45" s="7" t="inlineStr">
        <is>
          <t>Por región</t>
        </is>
      </c>
      <c r="D45" s="7" t="inlineStr">
        <is>
          <t>Variable</t>
        </is>
      </c>
      <c r="E45" s="7" t="inlineStr">
        <is>
          <t>% del ingreso</t>
        </is>
      </c>
      <c r="F45" s="7" t="inlineStr">
        <is>
          <t>Otros gastos monetarios</t>
        </is>
      </c>
    </row>
    <row r="46" ht="15" customHeight="1">
      <c r="B46" s="7" t="inlineStr">
        <is>
          <t>Comisiones bancarias</t>
        </is>
      </c>
      <c r="C46" s="7" t="inlineStr">
        <is>
          <t>Por región</t>
        </is>
      </c>
      <c r="D46" s="7" t="inlineStr">
        <is>
          <t>Variable</t>
        </is>
      </c>
      <c r="E46" s="7" t="inlineStr">
        <is>
          <t>% del ingreso</t>
        </is>
      </c>
      <c r="F46" s="7" t="inlineStr">
        <is>
          <t>Otros gastos monetarios</t>
        </is>
      </c>
    </row>
    <row r="47" ht="28" customHeight="1">
      <c r="B47" s="7" t="inlineStr">
        <is>
          <t>Impuesto sobre ventas y servicios (10 %)</t>
        </is>
      </c>
      <c r="C47" s="7" t="inlineStr">
        <is>
          <t>Tributos</t>
        </is>
      </c>
      <c r="D47" s="7" t="inlineStr">
        <is>
          <t>Variable</t>
        </is>
      </c>
      <c r="E47" s="7" t="inlineStr">
        <is>
          <t>Ingreso</t>
        </is>
      </c>
      <c r="F47" s="7" t="inlineStr">
        <is>
          <t>Tributo</t>
        </is>
      </c>
    </row>
    <row r="48" ht="15" customHeight="1">
      <c r="B48" s="7" t="inlineStr">
        <is>
          <t>Contribución territorial (1 %)</t>
        </is>
      </c>
      <c r="C48" s="7" t="inlineStr">
        <is>
          <t>Tributos</t>
        </is>
      </c>
      <c r="D48" s="7" t="inlineStr">
        <is>
          <t>Variable</t>
        </is>
      </c>
      <c r="E48" s="7" t="inlineStr">
        <is>
          <t>Ingreso</t>
        </is>
      </c>
      <c r="F48" s="7" t="inlineStr">
        <is>
          <t>Tributo</t>
        </is>
      </c>
    </row>
    <row r="49" ht="28" customHeight="1">
      <c r="B49" s="7" t="inlineStr">
        <is>
          <t>Seguridad social (14 %) y fuerza de trabajo (5 %)</t>
        </is>
      </c>
      <c r="C49" s="7" t="inlineStr">
        <is>
          <t>Según el salario</t>
        </is>
      </c>
      <c r="D49" s="7" t="inlineStr">
        <is>
          <t>Fijo</t>
        </is>
      </c>
      <c r="E49" s="7" t="inlineStr">
        <is>
          <t>Salarios propios</t>
        </is>
      </c>
      <c r="F49" s="7" t="inlineStr">
        <is>
          <t>Gastos de fuerza de trabajo</t>
        </is>
      </c>
    </row>
    <row r="50" ht="15" customHeight="1">
      <c r="B50" s="7" t="inlineStr">
        <is>
          <t>Impuesto sobre utilidades (35 %)</t>
        </is>
      </c>
      <c r="C50" s="7" t="inlineStr">
        <is>
          <t>Resultado</t>
        </is>
      </c>
      <c r="D50" s="7" t="inlineStr">
        <is>
          <t>Sobre utilidad</t>
        </is>
      </c>
      <c r="E50" s="7" t="inlineStr">
        <is>
          <t>Utilidad anual</t>
        </is>
      </c>
      <c r="F50" s="7" t="inlineStr">
        <is>
          <t>Tributo</t>
        </is>
      </c>
    </row>
    <row r="52">
      <c r="B52" s="3" t="inlineStr">
        <is>
          <t>5. Propuestas de mejora (ordenadas por impacto económico)</t>
        </is>
      </c>
    </row>
    <row r="53" ht="15" customHeight="1">
      <c r="B53" s="5" t="inlineStr">
        <is>
          <t>#</t>
        </is>
      </c>
      <c r="C53" s="5" t="inlineStr">
        <is>
          <t>Propuesta</t>
        </is>
      </c>
      <c r="D53" s="5" t="inlineStr">
        <is>
          <t>Beneficio esperado</t>
        </is>
      </c>
      <c r="E53" s="5" t="inlineStr">
        <is>
          <t>Prioridad</t>
        </is>
      </c>
    </row>
    <row r="54" ht="28" customHeight="1">
      <c r="B54" s="7" t="inlineStr">
        <is>
          <t>1</t>
        </is>
      </c>
      <c r="C54" s="7" t="inlineStr">
        <is>
          <t>Tarifa diferenciada por región (la hoja SIMULADOR calcula la tarifa mínima de cada región)</t>
        </is>
      </c>
      <c r="D54" s="7" t="inlineStr">
        <is>
          <t>Evita que Occidente subsidie a Centro y Oriente; protege el margen</t>
        </is>
      </c>
      <c r="E54" s="7" t="inlineStr">
        <is>
          <t>ALTA</t>
        </is>
      </c>
    </row>
    <row r="55" ht="42" customHeight="1">
      <c r="B55" s="7" t="inlineStr">
        <is>
          <t>2</t>
        </is>
      </c>
      <c r="C55" s="7" t="inlineStr">
        <is>
          <t>Normas de consumo de combustible por ruta, con hoja de ruta, kilometraje y vales por viaje</t>
        </is>
      </c>
      <c r="D55" s="7" t="inlineStr">
        <is>
          <t>El combustible es el mayor costo variable: un control del 10 % se nota directamente en la utilidad</t>
        </is>
      </c>
      <c r="E55" s="7" t="inlineStr">
        <is>
          <t>ALTA</t>
        </is>
      </c>
    </row>
    <row r="56" ht="28" customHeight="1">
      <c r="B56" s="7" t="inlineStr">
        <is>
          <t>3</t>
        </is>
      </c>
      <c r="C56" s="7" t="inlineStr">
        <is>
          <t>Recoger el contenedor dentro de los días libres de la naviera y de la transitaria</t>
        </is>
      </c>
      <c r="D56" s="7" t="inlineStr">
        <is>
          <t>Elimina los cargos por estadía, demora y almacenaje</t>
        </is>
      </c>
      <c r="E56" s="7" t="inlineStr">
        <is>
          <t>ALTA</t>
        </is>
      </c>
    </row>
    <row r="57" ht="28" customHeight="1">
      <c r="B57" s="7" t="inlineStr">
        <is>
          <t>4</t>
        </is>
      </c>
      <c r="C57" s="7" t="inlineStr">
        <is>
          <t>Liquidar la comercialización variable sobre lo COBRADO, con conciliación mensual (hoja COMERCIAL)</t>
        </is>
      </c>
      <c r="D57" s="7" t="inlineStr">
        <is>
          <t>Evita pagar comisiones sobre carga no cobrada y detecta diferencias</t>
        </is>
      </c>
      <c r="E57" s="7" t="inlineStr">
        <is>
          <t>ALTA</t>
        </is>
      </c>
    </row>
    <row r="58" ht="28" customHeight="1">
      <c r="B58" s="7" t="inlineStr">
        <is>
          <t>5</t>
        </is>
      </c>
      <c r="C58" s="7" t="inlineStr">
        <is>
          <t>Pedir a ENCI y A.V sus tarifas por escrito y compararlas para cada contenedor</t>
        </is>
      </c>
      <c r="D58" s="7" t="inlineStr">
        <is>
          <t>Elegir la transitaria más económica según el volumen</t>
        </is>
      </c>
      <c r="E58" s="7" t="inlineStr">
        <is>
          <t>MEDIA</t>
        </is>
      </c>
    </row>
    <row r="59" ht="28" customHeight="1">
      <c r="B59" s="7" t="inlineStr">
        <is>
          <t>6</t>
        </is>
      </c>
      <c r="C59" s="7" t="inlineStr">
        <is>
          <t>Consolidar viajes a Centro y Oriente: no salir con el camión a menos del 80 % de su capacidad</t>
        </is>
      </c>
      <c r="D59" s="7" t="inlineStr">
        <is>
          <t>Menos viajes y menos litros por kg</t>
        </is>
      </c>
      <c r="E59" s="7" t="inlineStr">
        <is>
          <t>MEDIA</t>
        </is>
      </c>
    </row>
    <row r="60" ht="42" customHeight="1">
      <c r="B60" s="7" t="inlineStr">
        <is>
          <t>7</t>
        </is>
      </c>
      <c r="C60" s="7" t="inlineStr">
        <is>
          <t>Evaluar si conviene contratar servicios fijos mensuales o pagar por viaje, según el volumen de cada región</t>
        </is>
      </c>
      <c r="D60" s="7" t="inlineStr">
        <is>
          <t>Convertir costo fijo en variable cuando hay pocos contenedores reduce el riesgo</t>
        </is>
      </c>
      <c r="E60" s="7" t="inlineStr">
        <is>
          <t>MEDIA</t>
        </is>
      </c>
    </row>
    <row r="61" ht="28" customHeight="1">
      <c r="B61" s="7" t="inlineStr">
        <is>
          <t>8</t>
        </is>
      </c>
      <c r="C61" s="7" t="inlineStr">
        <is>
          <t>Buscar carga de retorno para los camiones que vuelven vacíos de Centro y Oriente</t>
        </is>
      </c>
      <c r="D61" s="7" t="inlineStr">
        <is>
          <t>Ingreso adicional casi sin costo</t>
        </is>
      </c>
      <c r="E61" s="7" t="inlineStr">
        <is>
          <t>MEDIA</t>
        </is>
      </c>
    </row>
    <row r="62" ht="28" customHeight="1">
      <c r="B62" s="7" t="inlineStr">
        <is>
          <t>9</t>
        </is>
      </c>
      <c r="C62" s="7" t="inlineStr">
        <is>
          <t>Crear un fondo de reposición del vehículo propio igual a la depreciación mensual</t>
        </is>
      </c>
      <c r="D62" s="7" t="inlineStr">
        <is>
          <t>Garantiza la continuidad de la operación</t>
        </is>
      </c>
      <c r="E62" s="7" t="inlineStr">
        <is>
          <t>MEDIA</t>
        </is>
      </c>
    </row>
    <row r="63" ht="28" customHeight="1">
      <c r="B63" s="7" t="inlineStr">
        <is>
          <t>10</t>
        </is>
      </c>
      <c r="C63" s="7" t="inlineStr">
        <is>
          <t>Asegurar la mercancía en tránsito y crear una provisión para reclamaciones</t>
        </is>
      </c>
      <c r="D63" s="7" t="inlineStr">
        <is>
          <t>Protege contra pérdidas extraordinarias</t>
        </is>
      </c>
      <c r="E63" s="7" t="inlineStr">
        <is>
          <t>MEDIA</t>
        </is>
      </c>
    </row>
    <row r="64" ht="28" customHeight="1">
      <c r="B64" s="7" t="inlineStr">
        <is>
          <t>11</t>
        </is>
      </c>
      <c r="C64" s="7" t="inlineStr">
        <is>
          <t>Registrar los kg y bultos por provincia en cada contenedor; más adelante, por cliente o agencia emisora</t>
        </is>
      </c>
      <c r="D64" s="7" t="inlineStr">
        <is>
          <t>Permite saber la rentabilidad por cliente y por provincia</t>
        </is>
      </c>
      <c r="E64" s="7" t="inlineStr">
        <is>
          <t>BAJA</t>
        </is>
      </c>
    </row>
    <row r="65" ht="42" customHeight="1">
      <c r="B65" s="7" t="inlineStr">
        <is>
          <t>12</t>
        </is>
      </c>
      <c r="C65" s="7" t="inlineStr">
        <is>
          <t>Cuando el volumen supere unos 25 contenedores al mes, pasar el registro a una base de datos o a un sistema de gestión (ERP)</t>
        </is>
      </c>
      <c r="D65" s="7" t="inlineStr">
        <is>
          <t>Escalabilidad, varios usuarios y trazabilidad</t>
        </is>
      </c>
      <c r="E65" s="7" t="inlineStr">
        <is>
          <t>BAJA</t>
        </is>
      </c>
    </row>
    <row r="67">
      <c r="B67" s="3" t="inlineStr">
        <is>
          <t>6. Indicadores que la dirección debe revisar cada mes</t>
        </is>
      </c>
    </row>
    <row r="68" ht="15" customHeight="1">
      <c r="B68" s="4" t="inlineStr">
        <is>
          <t>•  Utilidad antes de impuesto y margen % del mes y del año (DASHBOARD).</t>
        </is>
      </c>
    </row>
    <row r="69" ht="15" customHeight="1">
      <c r="B69" s="4" t="inlineStr">
        <is>
          <t>•  Costo total por kg e ingreso por kg. La diferencia es la utilidad por kg.</t>
        </is>
      </c>
    </row>
    <row r="70" ht="15" customHeight="1">
      <c r="B70" s="4" t="inlineStr">
        <is>
          <t>•  Utilidad por región y su tendencia.</t>
        </is>
      </c>
    </row>
    <row r="71" ht="15" customHeight="1">
      <c r="B71" s="4" t="inlineStr">
        <is>
          <t>•  Punto de equilibrio (kg y contenedores por mes) y margen de seguridad.</t>
        </is>
      </c>
    </row>
    <row r="72" ht="15" customHeight="1">
      <c r="B72" s="4" t="inlineStr">
        <is>
          <t>•  Desvío del consumo de combustible respecto a la norma (%).</t>
        </is>
      </c>
    </row>
    <row r="73" ht="15" customHeight="1">
      <c r="B73" s="4" t="inlineStr">
        <is>
          <t>•  Días de ciclo: desde el arribo hasta el fin de la distribución.</t>
        </is>
      </c>
    </row>
    <row r="74" ht="15" customHeight="1">
      <c r="B74" s="4" t="inlineStr">
        <is>
          <t>•  Costos fijos no absorbidos: indican capacidad ociosa.</t>
        </is>
      </c>
    </row>
    <row r="75">
      <c r="B75" s="3" t="inlineStr">
        <is>
          <t>7. Supuestos del modelo y datos por confirmar</t>
        </is>
      </c>
    </row>
    <row r="76" ht="15" customHeight="1">
      <c r="B76" s="5" t="inlineStr">
        <is>
          <t>Supuesto</t>
        </is>
      </c>
      <c r="C76" s="5" t="inlineStr">
        <is>
          <t>Valor usado</t>
        </is>
      </c>
      <c r="D76" s="5" t="inlineStr">
        <is>
          <t>Fuente / estado</t>
        </is>
      </c>
    </row>
    <row r="77" ht="15" customHeight="1">
      <c r="B77" s="7" t="inlineStr">
        <is>
          <t>Moneda de registro</t>
        </is>
      </c>
      <c r="C77" s="7" t="inlineStr">
        <is>
          <t>USD para todo</t>
        </is>
      </c>
      <c r="D77" s="7" t="inlineStr">
        <is>
          <t>Indicado por la empresa</t>
        </is>
      </c>
    </row>
    <row r="78" ht="28" customHeight="1">
      <c r="B78" s="7" t="inlineStr">
        <is>
          <t>Ingreso</t>
        </is>
      </c>
      <c r="C78" s="7" t="inlineStr">
        <is>
          <t>Tarifa por kg por región</t>
        </is>
      </c>
      <c r="D78" s="7" t="inlineStr">
        <is>
          <t>Indicado por la empresa; el valor 0,80 USD/kg es ILUSTRATIVO</t>
        </is>
      </c>
    </row>
    <row r="79" ht="15" customHeight="1">
      <c r="B79" s="7" t="inlineStr">
        <is>
          <t>Unidad de análisis</t>
        </is>
      </c>
      <c r="C79" s="7" t="inlineStr">
        <is>
          <t>Contenedor; consolidado mensual para los fijos</t>
        </is>
      </c>
      <c r="D79" s="7" t="inlineStr">
        <is>
          <t>Indicado por la empresa</t>
        </is>
      </c>
    </row>
    <row r="80" ht="15" customHeight="1">
      <c r="B80" s="7" t="inlineStr">
        <is>
          <t>Cita del puerto</t>
        </is>
      </c>
      <c r="C80" s="7" t="inlineStr">
        <is>
          <t>10 USD por viaje</t>
        </is>
      </c>
      <c r="D80" s="7" t="inlineStr">
        <is>
          <t>Indicado por la empresa</t>
        </is>
      </c>
    </row>
    <row r="81" ht="15" customHeight="1">
      <c r="B81" s="7" t="inlineStr">
        <is>
          <t>Combustible al puerto</t>
        </is>
      </c>
      <c r="C81" s="7" t="inlineStr">
        <is>
          <t>60 L por viaje</t>
        </is>
      </c>
      <c r="D81" s="7" t="inlineStr">
        <is>
          <t>Indicado por la empresa</t>
        </is>
      </c>
    </row>
    <row r="82" ht="42" customHeight="1">
      <c r="B82" s="7" t="inlineStr">
        <is>
          <t>Precio del diésel</t>
        </is>
      </c>
      <c r="C82" s="7" t="inlineStr">
        <is>
          <t>2,00 USD/L</t>
        </is>
      </c>
      <c r="D82" s="7" t="inlineStr">
        <is>
          <t>Referencia oficial de CUPET para 2026 (diésel regular). Varía por operación: confirmar con las facturas</t>
        </is>
      </c>
    </row>
    <row r="83" ht="15" customHeight="1">
      <c r="B83" s="7" t="inlineStr">
        <is>
          <t>Vehículo propio</t>
        </is>
      </c>
      <c r="C83" s="7" t="inlineStr">
        <is>
          <t>Solo en la recogida en el puerto</t>
        </is>
      </c>
      <c r="D83" s="7" t="inlineStr">
        <is>
          <t>Indicado por la empresa</t>
        </is>
      </c>
    </row>
    <row r="84" ht="28" customHeight="1">
      <c r="B84" s="7" t="inlineStr">
        <is>
          <t>Distribución regional</t>
        </is>
      </c>
      <c r="C84" s="7" t="inlineStr">
        <is>
          <t>Servicio de terceros: chofer y ayudante con pago fijo mensual</t>
        </is>
      </c>
      <c r="D84" s="7" t="inlineStr">
        <is>
          <t>Indicado por la empresa</t>
        </is>
      </c>
    </row>
    <row r="85" ht="15" customHeight="1">
      <c r="B85" s="7" t="inlineStr">
        <is>
          <t>Desagrupe</t>
        </is>
      </c>
      <c r="C85" s="7" t="inlineStr">
        <is>
          <t>Pago por jornal, igual en ENCI y A.V</t>
        </is>
      </c>
      <c r="D85" s="7" t="inlineStr">
        <is>
          <t>Indicado por la empresa</t>
        </is>
      </c>
    </row>
    <row r="86" ht="28" customHeight="1">
      <c r="B86" s="7" t="inlineStr">
        <is>
          <t>Comercialización</t>
        </is>
      </c>
      <c r="C86" s="7" t="inlineStr">
        <is>
          <t>21 gestores (5 + 16) con fijo igual + variable según lo gestionado</t>
        </is>
      </c>
      <c r="D86" s="7" t="inlineStr">
        <is>
          <t>Indicado por la empresa; las tasas son ILUSTRATIVAS</t>
        </is>
      </c>
    </row>
    <row r="87" ht="42" customHeight="1">
      <c r="B87" s="7" t="inlineStr">
        <is>
          <t>Tributos</t>
        </is>
      </c>
      <c r="C87" s="7" t="inlineStr">
        <is>
          <t>Ventas y servicios 10 %, territorial 1 %, seguridad social 14 %, fuerza de trabajo 5 %, utilidades 35 %</t>
        </is>
      </c>
      <c r="D87" s="7" t="inlineStr">
        <is>
          <t>Régimen general de MIPYMES (Ley 113 y Ley del Presupuesto 2026). Confirmar el régimen de la empresa con el contador y la ONAT</t>
        </is>
      </c>
    </row>
    <row r="88" ht="28" customHeight="1">
      <c r="B88" s="7" t="inlineStr">
        <is>
          <t>Normas técnicas (km, capacidades, rendimientos, litros regionales)</t>
        </is>
      </c>
      <c r="C88" s="7" t="inlineStr">
        <is>
          <t>Valores de PARAMETROS</t>
        </is>
      </c>
      <c r="D88" s="7" t="inlineStr">
        <is>
          <t>ILUSTRATIVAS: medir en 2 o 3 contenedores reales y ajustar</t>
        </is>
      </c>
    </row>
    <row r="89" ht="28" customHeight="1">
      <c r="B89" s="7" t="inlineStr">
        <is>
          <t>Gastos fijos y salarios</t>
        </is>
      </c>
      <c r="C89" s="7" t="inlineStr">
        <is>
          <t>Valores de COSTOS_FIJOS</t>
        </is>
      </c>
      <c r="D89" s="7" t="inlineStr">
        <is>
          <t>ILUSTRATIVOS: sustituir por los registros contables</t>
        </is>
      </c>
    </row>
    <row r="91">
      <c r="B91" s="3" t="inlineStr">
        <is>
          <t>8. Plan de implantación</t>
        </is>
      </c>
    </row>
    <row r="92" ht="15" customHeight="1">
      <c r="B92" s="4" t="inlineStr">
        <is>
          <t>1.  Semana 1: el responsable del libro carga PRECIOS, ACTIVOS, COSTOS_FIJOS y COMERCIAL con datos reales y borra los ejemplos.</t>
        </is>
      </c>
    </row>
    <row r="93" ht="15" customHeight="1">
      <c r="B93" s="4" t="inlineStr">
        <is>
          <t>2.  Semanas 2 a 4: el responsable registra los contenedores del mes en curso y, si hay datos, de los 2 o 3 meses anteriores.</t>
        </is>
      </c>
    </row>
    <row r="94" ht="15" customHeight="1">
      <c r="B94" s="4" t="inlineStr">
        <is>
          <t>3.  Mes 1: se miden en la práctica las normas de combustible y de desagrupe, y se ajusta PARAMETROS.</t>
        </is>
      </c>
    </row>
    <row r="95" ht="15" customHeight="1">
      <c r="B95" s="4" t="inlineStr">
        <is>
          <t>4.  Mes 2: primer cierre mensual con conciliación de la comercialización. Se presenta a la dirección la tarifa mínima por región (SIMULADOR).</t>
        </is>
      </c>
    </row>
    <row r="96" ht="15" customHeight="1">
      <c r="B96" s="4" t="inlineStr">
        <is>
          <t>5.  Mes 3: decisión sobre las tarifas diferenciadas y la consolidación de viajes. Se revisa el resultado frente a la contabilidad oficial.</t>
        </is>
      </c>
    </row>
  </sheetData>
  <sheetProtection selectLockedCells="0" selectUnlockedCells="0" sheet="1" objects="0" insertRows="1" insertHyperlinks="1" autoFilter="0" scenarios="0" formatColumns="0" deleteColumns="1" insertColumns="1" pivotTables="1" deleteRows="1" formatCells="1" formatRows="0" sort="1"/>
  <mergeCells count="26">
    <mergeCell ref="B4:F4"/>
    <mergeCell ref="B16:F16"/>
    <mergeCell ref="B25:F25"/>
    <mergeCell ref="B72:F72"/>
    <mergeCell ref="B71:F71"/>
    <mergeCell ref="B93:F93"/>
    <mergeCell ref="B18:F18"/>
    <mergeCell ref="B27:F27"/>
    <mergeCell ref="B96:F96"/>
    <mergeCell ref="B70:F70"/>
    <mergeCell ref="B21:F21"/>
    <mergeCell ref="B23:F23"/>
    <mergeCell ref="B17:F17"/>
    <mergeCell ref="B29:F29"/>
    <mergeCell ref="B73:F73"/>
    <mergeCell ref="B69:F69"/>
    <mergeCell ref="B28:F28"/>
    <mergeCell ref="B19:F19"/>
    <mergeCell ref="B74:F74"/>
    <mergeCell ref="B92:F92"/>
    <mergeCell ref="B68:F68"/>
    <mergeCell ref="B24:F24"/>
    <mergeCell ref="B20:F20"/>
    <mergeCell ref="B95:F95"/>
    <mergeCell ref="B94:F94"/>
    <mergeCell ref="B26:F26"/>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1F3864"/>
    <outlinePr summaryBelow="1" summaryRight="1"/>
    <pageSetUpPr fitToPage="1"/>
  </sheetPr>
  <dimension ref="A1:K48"/>
  <sheetViews>
    <sheetView showGridLines="0" zoomScale="90" workbookViewId="0">
      <selection activeCell="A1" sqref="A1"/>
    </sheetView>
  </sheetViews>
  <sheetFormatPr baseColWidth="8" defaultRowHeight="15"/>
  <cols>
    <col width="2" customWidth="1" min="1" max="1"/>
    <col width="30" customWidth="1" min="2" max="2"/>
    <col width="15" customWidth="1" min="3" max="3"/>
    <col width="13" customWidth="1" min="4" max="4"/>
    <col width="13" customWidth="1" min="5" max="5"/>
    <col width="3" customWidth="1" min="6" max="6"/>
    <col width="30" customWidth="1" min="7" max="7"/>
    <col width="15" customWidth="1" min="8" max="8"/>
    <col width="13" customWidth="1" min="9" max="9"/>
    <col width="13" customWidth="1" min="10" max="10"/>
    <col width="13" customWidth="1" min="11" max="11"/>
    <col width="13" customWidth="1" min="12" max="12"/>
  </cols>
  <sheetData>
    <row r="1" ht="24" customHeight="1">
      <c r="A1" s="1" t="inlineStr">
        <is>
          <t>Panel de rentabilidad</t>
        </is>
      </c>
    </row>
    <row r="2">
      <c r="A2" s="2" t="str">
        <f>"Empresa: "&amp;Empresa</f>
        <v>Empresa: Empresa de Paquetería (editar)</v>
      </c>
    </row>
    <row r="4">
      <c r="B4" s="18" t="inlineStr">
        <is>
          <t>Período desde (mes)</t>
        </is>
      </c>
      <c r="C4" s="19" t="n">
        <v>46266</v>
      </c>
      <c r="D4" s="2" t="inlineStr">
        <is>
          <t>Elija el primer día del mes (dd/mm/aaaa) o seleccione de la lista.</t>
        </is>
      </c>
    </row>
    <row r="5">
      <c r="B5" s="18" t="inlineStr">
        <is>
          <t>Período hasta (mes)</t>
        </is>
      </c>
      <c r="C5" s="19" t="n">
        <v>46296</v>
      </c>
      <c r="D5" s="17">
        <f>IF(C5&lt;C4,"ATENCIÓN: «hasta» es anterior a «desde»","")</f>
      </c>
    </row>
    <row r="7">
      <c r="B7" s="5" t="inlineStr">
        <is>
          <t>INDICADOR</t>
        </is>
      </c>
      <c r="C7" s="5" t="inlineStr">
        <is>
          <t>VALOR</t>
        </is>
      </c>
      <c r="G7" s="5" t="inlineStr">
        <is>
          <t>INDICADOR</t>
        </is>
      </c>
      <c r="H7" s="5" t="inlineStr">
        <is>
          <t>VALOR</t>
        </is>
      </c>
    </row>
    <row r="8">
      <c r="B8" s="20" t="inlineStr">
        <is>
          <t>Contenedores</t>
        </is>
      </c>
      <c r="C8" s="21">
        <f>SUMIFS(RESUMEN_MES!$B$6:$B$29,RESUMEN_MES!$A$6:$A$29,"&gt;="&amp;$C$4,RESUMEN_MES!$A$6:$A$29,"&lt;="&amp;$C$5)</f>
        <v>4</v>
      </c>
      <c r="G8" s="20" t="inlineStr">
        <is>
          <t>Margen neto %</t>
        </is>
      </c>
      <c r="H8" s="22">
        <f>IF(C10=0,0,C18/C10)</f>
        <v>0.18490244596132</v>
      </c>
    </row>
    <row r="9">
      <c r="B9" s="20" t="inlineStr">
        <is>
          <t>kg distribuidos</t>
        </is>
      </c>
      <c r="C9" s="23">
        <f>SUMIFS(RESUMEN_MES!$F$6:$F$29,RESUMEN_MES!$A$6:$A$29,"&gt;="&amp;$C$4,RESUMEN_MES!$A$6:$A$29,"&lt;="&amp;$C$5)</f>
        <v>40100</v>
      </c>
      <c r="G9" s="20" t="inlineStr">
        <is>
          <t>Ingreso por kg</t>
        </is>
      </c>
      <c r="H9" s="24">
        <f>IF(C9=0,0,C10/C9)</f>
        <v>0.803740648379052</v>
      </c>
    </row>
    <row r="10">
      <c r="B10" s="20" t="inlineStr">
        <is>
          <t>Ingresos</t>
        </is>
      </c>
      <c r="C10" s="25">
        <f>SUMIFS(RESUMEN_MES!$G$6:$G$29,RESUMEN_MES!$A$6:$A$29,"&gt;="&amp;$C$4,RESUMEN_MES!$A$6:$A$29,"&lt;="&amp;$C$5)</f>
        <v>32230</v>
      </c>
      <c r="G10" s="20" t="inlineStr">
        <is>
          <t>Costo total por kg</t>
        </is>
      </c>
      <c r="H10" s="24">
        <f>IF(C9=0,0,(C11+C14+C15)/C9)</f>
        <v>0.575104322527016</v>
      </c>
    </row>
    <row r="11">
      <c r="B11" s="20" t="inlineStr">
        <is>
          <t>Costos variables</t>
        </is>
      </c>
      <c r="C11" s="25">
        <f>SUMIFS(RESUMEN_MES!$H$6:$H$29,RESUMEN_MES!$A$6:$A$29,"&gt;="&amp;$C$4,RESUMEN_MES!$A$6:$A$29,"&lt;="&amp;$C$5)</f>
        <v>13036.25</v>
      </c>
      <c r="G11" s="20" t="inlineStr">
        <is>
          <t>Utilidad antes de impuesto por kg</t>
        </is>
      </c>
      <c r="H11" s="24">
        <f>IF(C9=0,0,C16/C9)</f>
        <v>0.228636325852037</v>
      </c>
    </row>
    <row r="12">
      <c r="B12" s="20" t="inlineStr">
        <is>
          <t>Margen de contribución</t>
        </is>
      </c>
      <c r="C12" s="25">
        <f>C10-C11</f>
        <v>19193.75</v>
      </c>
      <c r="G12" s="20" t="inlineStr">
        <is>
          <t>Utilidad media por contenedor</t>
        </is>
      </c>
      <c r="H12" s="25">
        <f>IF(C8=0,0,C16/C8)</f>
        <v>2292.07916666667</v>
      </c>
    </row>
    <row r="13">
      <c r="B13" s="26" t="inlineStr">
        <is>
          <t>MC %</t>
        </is>
      </c>
      <c r="C13" s="22">
        <f>IF(C10=0,0,C12/C10)</f>
        <v>0.595524356189885</v>
      </c>
      <c r="G13" s="20" t="inlineStr">
        <is>
          <t>Punto de equilibrio del período (kg)</t>
        </is>
      </c>
      <c r="H13" s="23">
        <f>IF(C9=0,"s/d",IF(C12-C15&lt;=0,"No cubre",C14/((C12-C15)/C9)))</f>
        <v>16605.6923635674</v>
      </c>
    </row>
    <row r="14">
      <c r="B14" s="20" t="inlineStr">
        <is>
          <t>Costos fijos del período</t>
        </is>
      </c>
      <c r="C14" s="25">
        <f>SUMIFS(RESUMEN_MES!$K$6:$K$29,RESUMEN_MES!$A$6:$A$29,"&gt;="&amp;$C$4,RESUMEN_MES!$A$6:$A$29,"&lt;="&amp;$C$5)</f>
        <v>6480.13333333333</v>
      </c>
      <c r="G14" s="20" t="inlineStr">
        <is>
          <t>Punto de equilibrio (contenedores)</t>
        </is>
      </c>
      <c r="H14" s="27">
        <f>IF(ISNUMBER(H13),H13/(C9/C8),"s/d")</f>
        <v>1.65642816594189</v>
      </c>
    </row>
    <row r="15">
      <c r="B15" s="20" t="inlineStr">
        <is>
          <t>Tributos sobre ingresos</t>
        </is>
      </c>
      <c r="C15" s="25">
        <f>SUMIFS(RESUMEN_MES!$N$6:$N$29,RESUMEN_MES!$A$6:$A$29,"&gt;="&amp;$C$4,RESUMEN_MES!$A$6:$A$29,"&lt;="&amp;$C$5)</f>
        <v>3545.3</v>
      </c>
      <c r="G15" s="20" t="inlineStr">
        <is>
          <t>Margen de seguridad</t>
        </is>
      </c>
      <c r="H15" s="22">
        <f>IF(ISNUMBER(H13),(C9-H13)/C9,"s/d")</f>
        <v>0.585892958514528</v>
      </c>
    </row>
    <row r="16">
      <c r="B16" s="26" t="inlineStr">
        <is>
          <t>UTILIDAD ANTES DE IMPUESTO</t>
        </is>
      </c>
      <c r="C16" s="25">
        <f>C12-C14-C15</f>
        <v>9168.31666666667</v>
      </c>
      <c r="G16" s="20" t="inlineStr">
        <is>
          <t>Fijos no absorbidos (capacidad ociosa)</t>
        </is>
      </c>
      <c r="H16" s="25">
        <f>SUMIFS(RESUMEN_MES!$M$6:$M$29,RESUMEN_MES!$A$6:$A$29,"&gt;="&amp;$C$4,RESUMEN_MES!$A$6:$A$29,"&lt;="&amp;$C$5)</f>
        <v>0</v>
      </c>
    </row>
    <row r="17">
      <c r="B17" s="20" t="inlineStr">
        <is>
          <t>Impuesto sobre utilidades (estimado)</t>
        </is>
      </c>
      <c r="C17" s="25">
        <f>MAX(0,C16)*Imp_Utilidades</f>
        <v>3208.91083333333</v>
      </c>
      <c r="G17" s="20" t="inlineStr">
        <is>
          <t>Contenedores con alerta (todo el libro)</t>
        </is>
      </c>
      <c r="H17" s="21">
        <f>COUNTIF(CALCULO!$CT$6:$CT$305,"?*")</f>
        <v>1</v>
      </c>
    </row>
    <row r="18">
      <c r="B18" s="26" t="inlineStr">
        <is>
          <t>UTILIDAD NETA ESTIMADA</t>
        </is>
      </c>
      <c r="C18" s="25">
        <f>C16-C17</f>
        <v>5959.40583333333</v>
      </c>
      <c r="G18" s="20" t="inlineStr">
        <is>
          <t>Desvío medio del combustible</t>
        </is>
      </c>
      <c r="H18" s="22">
        <f>IFERROR(SUMIFS(CALCULO!$CQ$6:$CQ$305,CALCULO!$D$6:$D$305,"&gt;="&amp;$C$4,CALCULO!$D$6:$D$305,"&lt;="&amp;$C$5)/SUMIFS(CALCULO!$CP$6:$CP$305,CALCULO!$D$6:$D$305,"&gt;="&amp;$C$4,CALCULO!$D$6:$D$305,"&lt;="&amp;$C$5)-1,0)</f>
        <v>0.00433070866141727</v>
      </c>
    </row>
    <row r="20">
      <c r="B20" s="3" t="inlineStr">
        <is>
          <t>Estructura de costos del período</t>
        </is>
      </c>
      <c r="G20" s="3" t="inlineStr">
        <is>
          <t>Rentabilidad por región del período</t>
        </is>
      </c>
    </row>
    <row r="21">
      <c r="B21" s="5" t="inlineStr">
        <is>
          <t>Concepto</t>
        </is>
      </c>
      <c r="C21" s="5" t="inlineStr">
        <is>
          <t>USD</t>
        </is>
      </c>
      <c r="D21" s="5" t="inlineStr">
        <is>
          <t>% de los ingresos</t>
        </is>
      </c>
      <c r="E21" s="5" t="inlineStr">
        <is>
          <t>USD por kg</t>
        </is>
      </c>
      <c r="G21" s="5" t="inlineStr">
        <is>
          <t>Región</t>
        </is>
      </c>
      <c r="H21" s="5" t="inlineStr">
        <is>
          <t>kg</t>
        </is>
      </c>
      <c r="I21" s="5" t="inlineStr">
        <is>
          <t>Ingresos</t>
        </is>
      </c>
      <c r="J21" s="5" t="inlineStr">
        <is>
          <t>Utilidad antes de impuesto</t>
        </is>
      </c>
      <c r="K21" s="5" t="inlineStr">
        <is>
          <t>Margen %</t>
        </is>
      </c>
    </row>
    <row r="22">
      <c r="B22" s="8" t="inlineStr">
        <is>
          <t>Puerto (vehículo propio)</t>
        </is>
      </c>
      <c r="C22" s="28">
        <f>SUMIFS(CALCULO!$Y$6:$Y$305,CALCULO!$D$6:$D$305,"&gt;="&amp;$C$4,CALCULO!$D$6:$D$305,"&lt;="&amp;$C$5)</f>
        <v>650.4</v>
      </c>
      <c r="D22" s="29">
        <f>IF($C$10=0,0,C22/$C$10)</f>
        <v>0.0201799565622091</v>
      </c>
      <c r="E22" s="30">
        <f>IF($C$9=0,0,C22/$C$9)</f>
        <v>0.0162194513715711</v>
      </c>
      <c r="G22" s="8" t="inlineStr">
        <is>
          <t>Occidente</t>
        </is>
      </c>
      <c r="H22" s="31">
        <f>SUMIFS(CALCULO!$G$6:$G$305,CALCULO!$D$6:$D$305,"&gt;="&amp;$C$4,CALCULO!$D$6:$D$305,"&lt;="&amp;$C$5)</f>
        <v>19700</v>
      </c>
      <c r="I22" s="28">
        <f>SUMIFS(CALCULO!$M$6:$M$305,CALCULO!$D$6:$D$305,"&gt;="&amp;$C$4,CALCULO!$D$6:$D$305,"&lt;="&amp;$C$5)</f>
        <v>15760</v>
      </c>
      <c r="J22" s="28">
        <f>SUMIFS(RESUMEN_MES!$W$6:$W$29,RESUMEN_MES!$A$6:$A$29,"&gt;="&amp;$C$4,RESUMEN_MES!$A$6:$A$29,"&lt;="&amp;$C$5)</f>
        <v>8420.22083066034</v>
      </c>
      <c r="K22" s="29">
        <f>IF(I22=0,0,J22/I22)</f>
        <v>0.5342779714886</v>
      </c>
    </row>
    <row r="23">
      <c r="B23" s="8" t="inlineStr">
        <is>
          <t>Transitaria (desagrupe y estadía)</t>
        </is>
      </c>
      <c r="C23" s="28">
        <f>SUMIFS(CALCULO!$AE$6:$AE$305,CALCULO!$D$6:$D$305,"&gt;="&amp;$C$4,CALCULO!$D$6:$D$305,"&lt;="&amp;$C$5)</f>
        <v>765</v>
      </c>
      <c r="D23" s="29">
        <f>IF($C$10=0,0,C23/$C$10)</f>
        <v>0.0237356500155135</v>
      </c>
      <c r="E23" s="30">
        <f>IF($C$9=0,0,C23/$C$9)</f>
        <v>0.0190773067331671</v>
      </c>
      <c r="G23" s="8" t="inlineStr">
        <is>
          <t>Centro</t>
        </is>
      </c>
      <c r="H23" s="31">
        <f>SUMIFS(CALCULO!$H$6:$H$305,CALCULO!$D$6:$D$305,"&gt;="&amp;$C$4,CALCULO!$D$6:$D$305,"&lt;="&amp;$C$5)</f>
        <v>9100</v>
      </c>
      <c r="I23" s="28">
        <f>SUMIFS(CALCULO!$N$6:$N$305,CALCULO!$D$6:$D$305,"&gt;="&amp;$C$4,CALCULO!$D$6:$D$305,"&lt;="&amp;$C$5)</f>
        <v>7280</v>
      </c>
      <c r="J23" s="28">
        <f>SUMIFS(RESUMEN_MES!$X$6:$X$29,RESUMEN_MES!$A$6:$A$29,"&gt;="&amp;$C$4,RESUMEN_MES!$A$6:$A$29,"&lt;="&amp;$C$5)</f>
        <v>861.634333280298</v>
      </c>
      <c r="K23" s="29">
        <f>IF(I23=0,0,J23/I23)</f>
        <v>0.118356364461579</v>
      </c>
    </row>
    <row r="24">
      <c r="B24" s="8" t="inlineStr">
        <is>
          <t>Distribución Occidente</t>
        </is>
      </c>
      <c r="C24" s="28">
        <f>SUMIFS(CALCULO!$AI$6:$AI$305,CALCULO!$D$6:$D$305,"&gt;="&amp;$C$4,CALCULO!$D$6:$D$305,"&lt;="&amp;$C$5)</f>
        <v>1260</v>
      </c>
      <c r="D24" s="29">
        <f>IF($C$10=0,0,C24/$C$10)</f>
        <v>0.0390940117902575</v>
      </c>
      <c r="E24" s="30">
        <f>IF($C$9=0,0,C24/$C$9)</f>
        <v>0.0314214463840399</v>
      </c>
      <c r="G24" s="8" t="inlineStr">
        <is>
          <t>Oriente</t>
        </is>
      </c>
      <c r="H24" s="31">
        <f>SUMIFS(CALCULO!$I$6:$I$305,CALCULO!$D$6:$D$305,"&gt;="&amp;$C$4,CALCULO!$D$6:$D$305,"&lt;="&amp;$C$5)</f>
        <v>11300</v>
      </c>
      <c r="I24" s="28">
        <f>SUMIFS(CALCULO!$O$6:$O$305,CALCULO!$D$6:$D$305,"&gt;="&amp;$C$4,CALCULO!$D$6:$D$305,"&lt;="&amp;$C$5)</f>
        <v>9040</v>
      </c>
      <c r="J24" s="28">
        <f>SUMIFS(RESUMEN_MES!$Y$6:$Y$29,RESUMEN_MES!$A$6:$A$29,"&gt;="&amp;$C$4,RESUMEN_MES!$A$6:$A$29,"&lt;="&amp;$C$5)</f>
        <v>-113.538497273967</v>
      </c>
      <c r="K24" s="29">
        <f>IF(I24=0,0,J24/I24)</f>
        <v>-0.0125595682825185</v>
      </c>
    </row>
    <row r="25">
      <c r="B25" s="8" t="inlineStr">
        <is>
          <t>Distribución Centro</t>
        </is>
      </c>
      <c r="C25" s="28">
        <f>SUMIFS(CALCULO!$AS$6:$AS$305,CALCULO!$D$6:$D$305,"&gt;="&amp;$C$4,CALCULO!$D$6:$D$305,"&lt;="&amp;$C$5)</f>
        <v>3395</v>
      </c>
      <c r="D25" s="29">
        <f>IF($C$10=0,0,C25/$C$10)</f>
        <v>0.105336642879305</v>
      </c>
      <c r="E25" s="30">
        <f>IF($C$9=0,0,C25/$C$9)</f>
        <v>0.0846633416458853</v>
      </c>
      <c r="G25" s="8" t="inlineStr">
        <is>
          <t>Fijos no absorbidos</t>
        </is>
      </c>
      <c r="J25" s="28">
        <f>SUMIFS(RESUMEN_MES!$Z$6:$Z$29,RESUMEN_MES!$A$6:$A$29,"&gt;="&amp;$C$4,RESUMEN_MES!$A$6:$A$29,"&lt;="&amp;$C$5)</f>
        <v>0</v>
      </c>
    </row>
    <row r="26">
      <c r="B26" s="8" t="inlineStr">
        <is>
          <t>Distribución Oriente</t>
        </is>
      </c>
      <c r="C26" s="28">
        <f>SUMIFS(CALCULO!$BC$6:$BC$305,CALCULO!$D$6:$D$305,"&gt;="&amp;$C$4,CALCULO!$D$6:$D$305,"&lt;="&amp;$C$5)</f>
        <v>5485</v>
      </c>
      <c r="D26" s="29">
        <f>IF($C$10=0,0,C26/$C$10)</f>
        <v>0.170183059261558</v>
      </c>
      <c r="E26" s="30">
        <f>IF($C$9=0,0,C26/$C$9)</f>
        <v>0.136783042394015</v>
      </c>
      <c r="G26" s="32" t="inlineStr">
        <is>
          <t>TOTAL</t>
        </is>
      </c>
      <c r="H26" s="33">
        <f>SUM(H22:H24)</f>
        <v>40100</v>
      </c>
      <c r="I26" s="34">
        <f>SUM(I22:I24)</f>
        <v>32080</v>
      </c>
      <c r="J26" s="34">
        <f>SUM(J22:J25)</f>
        <v>9168.31666666667</v>
      </c>
      <c r="K26" s="35">
        <f>IF(I26=0,0,J26/I26)</f>
        <v>0.285795407315046</v>
      </c>
    </row>
    <row r="27">
      <c r="B27" s="8" t="inlineStr">
        <is>
          <t>Comercialización variable</t>
        </is>
      </c>
      <c r="C27" s="28">
        <f>SUMIFS(CALCULO!$BH$6:$BH$305,CALCULO!$D$6:$D$305,"&gt;="&amp;$C$4,CALCULO!$D$6:$D$305,"&lt;="&amp;$C$5)</f>
        <v>962.4</v>
      </c>
      <c r="D27" s="29">
        <f>IF($C$10=0,0,C27/$C$10)</f>
        <v>0.0298603785293205</v>
      </c>
      <c r="E27" s="30">
        <f>IF($C$9=0,0,C27/$C$9)</f>
        <v>0.024</v>
      </c>
      <c r="G27" s="2" t="inlineStr">
        <is>
          <t>Los ingresos regionales no incluyen «otros ingresos», que se reparten en la utilidad según los kg.</t>
        </is>
      </c>
    </row>
    <row r="28">
      <c r="B28" s="8" t="inlineStr">
        <is>
          <t>Reclamaciones y banca</t>
        </is>
      </c>
      <c r="C28" s="28">
        <f>SUMIFS(CALCULO!$BI$6:$BI$305,CALCULO!$D$6:$D$305,"&gt;="&amp;$C$4,CALCULO!$D$6:$D$305,"&lt;="&amp;$C$5)+SUMIFS(CALCULO!$BJ$6:$BJ$305,CALCULO!$D$6:$D$305,"&gt;="&amp;$C$4,CALCULO!$D$6:$D$305,"&lt;="&amp;$C$5)</f>
        <v>483.45</v>
      </c>
      <c r="D28" s="29">
        <f>IF($C$10=0,0,C28/$C$10)</f>
        <v>0.015</v>
      </c>
      <c r="E28" s="30">
        <f>IF($C$9=0,0,C28/$C$9)</f>
        <v>0.0120561097256858</v>
      </c>
    </row>
    <row r="29">
      <c r="B29" s="8" t="inlineStr">
        <is>
          <t>Otros gastos directos</t>
        </is>
      </c>
      <c r="C29" s="28">
        <f>SUMIFS(CALCULO!$BK$6:$BK$305,CALCULO!$D$6:$D$305,"&gt;="&amp;$C$4,CALCULO!$D$6:$D$305,"&lt;="&amp;$C$5)</f>
        <v>35</v>
      </c>
      <c r="D29" s="29">
        <f>IF($C$10=0,0,C29/$C$10)</f>
        <v>0.0010859447719516</v>
      </c>
      <c r="E29" s="30">
        <f>IF($C$9=0,0,C29/$C$9)</f>
        <v>0.00087281795511222</v>
      </c>
    </row>
    <row r="30">
      <c r="B30" s="8" t="inlineStr">
        <is>
          <t>Costos fijos</t>
        </is>
      </c>
      <c r="C30" s="28">
        <f>SUMIFS(RESUMEN_MES!$K$6:$K$29,RESUMEN_MES!$A$6:$A$29,"&gt;="&amp;$C$4,RESUMEN_MES!$A$6:$A$29,"&lt;="&amp;$C$5)</f>
        <v>6480.13333333333</v>
      </c>
      <c r="D30" s="29">
        <f>IF($C$10=0,0,C30/$C$10)</f>
        <v>0.201059054710932</v>
      </c>
      <c r="E30" s="30">
        <f>IF($C$9=0,0,C30/$C$9)</f>
        <v>0.161599334995844</v>
      </c>
    </row>
    <row r="31">
      <c r="B31" s="8" t="inlineStr">
        <is>
          <t>Tributos sobre ingresos</t>
        </is>
      </c>
      <c r="C31" s="28">
        <f>SUMIFS(RESUMEN_MES!$N$6:$N$29,RESUMEN_MES!$A$6:$A$29,"&gt;="&amp;$C$4,RESUMEN_MES!$A$6:$A$29,"&lt;="&amp;$C$5)</f>
        <v>3545.3</v>
      </c>
      <c r="D31" s="29">
        <f>IF($C$10=0,0,C31/$C$10)</f>
        <v>0.11</v>
      </c>
      <c r="E31" s="30">
        <f>IF($C$9=0,0,C31/$C$9)</f>
        <v>0.0884114713216958</v>
      </c>
    </row>
    <row r="32">
      <c r="B32" s="32" t="inlineStr">
        <is>
          <t>TOTAL COSTOS</t>
        </is>
      </c>
      <c r="C32" s="34">
        <f>SUM(C22:C31)</f>
        <v>23061.6833333333</v>
      </c>
      <c r="D32" s="35">
        <f>IF($C$10=0,0,C32/$C$10)</f>
        <v>0.715534698521047</v>
      </c>
      <c r="E32" s="36">
        <f>IF($C$9=0,0,C32/$C$9)</f>
        <v>0.575104322527016</v>
      </c>
    </row>
    <row r="33">
      <c r="B33" s="2" t="inlineStr">
        <is>
          <t>Control: ingresos − costos − utilidad (debe ser 0)</t>
        </is>
      </c>
      <c r="C33" s="37">
        <f>ROUND(C10-C32-C16,2)</f>
        <v>0</v>
      </c>
    </row>
    <row r="35">
      <c r="B35" s="3" t="inlineStr">
        <is>
          <t>Evolución mensual del período (máx. 12 meses)</t>
        </is>
      </c>
    </row>
    <row r="36">
      <c r="B36" s="5" t="inlineStr">
        <is>
          <t>Mes</t>
        </is>
      </c>
      <c r="C36" s="5" t="inlineStr">
        <is>
          <t>Ingresos</t>
        </is>
      </c>
      <c r="D36" s="5" t="inlineStr">
        <is>
          <t>Costos totales</t>
        </is>
      </c>
      <c r="E36" s="5" t="inlineStr">
        <is>
          <t>Utilidad antes de impuesto</t>
        </is>
      </c>
    </row>
    <row r="37">
      <c r="B37" s="38">
        <f>IF(EDATE($C$4,0)&gt;$C$5,"",EDATE($C$4,0))</f>
        <v>46266.0</v>
      </c>
      <c r="C37" s="28">
        <f>IF($B37="","",SUMIFS(RESUMEN_MES!$G$6:$G$29,RESUMEN_MES!$A$6:$A$29,$B37))</f>
        <v>15600</v>
      </c>
      <c r="D37" s="28">
        <f>IF($B37="","",SUMIFS(RESUMEN_MES!$AB$6:$AB$29,RESUMEN_MES!$A$6:$A$29,$B37))</f>
        <v>11530.2666666667</v>
      </c>
      <c r="E37" s="28">
        <f>IF($B37="","",SUMIFS(RESUMEN_MES!$O$6:$O$29,RESUMEN_MES!$A$6:$A$29,$B37))</f>
        <v>4069.73333333333</v>
      </c>
    </row>
    <row r="38">
      <c r="B38" s="38">
        <f>IF(EDATE($C$4,1)&gt;$C$5,"",EDATE($C$4,1))</f>
        <v>46296.0</v>
      </c>
      <c r="C38" s="28">
        <f>IF($B38="","",SUMIFS(RESUMEN_MES!$G$6:$G$29,RESUMEN_MES!$A$6:$A$29,$B38))</f>
        <v>16630</v>
      </c>
      <c r="D38" s="28">
        <f>IF($B38="","",SUMIFS(RESUMEN_MES!$AB$6:$AB$29,RESUMEN_MES!$A$6:$A$29,$B38))</f>
        <v>11531.4166666667</v>
      </c>
      <c r="E38" s="28">
        <f>IF($B38="","",SUMIFS(RESUMEN_MES!$O$6:$O$29,RESUMEN_MES!$A$6:$A$29,$B38))</f>
        <v>5098.58333333333</v>
      </c>
    </row>
    <row r="39">
      <c r="B39" s="38">
        <f>IF(EDATE($C$4,2)&gt;$C$5,"",EDATE($C$4,2))</f>
      </c>
      <c r="C39" s="28">
        <f>IF($B39="","",SUMIFS(RESUMEN_MES!$G$6:$G$29,RESUMEN_MES!$A$6:$A$29,$B39))</f>
      </c>
      <c r="D39" s="28">
        <f>IF($B39="","",SUMIFS(RESUMEN_MES!$AB$6:$AB$29,RESUMEN_MES!$A$6:$A$29,$B39))</f>
      </c>
      <c r="E39" s="28">
        <f>IF($B39="","",SUMIFS(RESUMEN_MES!$O$6:$O$29,RESUMEN_MES!$A$6:$A$29,$B39))</f>
      </c>
    </row>
    <row r="40">
      <c r="B40" s="38">
        <f>IF(EDATE($C$4,3)&gt;$C$5,"",EDATE($C$4,3))</f>
      </c>
      <c r="C40" s="28">
        <f>IF($B40="","",SUMIFS(RESUMEN_MES!$G$6:$G$29,RESUMEN_MES!$A$6:$A$29,$B40))</f>
      </c>
      <c r="D40" s="28">
        <f>IF($B40="","",SUMIFS(RESUMEN_MES!$AB$6:$AB$29,RESUMEN_MES!$A$6:$A$29,$B40))</f>
      </c>
      <c r="E40" s="28">
        <f>IF($B40="","",SUMIFS(RESUMEN_MES!$O$6:$O$29,RESUMEN_MES!$A$6:$A$29,$B40))</f>
      </c>
    </row>
    <row r="41">
      <c r="B41" s="38">
        <f>IF(EDATE($C$4,4)&gt;$C$5,"",EDATE($C$4,4))</f>
      </c>
      <c r="C41" s="28">
        <f>IF($B41="","",SUMIFS(RESUMEN_MES!$G$6:$G$29,RESUMEN_MES!$A$6:$A$29,$B41))</f>
      </c>
      <c r="D41" s="28">
        <f>IF($B41="","",SUMIFS(RESUMEN_MES!$AB$6:$AB$29,RESUMEN_MES!$A$6:$A$29,$B41))</f>
      </c>
      <c r="E41" s="28">
        <f>IF($B41="","",SUMIFS(RESUMEN_MES!$O$6:$O$29,RESUMEN_MES!$A$6:$A$29,$B41))</f>
      </c>
    </row>
    <row r="42">
      <c r="B42" s="38">
        <f>IF(EDATE($C$4,5)&gt;$C$5,"",EDATE($C$4,5))</f>
      </c>
      <c r="C42" s="28">
        <f>IF($B42="","",SUMIFS(RESUMEN_MES!$G$6:$G$29,RESUMEN_MES!$A$6:$A$29,$B42))</f>
      </c>
      <c r="D42" s="28">
        <f>IF($B42="","",SUMIFS(RESUMEN_MES!$AB$6:$AB$29,RESUMEN_MES!$A$6:$A$29,$B42))</f>
      </c>
      <c r="E42" s="28">
        <f>IF($B42="","",SUMIFS(RESUMEN_MES!$O$6:$O$29,RESUMEN_MES!$A$6:$A$29,$B42))</f>
      </c>
    </row>
    <row r="43">
      <c r="B43" s="38">
        <f>IF(EDATE($C$4,6)&gt;$C$5,"",EDATE($C$4,6))</f>
      </c>
      <c r="C43" s="28">
        <f>IF($B43="","",SUMIFS(RESUMEN_MES!$G$6:$G$29,RESUMEN_MES!$A$6:$A$29,$B43))</f>
      </c>
      <c r="D43" s="28">
        <f>IF($B43="","",SUMIFS(RESUMEN_MES!$AB$6:$AB$29,RESUMEN_MES!$A$6:$A$29,$B43))</f>
      </c>
      <c r="E43" s="28">
        <f>IF($B43="","",SUMIFS(RESUMEN_MES!$O$6:$O$29,RESUMEN_MES!$A$6:$A$29,$B43))</f>
      </c>
    </row>
    <row r="44">
      <c r="B44" s="38">
        <f>IF(EDATE($C$4,7)&gt;$C$5,"",EDATE($C$4,7))</f>
      </c>
      <c r="C44" s="28">
        <f>IF($B44="","",SUMIFS(RESUMEN_MES!$G$6:$G$29,RESUMEN_MES!$A$6:$A$29,$B44))</f>
      </c>
      <c r="D44" s="28">
        <f>IF($B44="","",SUMIFS(RESUMEN_MES!$AB$6:$AB$29,RESUMEN_MES!$A$6:$A$29,$B44))</f>
      </c>
      <c r="E44" s="28">
        <f>IF($B44="","",SUMIFS(RESUMEN_MES!$O$6:$O$29,RESUMEN_MES!$A$6:$A$29,$B44))</f>
      </c>
    </row>
    <row r="45">
      <c r="B45" s="38">
        <f>IF(EDATE($C$4,8)&gt;$C$5,"",EDATE($C$4,8))</f>
      </c>
      <c r="C45" s="28">
        <f>IF($B45="","",SUMIFS(RESUMEN_MES!$G$6:$G$29,RESUMEN_MES!$A$6:$A$29,$B45))</f>
      </c>
      <c r="D45" s="28">
        <f>IF($B45="","",SUMIFS(RESUMEN_MES!$AB$6:$AB$29,RESUMEN_MES!$A$6:$A$29,$B45))</f>
      </c>
      <c r="E45" s="28">
        <f>IF($B45="","",SUMIFS(RESUMEN_MES!$O$6:$O$29,RESUMEN_MES!$A$6:$A$29,$B45))</f>
      </c>
    </row>
    <row r="46">
      <c r="B46" s="38">
        <f>IF(EDATE($C$4,9)&gt;$C$5,"",EDATE($C$4,9))</f>
      </c>
      <c r="C46" s="28">
        <f>IF($B46="","",SUMIFS(RESUMEN_MES!$G$6:$G$29,RESUMEN_MES!$A$6:$A$29,$B46))</f>
      </c>
      <c r="D46" s="28">
        <f>IF($B46="","",SUMIFS(RESUMEN_MES!$AB$6:$AB$29,RESUMEN_MES!$A$6:$A$29,$B46))</f>
      </c>
      <c r="E46" s="28">
        <f>IF($B46="","",SUMIFS(RESUMEN_MES!$O$6:$O$29,RESUMEN_MES!$A$6:$A$29,$B46))</f>
      </c>
    </row>
    <row r="47">
      <c r="B47" s="38">
        <f>IF(EDATE($C$4,10)&gt;$C$5,"",EDATE($C$4,10))</f>
      </c>
      <c r="C47" s="28">
        <f>IF($B47="","",SUMIFS(RESUMEN_MES!$G$6:$G$29,RESUMEN_MES!$A$6:$A$29,$B47))</f>
      </c>
      <c r="D47" s="28">
        <f>IF($B47="","",SUMIFS(RESUMEN_MES!$AB$6:$AB$29,RESUMEN_MES!$A$6:$A$29,$B47))</f>
      </c>
      <c r="E47" s="28">
        <f>IF($B47="","",SUMIFS(RESUMEN_MES!$O$6:$O$29,RESUMEN_MES!$A$6:$A$29,$B47))</f>
      </c>
    </row>
    <row r="48">
      <c r="B48" s="38">
        <f>IF(EDATE($C$4,11)&gt;$C$5,"",EDATE($C$4,11))</f>
      </c>
      <c r="C48" s="28">
        <f>IF($B48="","",SUMIFS(RESUMEN_MES!$G$6:$G$29,RESUMEN_MES!$A$6:$A$29,$B48))</f>
      </c>
      <c r="D48" s="28">
        <f>IF($B48="","",SUMIFS(RESUMEN_MES!$AB$6:$AB$29,RESUMEN_MES!$A$6:$A$29,$B48))</f>
      </c>
      <c r="E48" s="28">
        <f>IF($B48="","",SUMIFS(RESUMEN_MES!$O$6:$O$29,RESUMEN_MES!$A$6:$A$29,$B48))</f>
      </c>
    </row>
  </sheetData>
  <sheetProtection selectLockedCells="0" selectUnlockedCells="0" sheet="1" objects="0" insertRows="1" insertHyperlinks="1" autoFilter="0" scenarios="0" formatColumns="0" deleteColumns="1" insertColumns="1" pivotTables="1" deleteRows="1" formatCells="1" formatRows="0" sort="1"/>
  <dataValidations count="2">
    <dataValidation sqref="C4" showDropDown="0" showInputMessage="0" showErrorMessage="0" allowBlank="0" type="list">
      <formula1>=RESUMEN_MES!$A$6:$A$29</formula1>
    </dataValidation>
    <dataValidation sqref="C5" showDropDown="0" showInputMessage="0" showErrorMessage="0" allowBlank="0" type="list">
      <formula1>=RESUMEN_MES!$A$6:$A$29</formula1>
    </dataValidation>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E75B6"/>
    <outlinePr summaryBelow="1" summaryRight="1"/>
    <pageSetUpPr fitToPage="1"/>
  </sheetPr>
  <dimension ref="A1:AC305"/>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1" customWidth="1" min="3" max="3"/>
    <col width="10" customWidth="1" min="4" max="4"/>
    <col width="8" customWidth="1" min="5" max="5"/>
    <col width="9" customWidth="1" min="6" max="6"/>
    <col width="11" customWidth="1" min="7" max="7"/>
    <col width="11" customWidth="1" min="8" max="8"/>
    <col width="11" customWidth="1" min="9" max="9"/>
    <col width="9" customWidth="1" min="10" max="10"/>
    <col width="10" customWidth="1" min="11" max="11"/>
    <col width="10" customWidth="1" min="12" max="12"/>
    <col width="1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22" customWidth="1" min="23" max="23"/>
    <col width="11" customWidth="1" min="24" max="24"/>
    <col width="11" customWidth="1" min="25" max="25"/>
    <col width="9" customWidth="1" min="26" max="26"/>
    <col width="30" customWidth="1" min="27" max="27"/>
    <col width="38" customWidth="1" min="28" max="28"/>
    <col width="14" customWidth="1" min="29" max="29"/>
  </cols>
  <sheetData>
    <row r="1" ht="24" customHeight="1">
      <c r="A1" s="1" t="inlineStr">
        <is>
          <t>Registro de contenedores (ENTRADA DE DATOS)</t>
        </is>
      </c>
    </row>
    <row r="2">
      <c r="A2" s="2" t="inlineStr">
        <is>
          <t>Una fila por contenedor. Columnas «(opcional)»: si se dejan vacías se usa la norma técnica de PARAMETROS. Para borrar datos use la tecla Supr; nunca elimine filas.</t>
        </is>
      </c>
    </row>
    <row r="4">
      <c r="A4" s="39" t="inlineStr">
        <is>
          <t>IDENTIFICACIÓN</t>
        </is>
      </c>
      <c r="G4" s="39" t="inlineStr">
        <is>
          <t>VOLUMEN (kg)</t>
        </is>
      </c>
      <c r="J4" s="39" t="inlineStr">
        <is>
          <t>ETAPA 1 · PUERTO</t>
        </is>
      </c>
      <c r="M4" s="39" t="inlineStr">
        <is>
          <t>ETAPA 2 · TRANSITARIA</t>
        </is>
      </c>
      <c r="O4" s="39" t="inlineStr">
        <is>
          <t>ETAPA 3 · DISTRIBUCIÓN</t>
        </is>
      </c>
      <c r="V4" s="39" t="inlineStr">
        <is>
          <t>OTROS</t>
        </is>
      </c>
      <c r="Y4" s="39" t="inlineStr">
        <is>
          <t>CONTROL</t>
        </is>
      </c>
      <c r="AB4" s="39" t="inlineStr">
        <is>
          <t>RESULTADO</t>
        </is>
      </c>
    </row>
    <row r="5" ht="66" customHeight="1">
      <c r="A5" s="5" t="inlineStr">
        <is>
          <t>Nº</t>
        </is>
      </c>
      <c r="B5" s="5" t="inlineStr">
        <is>
          <t>ID contenedor</t>
        </is>
      </c>
      <c r="C5" s="5" t="inlineStr">
        <is>
          <t>Fecha de arribo</t>
        </is>
      </c>
      <c r="D5" s="5" t="inlineStr">
        <is>
          <t>Transitaria</t>
        </is>
      </c>
      <c r="E5" s="5" t="inlineStr">
        <is>
          <t>Tipo</t>
        </is>
      </c>
      <c r="F5" s="5" t="inlineStr">
        <is>
          <t>Nº de bultos</t>
        </is>
      </c>
      <c r="G5" s="5" t="inlineStr">
        <is>
          <t>kg Occidente</t>
        </is>
      </c>
      <c r="H5" s="5" t="inlineStr">
        <is>
          <t>kg Centro</t>
        </is>
      </c>
      <c r="I5" s="5" t="inlineStr">
        <is>
          <t>kg Oriente</t>
        </is>
      </c>
      <c r="J5" s="5" t="inlineStr">
        <is>
          <t>Viajes al puerto (opcional)</t>
        </is>
      </c>
      <c r="K5" s="5" t="inlineStr">
        <is>
          <t>Litros reales al puerto (opcional)</t>
        </is>
      </c>
      <c r="L5" s="5" t="inlineStr">
        <is>
          <t>Dieta pagada (USD, opcional)</t>
        </is>
      </c>
      <c r="M5" s="5" t="inlineStr">
        <is>
          <t>Jornales del desagrupe (opcional)</t>
        </is>
      </c>
      <c r="N5" s="5" t="inlineStr">
        <is>
          <t>Estadía / almacenaje / demora (USD)</t>
        </is>
      </c>
      <c r="O5" s="5" t="inlineStr">
        <is>
          <t>Litros de distribución en Occidente (opcional)</t>
        </is>
      </c>
      <c r="P5" s="5" t="inlineStr">
        <is>
          <t>Litros de traslado a Centro (opcional)</t>
        </is>
      </c>
      <c r="Q5" s="5" t="inlineStr">
        <is>
          <t>Litros de distribución en Centro (opcional)</t>
        </is>
      </c>
      <c r="R5" s="5" t="inlineStr">
        <is>
          <t>Jornales del centro transitorio en Centro (opcional)</t>
        </is>
      </c>
      <c r="S5" s="5" t="inlineStr">
        <is>
          <t>Litros de traslado a Oriente (opcional)</t>
        </is>
      </c>
      <c r="T5" s="5" t="inlineStr">
        <is>
          <t>Litros de distribución en Oriente (opcional)</t>
        </is>
      </c>
      <c r="U5" s="5" t="inlineStr">
        <is>
          <t>Jornales del centro transitorio en Oriente (opcional)</t>
        </is>
      </c>
      <c r="V5" s="5" t="inlineStr">
        <is>
          <t>Otros gastos directos (USD)</t>
        </is>
      </c>
      <c r="W5" s="5" t="inlineStr">
        <is>
          <t>Detalle de otros gastos</t>
        </is>
      </c>
      <c r="X5" s="5" t="inlineStr">
        <is>
          <t>Otros ingresos (USD)</t>
        </is>
      </c>
      <c r="Y5" s="5" t="inlineStr">
        <is>
          <t>Fecha de fin de la distribución</t>
        </is>
      </c>
      <c r="Z5" s="5" t="inlineStr">
        <is>
          <t>Estado</t>
        </is>
      </c>
      <c r="AA5" s="5" t="inlineStr">
        <is>
          <t>Observaciones / documentos de soporte</t>
        </is>
      </c>
      <c r="AB5" s="5" t="inlineStr">
        <is>
          <t>Alertas (automático)</t>
        </is>
      </c>
      <c r="AC5" s="5" t="inlineStr">
        <is>
          <t>Utilidad antes de impuesto (automático)</t>
        </is>
      </c>
    </row>
    <row r="6">
      <c r="A6" s="40">
        <f>IF(B6="","",ROW()-5)</f>
        <v>1</v>
      </c>
      <c r="B6" s="41" t="inlineStr">
        <is>
          <t>CONT-EJEMPLO-01</t>
        </is>
      </c>
      <c r="C6" s="42" t="n">
        <v>46273</v>
      </c>
      <c r="D6" s="43" t="inlineStr">
        <is>
          <t>ENCI</t>
        </is>
      </c>
      <c r="E6" s="43" t="inlineStr">
        <is>
          <t>40' HC</t>
        </is>
      </c>
      <c r="F6" s="44" t="n">
        <v>1050</v>
      </c>
      <c r="G6" s="44" t="n">
        <v>5200</v>
      </c>
      <c r="H6" s="44" t="n">
        <v>2600</v>
      </c>
      <c r="I6" s="44" t="n">
        <v>2300</v>
      </c>
      <c r="J6" s="45" t="n"/>
      <c r="K6" s="45" t="n">
        <v>62</v>
      </c>
      <c r="L6" s="46" t="n"/>
      <c r="M6" s="45" t="n">
        <v>11</v>
      </c>
      <c r="N6" s="46" t="n">
        <v>0</v>
      </c>
      <c r="O6" s="45" t="n"/>
      <c r="P6" s="45" t="n"/>
      <c r="Q6" s="45" t="n"/>
      <c r="R6" s="45" t="n"/>
      <c r="S6" s="45" t="n"/>
      <c r="T6" s="45" t="n"/>
      <c r="U6" s="45" t="n"/>
      <c r="V6" s="46" t="n">
        <v>0</v>
      </c>
      <c r="W6" s="41" t="n"/>
      <c r="X6" s="46" t="n">
        <v>0</v>
      </c>
      <c r="Y6" s="42" t="n">
        <v>46283</v>
      </c>
      <c r="Z6" s="43" t="inlineStr">
        <is>
          <t>Cerrado</t>
        </is>
      </c>
      <c r="AA6" s="41" t="inlineStr">
        <is>
          <t>EJEMPLO – borrar</t>
        </is>
      </c>
      <c r="AB6" s="47">
        <f>CALCULO!CT6</f>
      </c>
      <c r="AC6" s="48">
        <f>CALCULO!CD6</f>
        <v>2175.82010784892</v>
      </c>
    </row>
    <row r="7">
      <c r="A7" s="40">
        <f>IF(B7="","",ROW()-5)</f>
        <v>2</v>
      </c>
      <c r="B7" s="41" t="inlineStr">
        <is>
          <t>CONT-EJEMPLO-02</t>
        </is>
      </c>
      <c r="C7" s="42" t="n">
        <v>46287</v>
      </c>
      <c r="D7" s="43" t="inlineStr">
        <is>
          <t>A.V</t>
        </is>
      </c>
      <c r="E7" s="43" t="inlineStr">
        <is>
          <t>40'</t>
        </is>
      </c>
      <c r="F7" s="44" t="n">
        <v>900</v>
      </c>
      <c r="G7" s="44" t="n">
        <v>4600</v>
      </c>
      <c r="H7" s="44" t="n">
        <v>2100</v>
      </c>
      <c r="I7" s="44" t="n">
        <v>2700</v>
      </c>
      <c r="J7" s="45" t="n"/>
      <c r="K7" s="45" t="n"/>
      <c r="L7" s="46" t="n"/>
      <c r="M7" s="45" t="n"/>
      <c r="N7" s="46" t="n">
        <v>120</v>
      </c>
      <c r="O7" s="45" t="n"/>
      <c r="P7" s="45" t="n"/>
      <c r="Q7" s="45" t="n"/>
      <c r="R7" s="45" t="n"/>
      <c r="S7" s="45" t="n">
        <v>480</v>
      </c>
      <c r="T7" s="45" t="n"/>
      <c r="U7" s="45" t="n"/>
      <c r="V7" s="46" t="n">
        <v>0</v>
      </c>
      <c r="W7" s="41" t="n"/>
      <c r="X7" s="46" t="n">
        <v>0</v>
      </c>
      <c r="Y7" s="42" t="n">
        <v>46298</v>
      </c>
      <c r="Z7" s="43" t="inlineStr">
        <is>
          <t>Cerrado</t>
        </is>
      </c>
      <c r="AA7" s="41" t="inlineStr">
        <is>
          <t>EJEMPLO – 2 días de estadía</t>
        </is>
      </c>
      <c r="AB7" s="47">
        <f>CALCULO!CT7</f>
      </c>
      <c r="AC7" s="48">
        <f>CALCULO!CD7</f>
        <v>1893.91322548441</v>
      </c>
    </row>
    <row r="8">
      <c r="A8" s="40">
        <f>IF(B8="","",ROW()-5)</f>
        <v>3</v>
      </c>
      <c r="B8" s="41" t="inlineStr">
        <is>
          <t>CONT-EJEMPLO-03</t>
        </is>
      </c>
      <c r="C8" s="42" t="n">
        <v>46301</v>
      </c>
      <c r="D8" s="43" t="inlineStr">
        <is>
          <t>ENCI</t>
        </is>
      </c>
      <c r="E8" s="43" t="inlineStr">
        <is>
          <t>40' HC</t>
        </is>
      </c>
      <c r="F8" s="44" t="n">
        <v>1180</v>
      </c>
      <c r="G8" s="44" t="n">
        <v>6100</v>
      </c>
      <c r="H8" s="44" t="n">
        <v>2900</v>
      </c>
      <c r="I8" s="44" t="n">
        <v>2400</v>
      </c>
      <c r="J8" s="45" t="n"/>
      <c r="K8" s="45" t="n"/>
      <c r="L8" s="46" t="n"/>
      <c r="M8" s="45" t="n"/>
      <c r="N8" s="46" t="n">
        <v>0</v>
      </c>
      <c r="O8" s="45" t="n">
        <v>150</v>
      </c>
      <c r="P8" s="45" t="n"/>
      <c r="Q8" s="45" t="n"/>
      <c r="R8" s="45" t="n"/>
      <c r="S8" s="45" t="n"/>
      <c r="T8" s="45" t="n">
        <v>260</v>
      </c>
      <c r="U8" s="45" t="n"/>
      <c r="V8" s="46" t="n">
        <v>35</v>
      </c>
      <c r="W8" s="41" t="inlineStr">
        <is>
          <t>Reempaque de bultos dañados</t>
        </is>
      </c>
      <c r="X8" s="46" t="n">
        <v>150</v>
      </c>
      <c r="Y8" s="42" t="n">
        <v>46311</v>
      </c>
      <c r="Z8" s="43" t="inlineStr">
        <is>
          <t>Cerrado</t>
        </is>
      </c>
      <c r="AA8" s="41" t="inlineStr">
        <is>
          <t>EJEMPLO – desvío de combustible en Oriente</t>
        </is>
      </c>
      <c r="AB8" s="47" t="str">
        <f>CALCULO!CT8</f>
        <v>Combustible distribución Oriente +44% sobre norma. </v>
      </c>
      <c r="AC8" s="48">
        <f>CALCULO!CD8</f>
        <v>3043.80125176873</v>
      </c>
    </row>
    <row r="9">
      <c r="A9" s="40">
        <f>IF(B9="","",ROW()-5)</f>
        <v>4</v>
      </c>
      <c r="B9" s="41" t="inlineStr">
        <is>
          <t>CONT-EJEMPLO-04</t>
        </is>
      </c>
      <c r="C9" s="42" t="n">
        <v>46315</v>
      </c>
      <c r="D9" s="43" t="inlineStr">
        <is>
          <t>A.V</t>
        </is>
      </c>
      <c r="E9" s="43" t="inlineStr">
        <is>
          <t>40'</t>
        </is>
      </c>
      <c r="F9" s="44" t="n">
        <v>860</v>
      </c>
      <c r="G9" s="44" t="n">
        <v>3800</v>
      </c>
      <c r="H9" s="44" t="n">
        <v>1500</v>
      </c>
      <c r="I9" s="44" t="n">
        <v>3900</v>
      </c>
      <c r="J9" s="45" t="n"/>
      <c r="K9" s="45" t="n"/>
      <c r="L9" s="46" t="n"/>
      <c r="M9" s="45" t="n"/>
      <c r="N9" s="46" t="n">
        <v>0</v>
      </c>
      <c r="O9" s="45" t="n"/>
      <c r="P9" s="45" t="n"/>
      <c r="Q9" s="45" t="n"/>
      <c r="R9" s="45" t="n"/>
      <c r="S9" s="45" t="n"/>
      <c r="T9" s="45" t="n"/>
      <c r="U9" s="45" t="n"/>
      <c r="V9" s="46" t="n">
        <v>0</v>
      </c>
      <c r="W9" s="41" t="n"/>
      <c r="X9" s="46" t="n">
        <v>0</v>
      </c>
      <c r="Y9" s="42" t="n"/>
      <c r="Z9" s="43" t="inlineStr">
        <is>
          <t>Abierto</t>
        </is>
      </c>
      <c r="AA9" s="41" t="inlineStr">
        <is>
          <t>EJEMPLO – pendiente de datos reales</t>
        </is>
      </c>
      <c r="AB9" s="47">
        <f>CALCULO!CT9</f>
      </c>
      <c r="AC9" s="48">
        <f>CALCULO!CD9</f>
        <v>2054.78208156461</v>
      </c>
    </row>
    <row r="10">
      <c r="A10" s="40">
        <f>IF(B10="","",ROW()-5)</f>
      </c>
      <c r="B10" s="41" t="n"/>
      <c r="C10" s="42" t="n"/>
      <c r="D10" s="43" t="n"/>
      <c r="E10" s="43" t="n"/>
      <c r="F10" s="44" t="n"/>
      <c r="G10" s="44" t="n"/>
      <c r="H10" s="44" t="n"/>
      <c r="I10" s="44" t="n"/>
      <c r="J10" s="45" t="n"/>
      <c r="K10" s="45" t="n"/>
      <c r="L10" s="46" t="n"/>
      <c r="M10" s="45" t="n"/>
      <c r="N10" s="46" t="n"/>
      <c r="O10" s="45" t="n"/>
      <c r="P10" s="45" t="n"/>
      <c r="Q10" s="45" t="n"/>
      <c r="R10" s="45" t="n"/>
      <c r="S10" s="45" t="n"/>
      <c r="T10" s="45" t="n"/>
      <c r="U10" s="45" t="n"/>
      <c r="V10" s="46" t="n"/>
      <c r="W10" s="41" t="n"/>
      <c r="X10" s="46" t="n"/>
      <c r="Y10" s="42" t="n"/>
      <c r="Z10" s="43" t="n"/>
      <c r="AA10" s="41" t="n"/>
      <c r="AB10" s="47">
        <f>CALCULO!CT10</f>
      </c>
      <c r="AC10" s="48">
        <f>CALCULO!CD10</f>
      </c>
    </row>
    <row r="11">
      <c r="A11" s="40">
        <f>IF(B11="","",ROW()-5)</f>
      </c>
      <c r="B11" s="41" t="n"/>
      <c r="C11" s="42" t="n"/>
      <c r="D11" s="43" t="n"/>
      <c r="E11" s="43" t="n"/>
      <c r="F11" s="44" t="n"/>
      <c r="G11" s="44" t="n"/>
      <c r="H11" s="44" t="n"/>
      <c r="I11" s="44" t="n"/>
      <c r="J11" s="45" t="n"/>
      <c r="K11" s="45" t="n"/>
      <c r="L11" s="46" t="n"/>
      <c r="M11" s="45" t="n"/>
      <c r="N11" s="46" t="n"/>
      <c r="O11" s="45" t="n"/>
      <c r="P11" s="45" t="n"/>
      <c r="Q11" s="45" t="n"/>
      <c r="R11" s="45" t="n"/>
      <c r="S11" s="45" t="n"/>
      <c r="T11" s="45" t="n"/>
      <c r="U11" s="45" t="n"/>
      <c r="V11" s="46" t="n"/>
      <c r="W11" s="41" t="n"/>
      <c r="X11" s="46" t="n"/>
      <c r="Y11" s="42" t="n"/>
      <c r="Z11" s="43" t="n"/>
      <c r="AA11" s="41" t="n"/>
      <c r="AB11" s="47">
        <f>CALCULO!CT11</f>
      </c>
      <c r="AC11" s="48">
        <f>CALCULO!CD11</f>
      </c>
    </row>
    <row r="12">
      <c r="A12" s="40">
        <f>IF(B12="","",ROW()-5)</f>
      </c>
      <c r="B12" s="41" t="n"/>
      <c r="C12" s="42" t="n"/>
      <c r="D12" s="43" t="n"/>
      <c r="E12" s="43" t="n"/>
      <c r="F12" s="44" t="n"/>
      <c r="G12" s="44" t="n"/>
      <c r="H12" s="44" t="n"/>
      <c r="I12" s="44" t="n"/>
      <c r="J12" s="45" t="n"/>
      <c r="K12" s="45" t="n"/>
      <c r="L12" s="46" t="n"/>
      <c r="M12" s="45" t="n"/>
      <c r="N12" s="46" t="n"/>
      <c r="O12" s="45" t="n"/>
      <c r="P12" s="45" t="n"/>
      <c r="Q12" s="45" t="n"/>
      <c r="R12" s="45" t="n"/>
      <c r="S12" s="45" t="n"/>
      <c r="T12" s="45" t="n"/>
      <c r="U12" s="45" t="n"/>
      <c r="V12" s="46" t="n"/>
      <c r="W12" s="41" t="n"/>
      <c r="X12" s="46" t="n"/>
      <c r="Y12" s="42" t="n"/>
      <c r="Z12" s="43" t="n"/>
      <c r="AA12" s="41" t="n"/>
      <c r="AB12" s="47">
        <f>CALCULO!CT12</f>
      </c>
      <c r="AC12" s="48">
        <f>CALCULO!CD12</f>
      </c>
    </row>
    <row r="13">
      <c r="A13" s="40">
        <f>IF(B13="","",ROW()-5)</f>
      </c>
      <c r="B13" s="41" t="n"/>
      <c r="C13" s="42" t="n"/>
      <c r="D13" s="43" t="n"/>
      <c r="E13" s="43" t="n"/>
      <c r="F13" s="44" t="n"/>
      <c r="G13" s="44" t="n"/>
      <c r="H13" s="44" t="n"/>
      <c r="I13" s="44" t="n"/>
      <c r="J13" s="45" t="n"/>
      <c r="K13" s="45" t="n"/>
      <c r="L13" s="46" t="n"/>
      <c r="M13" s="45" t="n"/>
      <c r="N13" s="46" t="n"/>
      <c r="O13" s="45" t="n"/>
      <c r="P13" s="45" t="n"/>
      <c r="Q13" s="45" t="n"/>
      <c r="R13" s="45" t="n"/>
      <c r="S13" s="45" t="n"/>
      <c r="T13" s="45" t="n"/>
      <c r="U13" s="45" t="n"/>
      <c r="V13" s="46" t="n"/>
      <c r="W13" s="41" t="n"/>
      <c r="X13" s="46" t="n"/>
      <c r="Y13" s="42" t="n"/>
      <c r="Z13" s="43" t="n"/>
      <c r="AA13" s="41" t="n"/>
      <c r="AB13" s="47">
        <f>CALCULO!CT13</f>
      </c>
      <c r="AC13" s="48">
        <f>CALCULO!CD13</f>
      </c>
    </row>
    <row r="14">
      <c r="A14" s="40">
        <f>IF(B14="","",ROW()-5)</f>
      </c>
      <c r="B14" s="41" t="n"/>
      <c r="C14" s="42" t="n"/>
      <c r="D14" s="43" t="n"/>
      <c r="E14" s="43" t="n"/>
      <c r="F14" s="44" t="n"/>
      <c r="G14" s="44" t="n"/>
      <c r="H14" s="44" t="n"/>
      <c r="I14" s="44" t="n"/>
      <c r="J14" s="45" t="n"/>
      <c r="K14" s="45" t="n"/>
      <c r="L14" s="46" t="n"/>
      <c r="M14" s="45" t="n"/>
      <c r="N14" s="46" t="n"/>
      <c r="O14" s="45" t="n"/>
      <c r="P14" s="45" t="n"/>
      <c r="Q14" s="45" t="n"/>
      <c r="R14" s="45" t="n"/>
      <c r="S14" s="45" t="n"/>
      <c r="T14" s="45" t="n"/>
      <c r="U14" s="45" t="n"/>
      <c r="V14" s="46" t="n"/>
      <c r="W14" s="41" t="n"/>
      <c r="X14" s="46" t="n"/>
      <c r="Y14" s="42" t="n"/>
      <c r="Z14" s="43" t="n"/>
      <c r="AA14" s="41" t="n"/>
      <c r="AB14" s="47">
        <f>CALCULO!CT14</f>
      </c>
      <c r="AC14" s="48">
        <f>CALCULO!CD14</f>
      </c>
    </row>
    <row r="15">
      <c r="A15" s="40">
        <f>IF(B15="","",ROW()-5)</f>
      </c>
      <c r="B15" s="41" t="n"/>
      <c r="C15" s="42" t="n"/>
      <c r="D15" s="43" t="n"/>
      <c r="E15" s="43" t="n"/>
      <c r="F15" s="44" t="n"/>
      <c r="G15" s="44" t="n"/>
      <c r="H15" s="44" t="n"/>
      <c r="I15" s="44" t="n"/>
      <c r="J15" s="45" t="n"/>
      <c r="K15" s="45" t="n"/>
      <c r="L15" s="46" t="n"/>
      <c r="M15" s="45" t="n"/>
      <c r="N15" s="46" t="n"/>
      <c r="O15" s="45" t="n"/>
      <c r="P15" s="45" t="n"/>
      <c r="Q15" s="45" t="n"/>
      <c r="R15" s="45" t="n"/>
      <c r="S15" s="45" t="n"/>
      <c r="T15" s="45" t="n"/>
      <c r="U15" s="45" t="n"/>
      <c r="V15" s="46" t="n"/>
      <c r="W15" s="41" t="n"/>
      <c r="X15" s="46" t="n"/>
      <c r="Y15" s="42" t="n"/>
      <c r="Z15" s="43" t="n"/>
      <c r="AA15" s="41" t="n"/>
      <c r="AB15" s="47">
        <f>CALCULO!CT15</f>
      </c>
      <c r="AC15" s="48">
        <f>CALCULO!CD15</f>
      </c>
    </row>
    <row r="16">
      <c r="A16" s="40">
        <f>IF(B16="","",ROW()-5)</f>
      </c>
      <c r="B16" s="41" t="n"/>
      <c r="C16" s="42" t="n"/>
      <c r="D16" s="43" t="n"/>
      <c r="E16" s="43" t="n"/>
      <c r="F16" s="44" t="n"/>
      <c r="G16" s="44" t="n"/>
      <c r="H16" s="44" t="n"/>
      <c r="I16" s="44" t="n"/>
      <c r="J16" s="45" t="n"/>
      <c r="K16" s="45" t="n"/>
      <c r="L16" s="46" t="n"/>
      <c r="M16" s="45" t="n"/>
      <c r="N16" s="46" t="n"/>
      <c r="O16" s="45" t="n"/>
      <c r="P16" s="45" t="n"/>
      <c r="Q16" s="45" t="n"/>
      <c r="R16" s="45" t="n"/>
      <c r="S16" s="45" t="n"/>
      <c r="T16" s="45" t="n"/>
      <c r="U16" s="45" t="n"/>
      <c r="V16" s="46" t="n"/>
      <c r="W16" s="41" t="n"/>
      <c r="X16" s="46" t="n"/>
      <c r="Y16" s="42" t="n"/>
      <c r="Z16" s="43" t="n"/>
      <c r="AA16" s="41" t="n"/>
      <c r="AB16" s="47">
        <f>CALCULO!CT16</f>
      </c>
      <c r="AC16" s="48">
        <f>CALCULO!CD16</f>
      </c>
    </row>
    <row r="17">
      <c r="A17" s="40">
        <f>IF(B17="","",ROW()-5)</f>
      </c>
      <c r="B17" s="41" t="n"/>
      <c r="C17" s="42" t="n"/>
      <c r="D17" s="43" t="n"/>
      <c r="E17" s="43" t="n"/>
      <c r="F17" s="44" t="n"/>
      <c r="G17" s="44" t="n"/>
      <c r="H17" s="44" t="n"/>
      <c r="I17" s="44" t="n"/>
      <c r="J17" s="45" t="n"/>
      <c r="K17" s="45" t="n"/>
      <c r="L17" s="46" t="n"/>
      <c r="M17" s="45" t="n"/>
      <c r="N17" s="46" t="n"/>
      <c r="O17" s="45" t="n"/>
      <c r="P17" s="45" t="n"/>
      <c r="Q17" s="45" t="n"/>
      <c r="R17" s="45" t="n"/>
      <c r="S17" s="45" t="n"/>
      <c r="T17" s="45" t="n"/>
      <c r="U17" s="45" t="n"/>
      <c r="V17" s="46" t="n"/>
      <c r="W17" s="41" t="n"/>
      <c r="X17" s="46" t="n"/>
      <c r="Y17" s="42" t="n"/>
      <c r="Z17" s="43" t="n"/>
      <c r="AA17" s="41" t="n"/>
      <c r="AB17" s="47">
        <f>CALCULO!CT17</f>
      </c>
      <c r="AC17" s="48">
        <f>CALCULO!CD17</f>
      </c>
    </row>
    <row r="18">
      <c r="A18" s="40">
        <f>IF(B18="","",ROW()-5)</f>
      </c>
      <c r="B18" s="41" t="n"/>
      <c r="C18" s="42" t="n"/>
      <c r="D18" s="43" t="n"/>
      <c r="E18" s="43" t="n"/>
      <c r="F18" s="44" t="n"/>
      <c r="G18" s="44" t="n"/>
      <c r="H18" s="44" t="n"/>
      <c r="I18" s="44" t="n"/>
      <c r="J18" s="45" t="n"/>
      <c r="K18" s="45" t="n"/>
      <c r="L18" s="46" t="n"/>
      <c r="M18" s="45" t="n"/>
      <c r="N18" s="46" t="n"/>
      <c r="O18" s="45" t="n"/>
      <c r="P18" s="45" t="n"/>
      <c r="Q18" s="45" t="n"/>
      <c r="R18" s="45" t="n"/>
      <c r="S18" s="45" t="n"/>
      <c r="T18" s="45" t="n"/>
      <c r="U18" s="45" t="n"/>
      <c r="V18" s="46" t="n"/>
      <c r="W18" s="41" t="n"/>
      <c r="X18" s="46" t="n"/>
      <c r="Y18" s="42" t="n"/>
      <c r="Z18" s="43" t="n"/>
      <c r="AA18" s="41" t="n"/>
      <c r="AB18" s="47">
        <f>CALCULO!CT18</f>
      </c>
      <c r="AC18" s="48">
        <f>CALCULO!CD18</f>
      </c>
    </row>
    <row r="19">
      <c r="A19" s="40">
        <f>IF(B19="","",ROW()-5)</f>
      </c>
      <c r="B19" s="41" t="n"/>
      <c r="C19" s="42" t="n"/>
      <c r="D19" s="43" t="n"/>
      <c r="E19" s="43" t="n"/>
      <c r="F19" s="44" t="n"/>
      <c r="G19" s="44" t="n"/>
      <c r="H19" s="44" t="n"/>
      <c r="I19" s="44" t="n"/>
      <c r="J19" s="45" t="n"/>
      <c r="K19" s="45" t="n"/>
      <c r="L19" s="46" t="n"/>
      <c r="M19" s="45" t="n"/>
      <c r="N19" s="46" t="n"/>
      <c r="O19" s="45" t="n"/>
      <c r="P19" s="45" t="n"/>
      <c r="Q19" s="45" t="n"/>
      <c r="R19" s="45" t="n"/>
      <c r="S19" s="45" t="n"/>
      <c r="T19" s="45" t="n"/>
      <c r="U19" s="45" t="n"/>
      <c r="V19" s="46" t="n"/>
      <c r="W19" s="41" t="n"/>
      <c r="X19" s="46" t="n"/>
      <c r="Y19" s="42" t="n"/>
      <c r="Z19" s="43" t="n"/>
      <c r="AA19" s="41" t="n"/>
      <c r="AB19" s="47">
        <f>CALCULO!CT19</f>
      </c>
      <c r="AC19" s="48">
        <f>CALCULO!CD19</f>
      </c>
    </row>
    <row r="20">
      <c r="A20" s="40">
        <f>IF(B20="","",ROW()-5)</f>
      </c>
      <c r="B20" s="41" t="n"/>
      <c r="C20" s="42" t="n"/>
      <c r="D20" s="43" t="n"/>
      <c r="E20" s="43" t="n"/>
      <c r="F20" s="44" t="n"/>
      <c r="G20" s="44" t="n"/>
      <c r="H20" s="44" t="n"/>
      <c r="I20" s="44" t="n"/>
      <c r="J20" s="45" t="n"/>
      <c r="K20" s="45" t="n"/>
      <c r="L20" s="46" t="n"/>
      <c r="M20" s="45" t="n"/>
      <c r="N20" s="46" t="n"/>
      <c r="O20" s="45" t="n"/>
      <c r="P20" s="45" t="n"/>
      <c r="Q20" s="45" t="n"/>
      <c r="R20" s="45" t="n"/>
      <c r="S20" s="45" t="n"/>
      <c r="T20" s="45" t="n"/>
      <c r="U20" s="45" t="n"/>
      <c r="V20" s="46" t="n"/>
      <c r="W20" s="41" t="n"/>
      <c r="X20" s="46" t="n"/>
      <c r="Y20" s="42" t="n"/>
      <c r="Z20" s="43" t="n"/>
      <c r="AA20" s="41" t="n"/>
      <c r="AB20" s="47">
        <f>CALCULO!CT20</f>
      </c>
      <c r="AC20" s="48">
        <f>CALCULO!CD20</f>
      </c>
    </row>
    <row r="21">
      <c r="A21" s="40">
        <f>IF(B21="","",ROW()-5)</f>
      </c>
      <c r="B21" s="41" t="n"/>
      <c r="C21" s="42" t="n"/>
      <c r="D21" s="43" t="n"/>
      <c r="E21" s="43" t="n"/>
      <c r="F21" s="44" t="n"/>
      <c r="G21" s="44" t="n"/>
      <c r="H21" s="44" t="n"/>
      <c r="I21" s="44" t="n"/>
      <c r="J21" s="45" t="n"/>
      <c r="K21" s="45" t="n"/>
      <c r="L21" s="46" t="n"/>
      <c r="M21" s="45" t="n"/>
      <c r="N21" s="46" t="n"/>
      <c r="O21" s="45" t="n"/>
      <c r="P21" s="45" t="n"/>
      <c r="Q21" s="45" t="n"/>
      <c r="R21" s="45" t="n"/>
      <c r="S21" s="45" t="n"/>
      <c r="T21" s="45" t="n"/>
      <c r="U21" s="45" t="n"/>
      <c r="V21" s="46" t="n"/>
      <c r="W21" s="41" t="n"/>
      <c r="X21" s="46" t="n"/>
      <c r="Y21" s="42" t="n"/>
      <c r="Z21" s="43" t="n"/>
      <c r="AA21" s="41" t="n"/>
      <c r="AB21" s="47">
        <f>CALCULO!CT21</f>
      </c>
      <c r="AC21" s="48">
        <f>CALCULO!CD21</f>
      </c>
    </row>
    <row r="22">
      <c r="A22" s="40">
        <f>IF(B22="","",ROW()-5)</f>
      </c>
      <c r="B22" s="41" t="n"/>
      <c r="C22" s="42" t="n"/>
      <c r="D22" s="43" t="n"/>
      <c r="E22" s="43" t="n"/>
      <c r="F22" s="44" t="n"/>
      <c r="G22" s="44" t="n"/>
      <c r="H22" s="44" t="n"/>
      <c r="I22" s="44" t="n"/>
      <c r="J22" s="45" t="n"/>
      <c r="K22" s="45" t="n"/>
      <c r="L22" s="46" t="n"/>
      <c r="M22" s="45" t="n"/>
      <c r="N22" s="46" t="n"/>
      <c r="O22" s="45" t="n"/>
      <c r="P22" s="45" t="n"/>
      <c r="Q22" s="45" t="n"/>
      <c r="R22" s="45" t="n"/>
      <c r="S22" s="45" t="n"/>
      <c r="T22" s="45" t="n"/>
      <c r="U22" s="45" t="n"/>
      <c r="V22" s="46" t="n"/>
      <c r="W22" s="41" t="n"/>
      <c r="X22" s="46" t="n"/>
      <c r="Y22" s="42" t="n"/>
      <c r="Z22" s="43" t="n"/>
      <c r="AA22" s="41" t="n"/>
      <c r="AB22" s="47">
        <f>CALCULO!CT22</f>
      </c>
      <c r="AC22" s="48">
        <f>CALCULO!CD22</f>
      </c>
    </row>
    <row r="23">
      <c r="A23" s="40">
        <f>IF(B23="","",ROW()-5)</f>
      </c>
      <c r="B23" s="41" t="n"/>
      <c r="C23" s="42" t="n"/>
      <c r="D23" s="43" t="n"/>
      <c r="E23" s="43" t="n"/>
      <c r="F23" s="44" t="n"/>
      <c r="G23" s="44" t="n"/>
      <c r="H23" s="44" t="n"/>
      <c r="I23" s="44" t="n"/>
      <c r="J23" s="45" t="n"/>
      <c r="K23" s="45" t="n"/>
      <c r="L23" s="46" t="n"/>
      <c r="M23" s="45" t="n"/>
      <c r="N23" s="46" t="n"/>
      <c r="O23" s="45" t="n"/>
      <c r="P23" s="45" t="n"/>
      <c r="Q23" s="45" t="n"/>
      <c r="R23" s="45" t="n"/>
      <c r="S23" s="45" t="n"/>
      <c r="T23" s="45" t="n"/>
      <c r="U23" s="45" t="n"/>
      <c r="V23" s="46" t="n"/>
      <c r="W23" s="41" t="n"/>
      <c r="X23" s="46" t="n"/>
      <c r="Y23" s="42" t="n"/>
      <c r="Z23" s="43" t="n"/>
      <c r="AA23" s="41" t="n"/>
      <c r="AB23" s="47">
        <f>CALCULO!CT23</f>
      </c>
      <c r="AC23" s="48">
        <f>CALCULO!CD23</f>
      </c>
    </row>
    <row r="24">
      <c r="A24" s="40">
        <f>IF(B24="","",ROW()-5)</f>
      </c>
      <c r="B24" s="41" t="n"/>
      <c r="C24" s="42" t="n"/>
      <c r="D24" s="43" t="n"/>
      <c r="E24" s="43" t="n"/>
      <c r="F24" s="44" t="n"/>
      <c r="G24" s="44" t="n"/>
      <c r="H24" s="44" t="n"/>
      <c r="I24" s="44" t="n"/>
      <c r="J24" s="45" t="n"/>
      <c r="K24" s="45" t="n"/>
      <c r="L24" s="46" t="n"/>
      <c r="M24" s="45" t="n"/>
      <c r="N24" s="46" t="n"/>
      <c r="O24" s="45" t="n"/>
      <c r="P24" s="45" t="n"/>
      <c r="Q24" s="45" t="n"/>
      <c r="R24" s="45" t="n"/>
      <c r="S24" s="45" t="n"/>
      <c r="T24" s="45" t="n"/>
      <c r="U24" s="45" t="n"/>
      <c r="V24" s="46" t="n"/>
      <c r="W24" s="41" t="n"/>
      <c r="X24" s="46" t="n"/>
      <c r="Y24" s="42" t="n"/>
      <c r="Z24" s="43" t="n"/>
      <c r="AA24" s="41" t="n"/>
      <c r="AB24" s="47">
        <f>CALCULO!CT24</f>
      </c>
      <c r="AC24" s="48">
        <f>CALCULO!CD24</f>
      </c>
    </row>
    <row r="25">
      <c r="A25" s="40">
        <f>IF(B25="","",ROW()-5)</f>
      </c>
      <c r="B25" s="41" t="n"/>
      <c r="C25" s="42" t="n"/>
      <c r="D25" s="43" t="n"/>
      <c r="E25" s="43" t="n"/>
      <c r="F25" s="44" t="n"/>
      <c r="G25" s="44" t="n"/>
      <c r="H25" s="44" t="n"/>
      <c r="I25" s="44" t="n"/>
      <c r="J25" s="45" t="n"/>
      <c r="K25" s="45" t="n"/>
      <c r="L25" s="46" t="n"/>
      <c r="M25" s="45" t="n"/>
      <c r="N25" s="46" t="n"/>
      <c r="O25" s="45" t="n"/>
      <c r="P25" s="45" t="n"/>
      <c r="Q25" s="45" t="n"/>
      <c r="R25" s="45" t="n"/>
      <c r="S25" s="45" t="n"/>
      <c r="T25" s="45" t="n"/>
      <c r="U25" s="45" t="n"/>
      <c r="V25" s="46" t="n"/>
      <c r="W25" s="41" t="n"/>
      <c r="X25" s="46" t="n"/>
      <c r="Y25" s="42" t="n"/>
      <c r="Z25" s="43" t="n"/>
      <c r="AA25" s="41" t="n"/>
      <c r="AB25" s="47">
        <f>CALCULO!CT25</f>
      </c>
      <c r="AC25" s="48">
        <f>CALCULO!CD25</f>
      </c>
    </row>
    <row r="26">
      <c r="A26" s="40">
        <f>IF(B26="","",ROW()-5)</f>
      </c>
      <c r="B26" s="41" t="n"/>
      <c r="C26" s="42" t="n"/>
      <c r="D26" s="43" t="n"/>
      <c r="E26" s="43" t="n"/>
      <c r="F26" s="44" t="n"/>
      <c r="G26" s="44" t="n"/>
      <c r="H26" s="44" t="n"/>
      <c r="I26" s="44" t="n"/>
      <c r="J26" s="45" t="n"/>
      <c r="K26" s="45" t="n"/>
      <c r="L26" s="46" t="n"/>
      <c r="M26" s="45" t="n"/>
      <c r="N26" s="46" t="n"/>
      <c r="O26" s="45" t="n"/>
      <c r="P26" s="45" t="n"/>
      <c r="Q26" s="45" t="n"/>
      <c r="R26" s="45" t="n"/>
      <c r="S26" s="45" t="n"/>
      <c r="T26" s="45" t="n"/>
      <c r="U26" s="45" t="n"/>
      <c r="V26" s="46" t="n"/>
      <c r="W26" s="41" t="n"/>
      <c r="X26" s="46" t="n"/>
      <c r="Y26" s="42" t="n"/>
      <c r="Z26" s="43" t="n"/>
      <c r="AA26" s="41" t="n"/>
      <c r="AB26" s="47">
        <f>CALCULO!CT26</f>
      </c>
      <c r="AC26" s="48">
        <f>CALCULO!CD26</f>
      </c>
    </row>
    <row r="27">
      <c r="A27" s="40">
        <f>IF(B27="","",ROW()-5)</f>
      </c>
      <c r="B27" s="41" t="n"/>
      <c r="C27" s="42" t="n"/>
      <c r="D27" s="43" t="n"/>
      <c r="E27" s="43" t="n"/>
      <c r="F27" s="44" t="n"/>
      <c r="G27" s="44" t="n"/>
      <c r="H27" s="44" t="n"/>
      <c r="I27" s="44" t="n"/>
      <c r="J27" s="45" t="n"/>
      <c r="K27" s="45" t="n"/>
      <c r="L27" s="46" t="n"/>
      <c r="M27" s="45" t="n"/>
      <c r="N27" s="46" t="n"/>
      <c r="O27" s="45" t="n"/>
      <c r="P27" s="45" t="n"/>
      <c r="Q27" s="45" t="n"/>
      <c r="R27" s="45" t="n"/>
      <c r="S27" s="45" t="n"/>
      <c r="T27" s="45" t="n"/>
      <c r="U27" s="45" t="n"/>
      <c r="V27" s="46" t="n"/>
      <c r="W27" s="41" t="n"/>
      <c r="X27" s="46" t="n"/>
      <c r="Y27" s="42" t="n"/>
      <c r="Z27" s="43" t="n"/>
      <c r="AA27" s="41" t="n"/>
      <c r="AB27" s="47">
        <f>CALCULO!CT27</f>
      </c>
      <c r="AC27" s="48">
        <f>CALCULO!CD27</f>
      </c>
    </row>
    <row r="28">
      <c r="A28" s="40">
        <f>IF(B28="","",ROW()-5)</f>
      </c>
      <c r="B28" s="41" t="n"/>
      <c r="C28" s="42" t="n"/>
      <c r="D28" s="43" t="n"/>
      <c r="E28" s="43" t="n"/>
      <c r="F28" s="44" t="n"/>
      <c r="G28" s="44" t="n"/>
      <c r="H28" s="44" t="n"/>
      <c r="I28" s="44" t="n"/>
      <c r="J28" s="45" t="n"/>
      <c r="K28" s="45" t="n"/>
      <c r="L28" s="46" t="n"/>
      <c r="M28" s="45" t="n"/>
      <c r="N28" s="46" t="n"/>
      <c r="O28" s="45" t="n"/>
      <c r="P28" s="45" t="n"/>
      <c r="Q28" s="45" t="n"/>
      <c r="R28" s="45" t="n"/>
      <c r="S28" s="45" t="n"/>
      <c r="T28" s="45" t="n"/>
      <c r="U28" s="45" t="n"/>
      <c r="V28" s="46" t="n"/>
      <c r="W28" s="41" t="n"/>
      <c r="X28" s="46" t="n"/>
      <c r="Y28" s="42" t="n"/>
      <c r="Z28" s="43" t="n"/>
      <c r="AA28" s="41" t="n"/>
      <c r="AB28" s="47">
        <f>CALCULO!CT28</f>
      </c>
      <c r="AC28" s="48">
        <f>CALCULO!CD28</f>
      </c>
    </row>
    <row r="29">
      <c r="A29" s="40">
        <f>IF(B29="","",ROW()-5)</f>
      </c>
      <c r="B29" s="41" t="n"/>
      <c r="C29" s="42" t="n"/>
      <c r="D29" s="43" t="n"/>
      <c r="E29" s="43" t="n"/>
      <c r="F29" s="44" t="n"/>
      <c r="G29" s="44" t="n"/>
      <c r="H29" s="44" t="n"/>
      <c r="I29" s="44" t="n"/>
      <c r="J29" s="45" t="n"/>
      <c r="K29" s="45" t="n"/>
      <c r="L29" s="46" t="n"/>
      <c r="M29" s="45" t="n"/>
      <c r="N29" s="46" t="n"/>
      <c r="O29" s="45" t="n"/>
      <c r="P29" s="45" t="n"/>
      <c r="Q29" s="45" t="n"/>
      <c r="R29" s="45" t="n"/>
      <c r="S29" s="45" t="n"/>
      <c r="T29" s="45" t="n"/>
      <c r="U29" s="45" t="n"/>
      <c r="V29" s="46" t="n"/>
      <c r="W29" s="41" t="n"/>
      <c r="X29" s="46" t="n"/>
      <c r="Y29" s="42" t="n"/>
      <c r="Z29" s="43" t="n"/>
      <c r="AA29" s="41" t="n"/>
      <c r="AB29" s="47">
        <f>CALCULO!CT29</f>
      </c>
      <c r="AC29" s="48">
        <f>CALCULO!CD29</f>
      </c>
    </row>
    <row r="30">
      <c r="A30" s="40">
        <f>IF(B30="","",ROW()-5)</f>
      </c>
      <c r="B30" s="41" t="n"/>
      <c r="C30" s="42" t="n"/>
      <c r="D30" s="43" t="n"/>
      <c r="E30" s="43" t="n"/>
      <c r="F30" s="44" t="n"/>
      <c r="G30" s="44" t="n"/>
      <c r="H30" s="44" t="n"/>
      <c r="I30" s="44" t="n"/>
      <c r="J30" s="45" t="n"/>
      <c r="K30" s="45" t="n"/>
      <c r="L30" s="46" t="n"/>
      <c r="M30" s="45" t="n"/>
      <c r="N30" s="46" t="n"/>
      <c r="O30" s="45" t="n"/>
      <c r="P30" s="45" t="n"/>
      <c r="Q30" s="45" t="n"/>
      <c r="R30" s="45" t="n"/>
      <c r="S30" s="45" t="n"/>
      <c r="T30" s="45" t="n"/>
      <c r="U30" s="45" t="n"/>
      <c r="V30" s="46" t="n"/>
      <c r="W30" s="41" t="n"/>
      <c r="X30" s="46" t="n"/>
      <c r="Y30" s="42" t="n"/>
      <c r="Z30" s="43" t="n"/>
      <c r="AA30" s="41" t="n"/>
      <c r="AB30" s="47">
        <f>CALCULO!CT30</f>
      </c>
      <c r="AC30" s="48">
        <f>CALCULO!CD30</f>
      </c>
    </row>
    <row r="31">
      <c r="A31" s="40">
        <f>IF(B31="","",ROW()-5)</f>
      </c>
      <c r="B31" s="41" t="n"/>
      <c r="C31" s="42" t="n"/>
      <c r="D31" s="43" t="n"/>
      <c r="E31" s="43" t="n"/>
      <c r="F31" s="44" t="n"/>
      <c r="G31" s="44" t="n"/>
      <c r="H31" s="44" t="n"/>
      <c r="I31" s="44" t="n"/>
      <c r="J31" s="45" t="n"/>
      <c r="K31" s="45" t="n"/>
      <c r="L31" s="46" t="n"/>
      <c r="M31" s="45" t="n"/>
      <c r="N31" s="46" t="n"/>
      <c r="O31" s="45" t="n"/>
      <c r="P31" s="45" t="n"/>
      <c r="Q31" s="45" t="n"/>
      <c r="R31" s="45" t="n"/>
      <c r="S31" s="45" t="n"/>
      <c r="T31" s="45" t="n"/>
      <c r="U31" s="45" t="n"/>
      <c r="V31" s="46" t="n"/>
      <c r="W31" s="41" t="n"/>
      <c r="X31" s="46" t="n"/>
      <c r="Y31" s="42" t="n"/>
      <c r="Z31" s="43" t="n"/>
      <c r="AA31" s="41" t="n"/>
      <c r="AB31" s="47">
        <f>CALCULO!CT31</f>
      </c>
      <c r="AC31" s="48">
        <f>CALCULO!CD31</f>
      </c>
    </row>
    <row r="32">
      <c r="A32" s="40">
        <f>IF(B32="","",ROW()-5)</f>
      </c>
      <c r="B32" s="41" t="n"/>
      <c r="C32" s="42" t="n"/>
      <c r="D32" s="43" t="n"/>
      <c r="E32" s="43" t="n"/>
      <c r="F32" s="44" t="n"/>
      <c r="G32" s="44" t="n"/>
      <c r="H32" s="44" t="n"/>
      <c r="I32" s="44" t="n"/>
      <c r="J32" s="45" t="n"/>
      <c r="K32" s="45" t="n"/>
      <c r="L32" s="46" t="n"/>
      <c r="M32" s="45" t="n"/>
      <c r="N32" s="46" t="n"/>
      <c r="O32" s="45" t="n"/>
      <c r="P32" s="45" t="n"/>
      <c r="Q32" s="45" t="n"/>
      <c r="R32" s="45" t="n"/>
      <c r="S32" s="45" t="n"/>
      <c r="T32" s="45" t="n"/>
      <c r="U32" s="45" t="n"/>
      <c r="V32" s="46" t="n"/>
      <c r="W32" s="41" t="n"/>
      <c r="X32" s="46" t="n"/>
      <c r="Y32" s="42" t="n"/>
      <c r="Z32" s="43" t="n"/>
      <c r="AA32" s="41" t="n"/>
      <c r="AB32" s="47">
        <f>CALCULO!CT32</f>
      </c>
      <c r="AC32" s="48">
        <f>CALCULO!CD32</f>
      </c>
    </row>
    <row r="33">
      <c r="A33" s="40">
        <f>IF(B33="","",ROW()-5)</f>
      </c>
      <c r="B33" s="41" t="n"/>
      <c r="C33" s="42" t="n"/>
      <c r="D33" s="43" t="n"/>
      <c r="E33" s="43" t="n"/>
      <c r="F33" s="44" t="n"/>
      <c r="G33" s="44" t="n"/>
      <c r="H33" s="44" t="n"/>
      <c r="I33" s="44" t="n"/>
      <c r="J33" s="45" t="n"/>
      <c r="K33" s="45" t="n"/>
      <c r="L33" s="46" t="n"/>
      <c r="M33" s="45" t="n"/>
      <c r="N33" s="46" t="n"/>
      <c r="O33" s="45" t="n"/>
      <c r="P33" s="45" t="n"/>
      <c r="Q33" s="45" t="n"/>
      <c r="R33" s="45" t="n"/>
      <c r="S33" s="45" t="n"/>
      <c r="T33" s="45" t="n"/>
      <c r="U33" s="45" t="n"/>
      <c r="V33" s="46" t="n"/>
      <c r="W33" s="41" t="n"/>
      <c r="X33" s="46" t="n"/>
      <c r="Y33" s="42" t="n"/>
      <c r="Z33" s="43" t="n"/>
      <c r="AA33" s="41" t="n"/>
      <c r="AB33" s="47">
        <f>CALCULO!CT33</f>
      </c>
      <c r="AC33" s="48">
        <f>CALCULO!CD33</f>
      </c>
    </row>
    <row r="34">
      <c r="A34" s="40">
        <f>IF(B34="","",ROW()-5)</f>
      </c>
      <c r="B34" s="41" t="n"/>
      <c r="C34" s="42" t="n"/>
      <c r="D34" s="43" t="n"/>
      <c r="E34" s="43" t="n"/>
      <c r="F34" s="44" t="n"/>
      <c r="G34" s="44" t="n"/>
      <c r="H34" s="44" t="n"/>
      <c r="I34" s="44" t="n"/>
      <c r="J34" s="45" t="n"/>
      <c r="K34" s="45" t="n"/>
      <c r="L34" s="46" t="n"/>
      <c r="M34" s="45" t="n"/>
      <c r="N34" s="46" t="n"/>
      <c r="O34" s="45" t="n"/>
      <c r="P34" s="45" t="n"/>
      <c r="Q34" s="45" t="n"/>
      <c r="R34" s="45" t="n"/>
      <c r="S34" s="45" t="n"/>
      <c r="T34" s="45" t="n"/>
      <c r="U34" s="45" t="n"/>
      <c r="V34" s="46" t="n"/>
      <c r="W34" s="41" t="n"/>
      <c r="X34" s="46" t="n"/>
      <c r="Y34" s="42" t="n"/>
      <c r="Z34" s="43" t="n"/>
      <c r="AA34" s="41" t="n"/>
      <c r="AB34" s="47">
        <f>CALCULO!CT34</f>
      </c>
      <c r="AC34" s="48">
        <f>CALCULO!CD34</f>
      </c>
    </row>
    <row r="35">
      <c r="A35" s="40">
        <f>IF(B35="","",ROW()-5)</f>
      </c>
      <c r="B35" s="41" t="n"/>
      <c r="C35" s="42" t="n"/>
      <c r="D35" s="43" t="n"/>
      <c r="E35" s="43" t="n"/>
      <c r="F35" s="44" t="n"/>
      <c r="G35" s="44" t="n"/>
      <c r="H35" s="44" t="n"/>
      <c r="I35" s="44" t="n"/>
      <c r="J35" s="45" t="n"/>
      <c r="K35" s="45" t="n"/>
      <c r="L35" s="46" t="n"/>
      <c r="M35" s="45" t="n"/>
      <c r="N35" s="46" t="n"/>
      <c r="O35" s="45" t="n"/>
      <c r="P35" s="45" t="n"/>
      <c r="Q35" s="45" t="n"/>
      <c r="R35" s="45" t="n"/>
      <c r="S35" s="45" t="n"/>
      <c r="T35" s="45" t="n"/>
      <c r="U35" s="45" t="n"/>
      <c r="V35" s="46" t="n"/>
      <c r="W35" s="41" t="n"/>
      <c r="X35" s="46" t="n"/>
      <c r="Y35" s="42" t="n"/>
      <c r="Z35" s="43" t="n"/>
      <c r="AA35" s="41" t="n"/>
      <c r="AB35" s="47">
        <f>CALCULO!CT35</f>
      </c>
      <c r="AC35" s="48">
        <f>CALCULO!CD35</f>
      </c>
    </row>
    <row r="36">
      <c r="A36" s="40">
        <f>IF(B36="","",ROW()-5)</f>
      </c>
      <c r="B36" s="41" t="n"/>
      <c r="C36" s="42" t="n"/>
      <c r="D36" s="43" t="n"/>
      <c r="E36" s="43" t="n"/>
      <c r="F36" s="44" t="n"/>
      <c r="G36" s="44" t="n"/>
      <c r="H36" s="44" t="n"/>
      <c r="I36" s="44" t="n"/>
      <c r="J36" s="45" t="n"/>
      <c r="K36" s="45" t="n"/>
      <c r="L36" s="46" t="n"/>
      <c r="M36" s="45" t="n"/>
      <c r="N36" s="46" t="n"/>
      <c r="O36" s="45" t="n"/>
      <c r="P36" s="45" t="n"/>
      <c r="Q36" s="45" t="n"/>
      <c r="R36" s="45" t="n"/>
      <c r="S36" s="45" t="n"/>
      <c r="T36" s="45" t="n"/>
      <c r="U36" s="45" t="n"/>
      <c r="V36" s="46" t="n"/>
      <c r="W36" s="41" t="n"/>
      <c r="X36" s="46" t="n"/>
      <c r="Y36" s="42" t="n"/>
      <c r="Z36" s="43" t="n"/>
      <c r="AA36" s="41" t="n"/>
      <c r="AB36" s="47">
        <f>CALCULO!CT36</f>
      </c>
      <c r="AC36" s="48">
        <f>CALCULO!CD36</f>
      </c>
    </row>
    <row r="37">
      <c r="A37" s="40">
        <f>IF(B37="","",ROW()-5)</f>
      </c>
      <c r="B37" s="41" t="n"/>
      <c r="C37" s="42" t="n"/>
      <c r="D37" s="43" t="n"/>
      <c r="E37" s="43" t="n"/>
      <c r="F37" s="44" t="n"/>
      <c r="G37" s="44" t="n"/>
      <c r="H37" s="44" t="n"/>
      <c r="I37" s="44" t="n"/>
      <c r="J37" s="45" t="n"/>
      <c r="K37" s="45" t="n"/>
      <c r="L37" s="46" t="n"/>
      <c r="M37" s="45" t="n"/>
      <c r="N37" s="46" t="n"/>
      <c r="O37" s="45" t="n"/>
      <c r="P37" s="45" t="n"/>
      <c r="Q37" s="45" t="n"/>
      <c r="R37" s="45" t="n"/>
      <c r="S37" s="45" t="n"/>
      <c r="T37" s="45" t="n"/>
      <c r="U37" s="45" t="n"/>
      <c r="V37" s="46" t="n"/>
      <c r="W37" s="41" t="n"/>
      <c r="X37" s="46" t="n"/>
      <c r="Y37" s="42" t="n"/>
      <c r="Z37" s="43" t="n"/>
      <c r="AA37" s="41" t="n"/>
      <c r="AB37" s="47">
        <f>CALCULO!CT37</f>
      </c>
      <c r="AC37" s="48">
        <f>CALCULO!CD37</f>
      </c>
    </row>
    <row r="38">
      <c r="A38" s="40">
        <f>IF(B38="","",ROW()-5)</f>
      </c>
      <c r="B38" s="41" t="n"/>
      <c r="C38" s="42" t="n"/>
      <c r="D38" s="43" t="n"/>
      <c r="E38" s="43" t="n"/>
      <c r="F38" s="44" t="n"/>
      <c r="G38" s="44" t="n"/>
      <c r="H38" s="44" t="n"/>
      <c r="I38" s="44" t="n"/>
      <c r="J38" s="45" t="n"/>
      <c r="K38" s="45" t="n"/>
      <c r="L38" s="46" t="n"/>
      <c r="M38" s="45" t="n"/>
      <c r="N38" s="46" t="n"/>
      <c r="O38" s="45" t="n"/>
      <c r="P38" s="45" t="n"/>
      <c r="Q38" s="45" t="n"/>
      <c r="R38" s="45" t="n"/>
      <c r="S38" s="45" t="n"/>
      <c r="T38" s="45" t="n"/>
      <c r="U38" s="45" t="n"/>
      <c r="V38" s="46" t="n"/>
      <c r="W38" s="41" t="n"/>
      <c r="X38" s="46" t="n"/>
      <c r="Y38" s="42" t="n"/>
      <c r="Z38" s="43" t="n"/>
      <c r="AA38" s="41" t="n"/>
      <c r="AB38" s="47">
        <f>CALCULO!CT38</f>
      </c>
      <c r="AC38" s="48">
        <f>CALCULO!CD38</f>
      </c>
    </row>
    <row r="39">
      <c r="A39" s="40">
        <f>IF(B39="","",ROW()-5)</f>
      </c>
      <c r="B39" s="41" t="n"/>
      <c r="C39" s="42" t="n"/>
      <c r="D39" s="43" t="n"/>
      <c r="E39" s="43" t="n"/>
      <c r="F39" s="44" t="n"/>
      <c r="G39" s="44" t="n"/>
      <c r="H39" s="44" t="n"/>
      <c r="I39" s="44" t="n"/>
      <c r="J39" s="45" t="n"/>
      <c r="K39" s="45" t="n"/>
      <c r="L39" s="46" t="n"/>
      <c r="M39" s="45" t="n"/>
      <c r="N39" s="46" t="n"/>
      <c r="O39" s="45" t="n"/>
      <c r="P39" s="45" t="n"/>
      <c r="Q39" s="45" t="n"/>
      <c r="R39" s="45" t="n"/>
      <c r="S39" s="45" t="n"/>
      <c r="T39" s="45" t="n"/>
      <c r="U39" s="45" t="n"/>
      <c r="V39" s="46" t="n"/>
      <c r="W39" s="41" t="n"/>
      <c r="X39" s="46" t="n"/>
      <c r="Y39" s="42" t="n"/>
      <c r="Z39" s="43" t="n"/>
      <c r="AA39" s="41" t="n"/>
      <c r="AB39" s="47">
        <f>CALCULO!CT39</f>
      </c>
      <c r="AC39" s="48">
        <f>CALCULO!CD39</f>
      </c>
    </row>
    <row r="40">
      <c r="A40" s="40">
        <f>IF(B40="","",ROW()-5)</f>
      </c>
      <c r="B40" s="41" t="n"/>
      <c r="C40" s="42" t="n"/>
      <c r="D40" s="43" t="n"/>
      <c r="E40" s="43" t="n"/>
      <c r="F40" s="44" t="n"/>
      <c r="G40" s="44" t="n"/>
      <c r="H40" s="44" t="n"/>
      <c r="I40" s="44" t="n"/>
      <c r="J40" s="45" t="n"/>
      <c r="K40" s="45" t="n"/>
      <c r="L40" s="46" t="n"/>
      <c r="M40" s="45" t="n"/>
      <c r="N40" s="46" t="n"/>
      <c r="O40" s="45" t="n"/>
      <c r="P40" s="45" t="n"/>
      <c r="Q40" s="45" t="n"/>
      <c r="R40" s="45" t="n"/>
      <c r="S40" s="45" t="n"/>
      <c r="T40" s="45" t="n"/>
      <c r="U40" s="45" t="n"/>
      <c r="V40" s="46" t="n"/>
      <c r="W40" s="41" t="n"/>
      <c r="X40" s="46" t="n"/>
      <c r="Y40" s="42" t="n"/>
      <c r="Z40" s="43" t="n"/>
      <c r="AA40" s="41" t="n"/>
      <c r="AB40" s="47">
        <f>CALCULO!CT40</f>
      </c>
      <c r="AC40" s="48">
        <f>CALCULO!CD40</f>
      </c>
    </row>
    <row r="41">
      <c r="A41" s="40">
        <f>IF(B41="","",ROW()-5)</f>
      </c>
      <c r="B41" s="41" t="n"/>
      <c r="C41" s="42" t="n"/>
      <c r="D41" s="43" t="n"/>
      <c r="E41" s="43" t="n"/>
      <c r="F41" s="44" t="n"/>
      <c r="G41" s="44" t="n"/>
      <c r="H41" s="44" t="n"/>
      <c r="I41" s="44" t="n"/>
      <c r="J41" s="45" t="n"/>
      <c r="K41" s="45" t="n"/>
      <c r="L41" s="46" t="n"/>
      <c r="M41" s="45" t="n"/>
      <c r="N41" s="46" t="n"/>
      <c r="O41" s="45" t="n"/>
      <c r="P41" s="45" t="n"/>
      <c r="Q41" s="45" t="n"/>
      <c r="R41" s="45" t="n"/>
      <c r="S41" s="45" t="n"/>
      <c r="T41" s="45" t="n"/>
      <c r="U41" s="45" t="n"/>
      <c r="V41" s="46" t="n"/>
      <c r="W41" s="41" t="n"/>
      <c r="X41" s="46" t="n"/>
      <c r="Y41" s="42" t="n"/>
      <c r="Z41" s="43" t="n"/>
      <c r="AA41" s="41" t="n"/>
      <c r="AB41" s="47">
        <f>CALCULO!CT41</f>
      </c>
      <c r="AC41" s="48">
        <f>CALCULO!CD41</f>
      </c>
    </row>
    <row r="42">
      <c r="A42" s="40">
        <f>IF(B42="","",ROW()-5)</f>
      </c>
      <c r="B42" s="41" t="n"/>
      <c r="C42" s="42" t="n"/>
      <c r="D42" s="43" t="n"/>
      <c r="E42" s="43" t="n"/>
      <c r="F42" s="44" t="n"/>
      <c r="G42" s="44" t="n"/>
      <c r="H42" s="44" t="n"/>
      <c r="I42" s="44" t="n"/>
      <c r="J42" s="45" t="n"/>
      <c r="K42" s="45" t="n"/>
      <c r="L42" s="46" t="n"/>
      <c r="M42" s="45" t="n"/>
      <c r="N42" s="46" t="n"/>
      <c r="O42" s="45" t="n"/>
      <c r="P42" s="45" t="n"/>
      <c r="Q42" s="45" t="n"/>
      <c r="R42" s="45" t="n"/>
      <c r="S42" s="45" t="n"/>
      <c r="T42" s="45" t="n"/>
      <c r="U42" s="45" t="n"/>
      <c r="V42" s="46" t="n"/>
      <c r="W42" s="41" t="n"/>
      <c r="X42" s="46" t="n"/>
      <c r="Y42" s="42" t="n"/>
      <c r="Z42" s="43" t="n"/>
      <c r="AA42" s="41" t="n"/>
      <c r="AB42" s="47">
        <f>CALCULO!CT42</f>
      </c>
      <c r="AC42" s="48">
        <f>CALCULO!CD42</f>
      </c>
    </row>
    <row r="43">
      <c r="A43" s="40">
        <f>IF(B43="","",ROW()-5)</f>
      </c>
      <c r="B43" s="41" t="n"/>
      <c r="C43" s="42" t="n"/>
      <c r="D43" s="43" t="n"/>
      <c r="E43" s="43" t="n"/>
      <c r="F43" s="44" t="n"/>
      <c r="G43" s="44" t="n"/>
      <c r="H43" s="44" t="n"/>
      <c r="I43" s="44" t="n"/>
      <c r="J43" s="45" t="n"/>
      <c r="K43" s="45" t="n"/>
      <c r="L43" s="46" t="n"/>
      <c r="M43" s="45" t="n"/>
      <c r="N43" s="46" t="n"/>
      <c r="O43" s="45" t="n"/>
      <c r="P43" s="45" t="n"/>
      <c r="Q43" s="45" t="n"/>
      <c r="R43" s="45" t="n"/>
      <c r="S43" s="45" t="n"/>
      <c r="T43" s="45" t="n"/>
      <c r="U43" s="45" t="n"/>
      <c r="V43" s="46" t="n"/>
      <c r="W43" s="41" t="n"/>
      <c r="X43" s="46" t="n"/>
      <c r="Y43" s="42" t="n"/>
      <c r="Z43" s="43" t="n"/>
      <c r="AA43" s="41" t="n"/>
      <c r="AB43" s="47">
        <f>CALCULO!CT43</f>
      </c>
      <c r="AC43" s="48">
        <f>CALCULO!CD43</f>
      </c>
    </row>
    <row r="44">
      <c r="A44" s="40">
        <f>IF(B44="","",ROW()-5)</f>
      </c>
      <c r="B44" s="41" t="n"/>
      <c r="C44" s="42" t="n"/>
      <c r="D44" s="43" t="n"/>
      <c r="E44" s="43" t="n"/>
      <c r="F44" s="44" t="n"/>
      <c r="G44" s="44" t="n"/>
      <c r="H44" s="44" t="n"/>
      <c r="I44" s="44" t="n"/>
      <c r="J44" s="45" t="n"/>
      <c r="K44" s="45" t="n"/>
      <c r="L44" s="46" t="n"/>
      <c r="M44" s="45" t="n"/>
      <c r="N44" s="46" t="n"/>
      <c r="O44" s="45" t="n"/>
      <c r="P44" s="45" t="n"/>
      <c r="Q44" s="45" t="n"/>
      <c r="R44" s="45" t="n"/>
      <c r="S44" s="45" t="n"/>
      <c r="T44" s="45" t="n"/>
      <c r="U44" s="45" t="n"/>
      <c r="V44" s="46" t="n"/>
      <c r="W44" s="41" t="n"/>
      <c r="X44" s="46" t="n"/>
      <c r="Y44" s="42" t="n"/>
      <c r="Z44" s="43" t="n"/>
      <c r="AA44" s="41" t="n"/>
      <c r="AB44" s="47">
        <f>CALCULO!CT44</f>
      </c>
      <c r="AC44" s="48">
        <f>CALCULO!CD44</f>
      </c>
    </row>
    <row r="45">
      <c r="A45" s="40">
        <f>IF(B45="","",ROW()-5)</f>
      </c>
      <c r="B45" s="41" t="n"/>
      <c r="C45" s="42" t="n"/>
      <c r="D45" s="43" t="n"/>
      <c r="E45" s="43" t="n"/>
      <c r="F45" s="44" t="n"/>
      <c r="G45" s="44" t="n"/>
      <c r="H45" s="44" t="n"/>
      <c r="I45" s="44" t="n"/>
      <c r="J45" s="45" t="n"/>
      <c r="K45" s="45" t="n"/>
      <c r="L45" s="46" t="n"/>
      <c r="M45" s="45" t="n"/>
      <c r="N45" s="46" t="n"/>
      <c r="O45" s="45" t="n"/>
      <c r="P45" s="45" t="n"/>
      <c r="Q45" s="45" t="n"/>
      <c r="R45" s="45" t="n"/>
      <c r="S45" s="45" t="n"/>
      <c r="T45" s="45" t="n"/>
      <c r="U45" s="45" t="n"/>
      <c r="V45" s="46" t="n"/>
      <c r="W45" s="41" t="n"/>
      <c r="X45" s="46" t="n"/>
      <c r="Y45" s="42" t="n"/>
      <c r="Z45" s="43" t="n"/>
      <c r="AA45" s="41" t="n"/>
      <c r="AB45" s="47">
        <f>CALCULO!CT45</f>
      </c>
      <c r="AC45" s="48">
        <f>CALCULO!CD45</f>
      </c>
    </row>
    <row r="46">
      <c r="A46" s="40">
        <f>IF(B46="","",ROW()-5)</f>
      </c>
      <c r="B46" s="41" t="n"/>
      <c r="C46" s="42" t="n"/>
      <c r="D46" s="43" t="n"/>
      <c r="E46" s="43" t="n"/>
      <c r="F46" s="44" t="n"/>
      <c r="G46" s="44" t="n"/>
      <c r="H46" s="44" t="n"/>
      <c r="I46" s="44" t="n"/>
      <c r="J46" s="45" t="n"/>
      <c r="K46" s="45" t="n"/>
      <c r="L46" s="46" t="n"/>
      <c r="M46" s="45" t="n"/>
      <c r="N46" s="46" t="n"/>
      <c r="O46" s="45" t="n"/>
      <c r="P46" s="45" t="n"/>
      <c r="Q46" s="45" t="n"/>
      <c r="R46" s="45" t="n"/>
      <c r="S46" s="45" t="n"/>
      <c r="T46" s="45" t="n"/>
      <c r="U46" s="45" t="n"/>
      <c r="V46" s="46" t="n"/>
      <c r="W46" s="41" t="n"/>
      <c r="X46" s="46" t="n"/>
      <c r="Y46" s="42" t="n"/>
      <c r="Z46" s="43" t="n"/>
      <c r="AA46" s="41" t="n"/>
      <c r="AB46" s="47">
        <f>CALCULO!CT46</f>
      </c>
      <c r="AC46" s="48">
        <f>CALCULO!CD46</f>
      </c>
    </row>
    <row r="47">
      <c r="A47" s="40">
        <f>IF(B47="","",ROW()-5)</f>
      </c>
      <c r="B47" s="41" t="n"/>
      <c r="C47" s="42" t="n"/>
      <c r="D47" s="43" t="n"/>
      <c r="E47" s="43" t="n"/>
      <c r="F47" s="44" t="n"/>
      <c r="G47" s="44" t="n"/>
      <c r="H47" s="44" t="n"/>
      <c r="I47" s="44" t="n"/>
      <c r="J47" s="45" t="n"/>
      <c r="K47" s="45" t="n"/>
      <c r="L47" s="46" t="n"/>
      <c r="M47" s="45" t="n"/>
      <c r="N47" s="46" t="n"/>
      <c r="O47" s="45" t="n"/>
      <c r="P47" s="45" t="n"/>
      <c r="Q47" s="45" t="n"/>
      <c r="R47" s="45" t="n"/>
      <c r="S47" s="45" t="n"/>
      <c r="T47" s="45" t="n"/>
      <c r="U47" s="45" t="n"/>
      <c r="V47" s="46" t="n"/>
      <c r="W47" s="41" t="n"/>
      <c r="X47" s="46" t="n"/>
      <c r="Y47" s="42" t="n"/>
      <c r="Z47" s="43" t="n"/>
      <c r="AA47" s="41" t="n"/>
      <c r="AB47" s="47">
        <f>CALCULO!CT47</f>
      </c>
      <c r="AC47" s="48">
        <f>CALCULO!CD47</f>
      </c>
    </row>
    <row r="48">
      <c r="A48" s="40">
        <f>IF(B48="","",ROW()-5)</f>
      </c>
      <c r="B48" s="41" t="n"/>
      <c r="C48" s="42" t="n"/>
      <c r="D48" s="43" t="n"/>
      <c r="E48" s="43" t="n"/>
      <c r="F48" s="44" t="n"/>
      <c r="G48" s="44" t="n"/>
      <c r="H48" s="44" t="n"/>
      <c r="I48" s="44" t="n"/>
      <c r="J48" s="45" t="n"/>
      <c r="K48" s="45" t="n"/>
      <c r="L48" s="46" t="n"/>
      <c r="M48" s="45" t="n"/>
      <c r="N48" s="46" t="n"/>
      <c r="O48" s="45" t="n"/>
      <c r="P48" s="45" t="n"/>
      <c r="Q48" s="45" t="n"/>
      <c r="R48" s="45" t="n"/>
      <c r="S48" s="45" t="n"/>
      <c r="T48" s="45" t="n"/>
      <c r="U48" s="45" t="n"/>
      <c r="V48" s="46" t="n"/>
      <c r="W48" s="41" t="n"/>
      <c r="X48" s="46" t="n"/>
      <c r="Y48" s="42" t="n"/>
      <c r="Z48" s="43" t="n"/>
      <c r="AA48" s="41" t="n"/>
      <c r="AB48" s="47">
        <f>CALCULO!CT48</f>
      </c>
      <c r="AC48" s="48">
        <f>CALCULO!CD48</f>
      </c>
    </row>
    <row r="49">
      <c r="A49" s="40">
        <f>IF(B49="","",ROW()-5)</f>
      </c>
      <c r="B49" s="41" t="n"/>
      <c r="C49" s="42" t="n"/>
      <c r="D49" s="43" t="n"/>
      <c r="E49" s="43" t="n"/>
      <c r="F49" s="44" t="n"/>
      <c r="G49" s="44" t="n"/>
      <c r="H49" s="44" t="n"/>
      <c r="I49" s="44" t="n"/>
      <c r="J49" s="45" t="n"/>
      <c r="K49" s="45" t="n"/>
      <c r="L49" s="46" t="n"/>
      <c r="M49" s="45" t="n"/>
      <c r="N49" s="46" t="n"/>
      <c r="O49" s="45" t="n"/>
      <c r="P49" s="45" t="n"/>
      <c r="Q49" s="45" t="n"/>
      <c r="R49" s="45" t="n"/>
      <c r="S49" s="45" t="n"/>
      <c r="T49" s="45" t="n"/>
      <c r="U49" s="45" t="n"/>
      <c r="V49" s="46" t="n"/>
      <c r="W49" s="41" t="n"/>
      <c r="X49" s="46" t="n"/>
      <c r="Y49" s="42" t="n"/>
      <c r="Z49" s="43" t="n"/>
      <c r="AA49" s="41" t="n"/>
      <c r="AB49" s="47">
        <f>CALCULO!CT49</f>
      </c>
      <c r="AC49" s="48">
        <f>CALCULO!CD49</f>
      </c>
    </row>
    <row r="50">
      <c r="A50" s="40">
        <f>IF(B50="","",ROW()-5)</f>
      </c>
      <c r="B50" s="41" t="n"/>
      <c r="C50" s="42" t="n"/>
      <c r="D50" s="43" t="n"/>
      <c r="E50" s="43" t="n"/>
      <c r="F50" s="44" t="n"/>
      <c r="G50" s="44" t="n"/>
      <c r="H50" s="44" t="n"/>
      <c r="I50" s="44" t="n"/>
      <c r="J50" s="45" t="n"/>
      <c r="K50" s="45" t="n"/>
      <c r="L50" s="46" t="n"/>
      <c r="M50" s="45" t="n"/>
      <c r="N50" s="46" t="n"/>
      <c r="O50" s="45" t="n"/>
      <c r="P50" s="45" t="n"/>
      <c r="Q50" s="45" t="n"/>
      <c r="R50" s="45" t="n"/>
      <c r="S50" s="45" t="n"/>
      <c r="T50" s="45" t="n"/>
      <c r="U50" s="45" t="n"/>
      <c r="V50" s="46" t="n"/>
      <c r="W50" s="41" t="n"/>
      <c r="X50" s="46" t="n"/>
      <c r="Y50" s="42" t="n"/>
      <c r="Z50" s="43" t="n"/>
      <c r="AA50" s="41" t="n"/>
      <c r="AB50" s="47">
        <f>CALCULO!CT50</f>
      </c>
      <c r="AC50" s="48">
        <f>CALCULO!CD50</f>
      </c>
    </row>
    <row r="51">
      <c r="A51" s="40">
        <f>IF(B51="","",ROW()-5)</f>
      </c>
      <c r="B51" s="41" t="n"/>
      <c r="C51" s="42" t="n"/>
      <c r="D51" s="43" t="n"/>
      <c r="E51" s="43" t="n"/>
      <c r="F51" s="44" t="n"/>
      <c r="G51" s="44" t="n"/>
      <c r="H51" s="44" t="n"/>
      <c r="I51" s="44" t="n"/>
      <c r="J51" s="45" t="n"/>
      <c r="K51" s="45" t="n"/>
      <c r="L51" s="46" t="n"/>
      <c r="M51" s="45" t="n"/>
      <c r="N51" s="46" t="n"/>
      <c r="O51" s="45" t="n"/>
      <c r="P51" s="45" t="n"/>
      <c r="Q51" s="45" t="n"/>
      <c r="R51" s="45" t="n"/>
      <c r="S51" s="45" t="n"/>
      <c r="T51" s="45" t="n"/>
      <c r="U51" s="45" t="n"/>
      <c r="V51" s="46" t="n"/>
      <c r="W51" s="41" t="n"/>
      <c r="X51" s="46" t="n"/>
      <c r="Y51" s="42" t="n"/>
      <c r="Z51" s="43" t="n"/>
      <c r="AA51" s="41" t="n"/>
      <c r="AB51" s="47">
        <f>CALCULO!CT51</f>
      </c>
      <c r="AC51" s="48">
        <f>CALCULO!CD51</f>
      </c>
    </row>
    <row r="52">
      <c r="A52" s="40">
        <f>IF(B52="","",ROW()-5)</f>
      </c>
      <c r="B52" s="41" t="n"/>
      <c r="C52" s="42" t="n"/>
      <c r="D52" s="43" t="n"/>
      <c r="E52" s="43" t="n"/>
      <c r="F52" s="44" t="n"/>
      <c r="G52" s="44" t="n"/>
      <c r="H52" s="44" t="n"/>
      <c r="I52" s="44" t="n"/>
      <c r="J52" s="45" t="n"/>
      <c r="K52" s="45" t="n"/>
      <c r="L52" s="46" t="n"/>
      <c r="M52" s="45" t="n"/>
      <c r="N52" s="46" t="n"/>
      <c r="O52" s="45" t="n"/>
      <c r="P52" s="45" t="n"/>
      <c r="Q52" s="45" t="n"/>
      <c r="R52" s="45" t="n"/>
      <c r="S52" s="45" t="n"/>
      <c r="T52" s="45" t="n"/>
      <c r="U52" s="45" t="n"/>
      <c r="V52" s="46" t="n"/>
      <c r="W52" s="41" t="n"/>
      <c r="X52" s="46" t="n"/>
      <c r="Y52" s="42" t="n"/>
      <c r="Z52" s="43" t="n"/>
      <c r="AA52" s="41" t="n"/>
      <c r="AB52" s="47">
        <f>CALCULO!CT52</f>
      </c>
      <c r="AC52" s="48">
        <f>CALCULO!CD52</f>
      </c>
    </row>
    <row r="53">
      <c r="A53" s="40">
        <f>IF(B53="","",ROW()-5)</f>
      </c>
      <c r="B53" s="41" t="n"/>
      <c r="C53" s="42" t="n"/>
      <c r="D53" s="43" t="n"/>
      <c r="E53" s="43" t="n"/>
      <c r="F53" s="44" t="n"/>
      <c r="G53" s="44" t="n"/>
      <c r="H53" s="44" t="n"/>
      <c r="I53" s="44" t="n"/>
      <c r="J53" s="45" t="n"/>
      <c r="K53" s="45" t="n"/>
      <c r="L53" s="46" t="n"/>
      <c r="M53" s="45" t="n"/>
      <c r="N53" s="46" t="n"/>
      <c r="O53" s="45" t="n"/>
      <c r="P53" s="45" t="n"/>
      <c r="Q53" s="45" t="n"/>
      <c r="R53" s="45" t="n"/>
      <c r="S53" s="45" t="n"/>
      <c r="T53" s="45" t="n"/>
      <c r="U53" s="45" t="n"/>
      <c r="V53" s="46" t="n"/>
      <c r="W53" s="41" t="n"/>
      <c r="X53" s="46" t="n"/>
      <c r="Y53" s="42" t="n"/>
      <c r="Z53" s="43" t="n"/>
      <c r="AA53" s="41" t="n"/>
      <c r="AB53" s="47">
        <f>CALCULO!CT53</f>
      </c>
      <c r="AC53" s="48">
        <f>CALCULO!CD53</f>
      </c>
    </row>
    <row r="54">
      <c r="A54" s="40">
        <f>IF(B54="","",ROW()-5)</f>
      </c>
      <c r="B54" s="41" t="n"/>
      <c r="C54" s="42" t="n"/>
      <c r="D54" s="43" t="n"/>
      <c r="E54" s="43" t="n"/>
      <c r="F54" s="44" t="n"/>
      <c r="G54" s="44" t="n"/>
      <c r="H54" s="44" t="n"/>
      <c r="I54" s="44" t="n"/>
      <c r="J54" s="45" t="n"/>
      <c r="K54" s="45" t="n"/>
      <c r="L54" s="46" t="n"/>
      <c r="M54" s="45" t="n"/>
      <c r="N54" s="46" t="n"/>
      <c r="O54" s="45" t="n"/>
      <c r="P54" s="45" t="n"/>
      <c r="Q54" s="45" t="n"/>
      <c r="R54" s="45" t="n"/>
      <c r="S54" s="45" t="n"/>
      <c r="T54" s="45" t="n"/>
      <c r="U54" s="45" t="n"/>
      <c r="V54" s="46" t="n"/>
      <c r="W54" s="41" t="n"/>
      <c r="X54" s="46" t="n"/>
      <c r="Y54" s="42" t="n"/>
      <c r="Z54" s="43" t="n"/>
      <c r="AA54" s="41" t="n"/>
      <c r="AB54" s="47">
        <f>CALCULO!CT54</f>
      </c>
      <c r="AC54" s="48">
        <f>CALCULO!CD54</f>
      </c>
    </row>
    <row r="55">
      <c r="A55" s="40">
        <f>IF(B55="","",ROW()-5)</f>
      </c>
      <c r="B55" s="41" t="n"/>
      <c r="C55" s="42" t="n"/>
      <c r="D55" s="43" t="n"/>
      <c r="E55" s="43" t="n"/>
      <c r="F55" s="44" t="n"/>
      <c r="G55" s="44" t="n"/>
      <c r="H55" s="44" t="n"/>
      <c r="I55" s="44" t="n"/>
      <c r="J55" s="45" t="n"/>
      <c r="K55" s="45" t="n"/>
      <c r="L55" s="46" t="n"/>
      <c r="M55" s="45" t="n"/>
      <c r="N55" s="46" t="n"/>
      <c r="O55" s="45" t="n"/>
      <c r="P55" s="45" t="n"/>
      <c r="Q55" s="45" t="n"/>
      <c r="R55" s="45" t="n"/>
      <c r="S55" s="45" t="n"/>
      <c r="T55" s="45" t="n"/>
      <c r="U55" s="45" t="n"/>
      <c r="V55" s="46" t="n"/>
      <c r="W55" s="41" t="n"/>
      <c r="X55" s="46" t="n"/>
      <c r="Y55" s="42" t="n"/>
      <c r="Z55" s="43" t="n"/>
      <c r="AA55" s="41" t="n"/>
      <c r="AB55" s="47">
        <f>CALCULO!CT55</f>
      </c>
      <c r="AC55" s="48">
        <f>CALCULO!CD55</f>
      </c>
    </row>
    <row r="56">
      <c r="A56" s="40">
        <f>IF(B56="","",ROW()-5)</f>
      </c>
      <c r="B56" s="41" t="n"/>
      <c r="C56" s="42" t="n"/>
      <c r="D56" s="43" t="n"/>
      <c r="E56" s="43" t="n"/>
      <c r="F56" s="44" t="n"/>
      <c r="G56" s="44" t="n"/>
      <c r="H56" s="44" t="n"/>
      <c r="I56" s="44" t="n"/>
      <c r="J56" s="45" t="n"/>
      <c r="K56" s="45" t="n"/>
      <c r="L56" s="46" t="n"/>
      <c r="M56" s="45" t="n"/>
      <c r="N56" s="46" t="n"/>
      <c r="O56" s="45" t="n"/>
      <c r="P56" s="45" t="n"/>
      <c r="Q56" s="45" t="n"/>
      <c r="R56" s="45" t="n"/>
      <c r="S56" s="45" t="n"/>
      <c r="T56" s="45" t="n"/>
      <c r="U56" s="45" t="n"/>
      <c r="V56" s="46" t="n"/>
      <c r="W56" s="41" t="n"/>
      <c r="X56" s="46" t="n"/>
      <c r="Y56" s="42" t="n"/>
      <c r="Z56" s="43" t="n"/>
      <c r="AA56" s="41" t="n"/>
      <c r="AB56" s="47">
        <f>CALCULO!CT56</f>
      </c>
      <c r="AC56" s="48">
        <f>CALCULO!CD56</f>
      </c>
    </row>
    <row r="57">
      <c r="A57" s="40">
        <f>IF(B57="","",ROW()-5)</f>
      </c>
      <c r="B57" s="41" t="n"/>
      <c r="C57" s="42" t="n"/>
      <c r="D57" s="43" t="n"/>
      <c r="E57" s="43" t="n"/>
      <c r="F57" s="44" t="n"/>
      <c r="G57" s="44" t="n"/>
      <c r="H57" s="44" t="n"/>
      <c r="I57" s="44" t="n"/>
      <c r="J57" s="45" t="n"/>
      <c r="K57" s="45" t="n"/>
      <c r="L57" s="46" t="n"/>
      <c r="M57" s="45" t="n"/>
      <c r="N57" s="46" t="n"/>
      <c r="O57" s="45" t="n"/>
      <c r="P57" s="45" t="n"/>
      <c r="Q57" s="45" t="n"/>
      <c r="R57" s="45" t="n"/>
      <c r="S57" s="45" t="n"/>
      <c r="T57" s="45" t="n"/>
      <c r="U57" s="45" t="n"/>
      <c r="V57" s="46" t="n"/>
      <c r="W57" s="41" t="n"/>
      <c r="X57" s="46" t="n"/>
      <c r="Y57" s="42" t="n"/>
      <c r="Z57" s="43" t="n"/>
      <c r="AA57" s="41" t="n"/>
      <c r="AB57" s="47">
        <f>CALCULO!CT57</f>
      </c>
      <c r="AC57" s="48">
        <f>CALCULO!CD57</f>
      </c>
    </row>
    <row r="58">
      <c r="A58" s="40">
        <f>IF(B58="","",ROW()-5)</f>
      </c>
      <c r="B58" s="41" t="n"/>
      <c r="C58" s="42" t="n"/>
      <c r="D58" s="43" t="n"/>
      <c r="E58" s="43" t="n"/>
      <c r="F58" s="44" t="n"/>
      <c r="G58" s="44" t="n"/>
      <c r="H58" s="44" t="n"/>
      <c r="I58" s="44" t="n"/>
      <c r="J58" s="45" t="n"/>
      <c r="K58" s="45" t="n"/>
      <c r="L58" s="46" t="n"/>
      <c r="M58" s="45" t="n"/>
      <c r="N58" s="46" t="n"/>
      <c r="O58" s="45" t="n"/>
      <c r="P58" s="45" t="n"/>
      <c r="Q58" s="45" t="n"/>
      <c r="R58" s="45" t="n"/>
      <c r="S58" s="45" t="n"/>
      <c r="T58" s="45" t="n"/>
      <c r="U58" s="45" t="n"/>
      <c r="V58" s="46" t="n"/>
      <c r="W58" s="41" t="n"/>
      <c r="X58" s="46" t="n"/>
      <c r="Y58" s="42" t="n"/>
      <c r="Z58" s="43" t="n"/>
      <c r="AA58" s="41" t="n"/>
      <c r="AB58" s="47">
        <f>CALCULO!CT58</f>
      </c>
      <c r="AC58" s="48">
        <f>CALCULO!CD58</f>
      </c>
    </row>
    <row r="59">
      <c r="A59" s="40">
        <f>IF(B59="","",ROW()-5)</f>
      </c>
      <c r="B59" s="41" t="n"/>
      <c r="C59" s="42" t="n"/>
      <c r="D59" s="43" t="n"/>
      <c r="E59" s="43" t="n"/>
      <c r="F59" s="44" t="n"/>
      <c r="G59" s="44" t="n"/>
      <c r="H59" s="44" t="n"/>
      <c r="I59" s="44" t="n"/>
      <c r="J59" s="45" t="n"/>
      <c r="K59" s="45" t="n"/>
      <c r="L59" s="46" t="n"/>
      <c r="M59" s="45" t="n"/>
      <c r="N59" s="46" t="n"/>
      <c r="O59" s="45" t="n"/>
      <c r="P59" s="45" t="n"/>
      <c r="Q59" s="45" t="n"/>
      <c r="R59" s="45" t="n"/>
      <c r="S59" s="45" t="n"/>
      <c r="T59" s="45" t="n"/>
      <c r="U59" s="45" t="n"/>
      <c r="V59" s="46" t="n"/>
      <c r="W59" s="41" t="n"/>
      <c r="X59" s="46" t="n"/>
      <c r="Y59" s="42" t="n"/>
      <c r="Z59" s="43" t="n"/>
      <c r="AA59" s="41" t="n"/>
      <c r="AB59" s="47">
        <f>CALCULO!CT59</f>
      </c>
      <c r="AC59" s="48">
        <f>CALCULO!CD59</f>
      </c>
    </row>
    <row r="60">
      <c r="A60" s="40">
        <f>IF(B60="","",ROW()-5)</f>
      </c>
      <c r="B60" s="41" t="n"/>
      <c r="C60" s="42" t="n"/>
      <c r="D60" s="43" t="n"/>
      <c r="E60" s="43" t="n"/>
      <c r="F60" s="44" t="n"/>
      <c r="G60" s="44" t="n"/>
      <c r="H60" s="44" t="n"/>
      <c r="I60" s="44" t="n"/>
      <c r="J60" s="45" t="n"/>
      <c r="K60" s="45" t="n"/>
      <c r="L60" s="46" t="n"/>
      <c r="M60" s="45" t="n"/>
      <c r="N60" s="46" t="n"/>
      <c r="O60" s="45" t="n"/>
      <c r="P60" s="45" t="n"/>
      <c r="Q60" s="45" t="n"/>
      <c r="R60" s="45" t="n"/>
      <c r="S60" s="45" t="n"/>
      <c r="T60" s="45" t="n"/>
      <c r="U60" s="45" t="n"/>
      <c r="V60" s="46" t="n"/>
      <c r="W60" s="41" t="n"/>
      <c r="X60" s="46" t="n"/>
      <c r="Y60" s="42" t="n"/>
      <c r="Z60" s="43" t="n"/>
      <c r="AA60" s="41" t="n"/>
      <c r="AB60" s="47">
        <f>CALCULO!CT60</f>
      </c>
      <c r="AC60" s="48">
        <f>CALCULO!CD60</f>
      </c>
    </row>
    <row r="61">
      <c r="A61" s="40">
        <f>IF(B61="","",ROW()-5)</f>
      </c>
      <c r="B61" s="41" t="n"/>
      <c r="C61" s="42" t="n"/>
      <c r="D61" s="43" t="n"/>
      <c r="E61" s="43" t="n"/>
      <c r="F61" s="44" t="n"/>
      <c r="G61" s="44" t="n"/>
      <c r="H61" s="44" t="n"/>
      <c r="I61" s="44" t="n"/>
      <c r="J61" s="45" t="n"/>
      <c r="K61" s="45" t="n"/>
      <c r="L61" s="46" t="n"/>
      <c r="M61" s="45" t="n"/>
      <c r="N61" s="46" t="n"/>
      <c r="O61" s="45" t="n"/>
      <c r="P61" s="45" t="n"/>
      <c r="Q61" s="45" t="n"/>
      <c r="R61" s="45" t="n"/>
      <c r="S61" s="45" t="n"/>
      <c r="T61" s="45" t="n"/>
      <c r="U61" s="45" t="n"/>
      <c r="V61" s="46" t="n"/>
      <c r="W61" s="41" t="n"/>
      <c r="X61" s="46" t="n"/>
      <c r="Y61" s="42" t="n"/>
      <c r="Z61" s="43" t="n"/>
      <c r="AA61" s="41" t="n"/>
      <c r="AB61" s="47">
        <f>CALCULO!CT61</f>
      </c>
      <c r="AC61" s="48">
        <f>CALCULO!CD61</f>
      </c>
    </row>
    <row r="62">
      <c r="A62" s="40">
        <f>IF(B62="","",ROW()-5)</f>
      </c>
      <c r="B62" s="41" t="n"/>
      <c r="C62" s="42" t="n"/>
      <c r="D62" s="43" t="n"/>
      <c r="E62" s="43" t="n"/>
      <c r="F62" s="44" t="n"/>
      <c r="G62" s="44" t="n"/>
      <c r="H62" s="44" t="n"/>
      <c r="I62" s="44" t="n"/>
      <c r="J62" s="45" t="n"/>
      <c r="K62" s="45" t="n"/>
      <c r="L62" s="46" t="n"/>
      <c r="M62" s="45" t="n"/>
      <c r="N62" s="46" t="n"/>
      <c r="O62" s="45" t="n"/>
      <c r="P62" s="45" t="n"/>
      <c r="Q62" s="45" t="n"/>
      <c r="R62" s="45" t="n"/>
      <c r="S62" s="45" t="n"/>
      <c r="T62" s="45" t="n"/>
      <c r="U62" s="45" t="n"/>
      <c r="V62" s="46" t="n"/>
      <c r="W62" s="41" t="n"/>
      <c r="X62" s="46" t="n"/>
      <c r="Y62" s="42" t="n"/>
      <c r="Z62" s="43" t="n"/>
      <c r="AA62" s="41" t="n"/>
      <c r="AB62" s="47">
        <f>CALCULO!CT62</f>
      </c>
      <c r="AC62" s="48">
        <f>CALCULO!CD62</f>
      </c>
    </row>
    <row r="63">
      <c r="A63" s="40">
        <f>IF(B63="","",ROW()-5)</f>
      </c>
      <c r="B63" s="41" t="n"/>
      <c r="C63" s="42" t="n"/>
      <c r="D63" s="43" t="n"/>
      <c r="E63" s="43" t="n"/>
      <c r="F63" s="44" t="n"/>
      <c r="G63" s="44" t="n"/>
      <c r="H63" s="44" t="n"/>
      <c r="I63" s="44" t="n"/>
      <c r="J63" s="45" t="n"/>
      <c r="K63" s="45" t="n"/>
      <c r="L63" s="46" t="n"/>
      <c r="M63" s="45" t="n"/>
      <c r="N63" s="46" t="n"/>
      <c r="O63" s="45" t="n"/>
      <c r="P63" s="45" t="n"/>
      <c r="Q63" s="45" t="n"/>
      <c r="R63" s="45" t="n"/>
      <c r="S63" s="45" t="n"/>
      <c r="T63" s="45" t="n"/>
      <c r="U63" s="45" t="n"/>
      <c r="V63" s="46" t="n"/>
      <c r="W63" s="41" t="n"/>
      <c r="X63" s="46" t="n"/>
      <c r="Y63" s="42" t="n"/>
      <c r="Z63" s="43" t="n"/>
      <c r="AA63" s="41" t="n"/>
      <c r="AB63" s="47">
        <f>CALCULO!CT63</f>
      </c>
      <c r="AC63" s="48">
        <f>CALCULO!CD63</f>
      </c>
    </row>
    <row r="64">
      <c r="A64" s="40">
        <f>IF(B64="","",ROW()-5)</f>
      </c>
      <c r="B64" s="41" t="n"/>
      <c r="C64" s="42" t="n"/>
      <c r="D64" s="43" t="n"/>
      <c r="E64" s="43" t="n"/>
      <c r="F64" s="44" t="n"/>
      <c r="G64" s="44" t="n"/>
      <c r="H64" s="44" t="n"/>
      <c r="I64" s="44" t="n"/>
      <c r="J64" s="45" t="n"/>
      <c r="K64" s="45" t="n"/>
      <c r="L64" s="46" t="n"/>
      <c r="M64" s="45" t="n"/>
      <c r="N64" s="46" t="n"/>
      <c r="O64" s="45" t="n"/>
      <c r="P64" s="45" t="n"/>
      <c r="Q64" s="45" t="n"/>
      <c r="R64" s="45" t="n"/>
      <c r="S64" s="45" t="n"/>
      <c r="T64" s="45" t="n"/>
      <c r="U64" s="45" t="n"/>
      <c r="V64" s="46" t="n"/>
      <c r="W64" s="41" t="n"/>
      <c r="X64" s="46" t="n"/>
      <c r="Y64" s="42" t="n"/>
      <c r="Z64" s="43" t="n"/>
      <c r="AA64" s="41" t="n"/>
      <c r="AB64" s="47">
        <f>CALCULO!CT64</f>
      </c>
      <c r="AC64" s="48">
        <f>CALCULO!CD64</f>
      </c>
    </row>
    <row r="65">
      <c r="A65" s="40">
        <f>IF(B65="","",ROW()-5)</f>
      </c>
      <c r="B65" s="41" t="n"/>
      <c r="C65" s="42" t="n"/>
      <c r="D65" s="43" t="n"/>
      <c r="E65" s="43" t="n"/>
      <c r="F65" s="44" t="n"/>
      <c r="G65" s="44" t="n"/>
      <c r="H65" s="44" t="n"/>
      <c r="I65" s="44" t="n"/>
      <c r="J65" s="45" t="n"/>
      <c r="K65" s="45" t="n"/>
      <c r="L65" s="46" t="n"/>
      <c r="M65" s="45" t="n"/>
      <c r="N65" s="46" t="n"/>
      <c r="O65" s="45" t="n"/>
      <c r="P65" s="45" t="n"/>
      <c r="Q65" s="45" t="n"/>
      <c r="R65" s="45" t="n"/>
      <c r="S65" s="45" t="n"/>
      <c r="T65" s="45" t="n"/>
      <c r="U65" s="45" t="n"/>
      <c r="V65" s="46" t="n"/>
      <c r="W65" s="41" t="n"/>
      <c r="X65" s="46" t="n"/>
      <c r="Y65" s="42" t="n"/>
      <c r="Z65" s="43" t="n"/>
      <c r="AA65" s="41" t="n"/>
      <c r="AB65" s="47">
        <f>CALCULO!CT65</f>
      </c>
      <c r="AC65" s="48">
        <f>CALCULO!CD65</f>
      </c>
    </row>
    <row r="66">
      <c r="A66" s="40">
        <f>IF(B66="","",ROW()-5)</f>
      </c>
      <c r="B66" s="41" t="n"/>
      <c r="C66" s="42" t="n"/>
      <c r="D66" s="43" t="n"/>
      <c r="E66" s="43" t="n"/>
      <c r="F66" s="44" t="n"/>
      <c r="G66" s="44" t="n"/>
      <c r="H66" s="44" t="n"/>
      <c r="I66" s="44" t="n"/>
      <c r="J66" s="45" t="n"/>
      <c r="K66" s="45" t="n"/>
      <c r="L66" s="46" t="n"/>
      <c r="M66" s="45" t="n"/>
      <c r="N66" s="46" t="n"/>
      <c r="O66" s="45" t="n"/>
      <c r="P66" s="45" t="n"/>
      <c r="Q66" s="45" t="n"/>
      <c r="R66" s="45" t="n"/>
      <c r="S66" s="45" t="n"/>
      <c r="T66" s="45" t="n"/>
      <c r="U66" s="45" t="n"/>
      <c r="V66" s="46" t="n"/>
      <c r="W66" s="41" t="n"/>
      <c r="X66" s="46" t="n"/>
      <c r="Y66" s="42" t="n"/>
      <c r="Z66" s="43" t="n"/>
      <c r="AA66" s="41" t="n"/>
      <c r="AB66" s="47">
        <f>CALCULO!CT66</f>
      </c>
      <c r="AC66" s="48">
        <f>CALCULO!CD66</f>
      </c>
    </row>
    <row r="67">
      <c r="A67" s="40">
        <f>IF(B67="","",ROW()-5)</f>
      </c>
      <c r="B67" s="41" t="n"/>
      <c r="C67" s="42" t="n"/>
      <c r="D67" s="43" t="n"/>
      <c r="E67" s="43" t="n"/>
      <c r="F67" s="44" t="n"/>
      <c r="G67" s="44" t="n"/>
      <c r="H67" s="44" t="n"/>
      <c r="I67" s="44" t="n"/>
      <c r="J67" s="45" t="n"/>
      <c r="K67" s="45" t="n"/>
      <c r="L67" s="46" t="n"/>
      <c r="M67" s="45" t="n"/>
      <c r="N67" s="46" t="n"/>
      <c r="O67" s="45" t="n"/>
      <c r="P67" s="45" t="n"/>
      <c r="Q67" s="45" t="n"/>
      <c r="R67" s="45" t="n"/>
      <c r="S67" s="45" t="n"/>
      <c r="T67" s="45" t="n"/>
      <c r="U67" s="45" t="n"/>
      <c r="V67" s="46" t="n"/>
      <c r="W67" s="41" t="n"/>
      <c r="X67" s="46" t="n"/>
      <c r="Y67" s="42" t="n"/>
      <c r="Z67" s="43" t="n"/>
      <c r="AA67" s="41" t="n"/>
      <c r="AB67" s="47">
        <f>CALCULO!CT67</f>
      </c>
      <c r="AC67" s="48">
        <f>CALCULO!CD67</f>
      </c>
    </row>
    <row r="68">
      <c r="A68" s="40">
        <f>IF(B68="","",ROW()-5)</f>
      </c>
      <c r="B68" s="41" t="n"/>
      <c r="C68" s="42" t="n"/>
      <c r="D68" s="43" t="n"/>
      <c r="E68" s="43" t="n"/>
      <c r="F68" s="44" t="n"/>
      <c r="G68" s="44" t="n"/>
      <c r="H68" s="44" t="n"/>
      <c r="I68" s="44" t="n"/>
      <c r="J68" s="45" t="n"/>
      <c r="K68" s="45" t="n"/>
      <c r="L68" s="46" t="n"/>
      <c r="M68" s="45" t="n"/>
      <c r="N68" s="46" t="n"/>
      <c r="O68" s="45" t="n"/>
      <c r="P68" s="45" t="n"/>
      <c r="Q68" s="45" t="n"/>
      <c r="R68" s="45" t="n"/>
      <c r="S68" s="45" t="n"/>
      <c r="T68" s="45" t="n"/>
      <c r="U68" s="45" t="n"/>
      <c r="V68" s="46" t="n"/>
      <c r="W68" s="41" t="n"/>
      <c r="X68" s="46" t="n"/>
      <c r="Y68" s="42" t="n"/>
      <c r="Z68" s="43" t="n"/>
      <c r="AA68" s="41" t="n"/>
      <c r="AB68" s="47">
        <f>CALCULO!CT68</f>
      </c>
      <c r="AC68" s="48">
        <f>CALCULO!CD68</f>
      </c>
    </row>
    <row r="69">
      <c r="A69" s="40">
        <f>IF(B69="","",ROW()-5)</f>
      </c>
      <c r="B69" s="41" t="n"/>
      <c r="C69" s="42" t="n"/>
      <c r="D69" s="43" t="n"/>
      <c r="E69" s="43" t="n"/>
      <c r="F69" s="44" t="n"/>
      <c r="G69" s="44" t="n"/>
      <c r="H69" s="44" t="n"/>
      <c r="I69" s="44" t="n"/>
      <c r="J69" s="45" t="n"/>
      <c r="K69" s="45" t="n"/>
      <c r="L69" s="46" t="n"/>
      <c r="M69" s="45" t="n"/>
      <c r="N69" s="46" t="n"/>
      <c r="O69" s="45" t="n"/>
      <c r="P69" s="45" t="n"/>
      <c r="Q69" s="45" t="n"/>
      <c r="R69" s="45" t="n"/>
      <c r="S69" s="45" t="n"/>
      <c r="T69" s="45" t="n"/>
      <c r="U69" s="45" t="n"/>
      <c r="V69" s="46" t="n"/>
      <c r="W69" s="41" t="n"/>
      <c r="X69" s="46" t="n"/>
      <c r="Y69" s="42" t="n"/>
      <c r="Z69" s="43" t="n"/>
      <c r="AA69" s="41" t="n"/>
      <c r="AB69" s="47">
        <f>CALCULO!CT69</f>
      </c>
      <c r="AC69" s="48">
        <f>CALCULO!CD69</f>
      </c>
    </row>
    <row r="70">
      <c r="A70" s="40">
        <f>IF(B70="","",ROW()-5)</f>
      </c>
      <c r="B70" s="41" t="n"/>
      <c r="C70" s="42" t="n"/>
      <c r="D70" s="43" t="n"/>
      <c r="E70" s="43" t="n"/>
      <c r="F70" s="44" t="n"/>
      <c r="G70" s="44" t="n"/>
      <c r="H70" s="44" t="n"/>
      <c r="I70" s="44" t="n"/>
      <c r="J70" s="45" t="n"/>
      <c r="K70" s="45" t="n"/>
      <c r="L70" s="46" t="n"/>
      <c r="M70" s="45" t="n"/>
      <c r="N70" s="46" t="n"/>
      <c r="O70" s="45" t="n"/>
      <c r="P70" s="45" t="n"/>
      <c r="Q70" s="45" t="n"/>
      <c r="R70" s="45" t="n"/>
      <c r="S70" s="45" t="n"/>
      <c r="T70" s="45" t="n"/>
      <c r="U70" s="45" t="n"/>
      <c r="V70" s="46" t="n"/>
      <c r="W70" s="41" t="n"/>
      <c r="X70" s="46" t="n"/>
      <c r="Y70" s="42" t="n"/>
      <c r="Z70" s="43" t="n"/>
      <c r="AA70" s="41" t="n"/>
      <c r="AB70" s="47">
        <f>CALCULO!CT70</f>
      </c>
      <c r="AC70" s="48">
        <f>CALCULO!CD70</f>
      </c>
    </row>
    <row r="71">
      <c r="A71" s="40">
        <f>IF(B71="","",ROW()-5)</f>
      </c>
      <c r="B71" s="41" t="n"/>
      <c r="C71" s="42" t="n"/>
      <c r="D71" s="43" t="n"/>
      <c r="E71" s="43" t="n"/>
      <c r="F71" s="44" t="n"/>
      <c r="G71" s="44" t="n"/>
      <c r="H71" s="44" t="n"/>
      <c r="I71" s="44" t="n"/>
      <c r="J71" s="45" t="n"/>
      <c r="K71" s="45" t="n"/>
      <c r="L71" s="46" t="n"/>
      <c r="M71" s="45" t="n"/>
      <c r="N71" s="46" t="n"/>
      <c r="O71" s="45" t="n"/>
      <c r="P71" s="45" t="n"/>
      <c r="Q71" s="45" t="n"/>
      <c r="R71" s="45" t="n"/>
      <c r="S71" s="45" t="n"/>
      <c r="T71" s="45" t="n"/>
      <c r="U71" s="45" t="n"/>
      <c r="V71" s="46" t="n"/>
      <c r="W71" s="41" t="n"/>
      <c r="X71" s="46" t="n"/>
      <c r="Y71" s="42" t="n"/>
      <c r="Z71" s="43" t="n"/>
      <c r="AA71" s="41" t="n"/>
      <c r="AB71" s="47">
        <f>CALCULO!CT71</f>
      </c>
      <c r="AC71" s="48">
        <f>CALCULO!CD71</f>
      </c>
    </row>
    <row r="72">
      <c r="A72" s="40">
        <f>IF(B72="","",ROW()-5)</f>
      </c>
      <c r="B72" s="41" t="n"/>
      <c r="C72" s="42" t="n"/>
      <c r="D72" s="43" t="n"/>
      <c r="E72" s="43" t="n"/>
      <c r="F72" s="44" t="n"/>
      <c r="G72" s="44" t="n"/>
      <c r="H72" s="44" t="n"/>
      <c r="I72" s="44" t="n"/>
      <c r="J72" s="45" t="n"/>
      <c r="K72" s="45" t="n"/>
      <c r="L72" s="46" t="n"/>
      <c r="M72" s="45" t="n"/>
      <c r="N72" s="46" t="n"/>
      <c r="O72" s="45" t="n"/>
      <c r="P72" s="45" t="n"/>
      <c r="Q72" s="45" t="n"/>
      <c r="R72" s="45" t="n"/>
      <c r="S72" s="45" t="n"/>
      <c r="T72" s="45" t="n"/>
      <c r="U72" s="45" t="n"/>
      <c r="V72" s="46" t="n"/>
      <c r="W72" s="41" t="n"/>
      <c r="X72" s="46" t="n"/>
      <c r="Y72" s="42" t="n"/>
      <c r="Z72" s="43" t="n"/>
      <c r="AA72" s="41" t="n"/>
      <c r="AB72" s="47">
        <f>CALCULO!CT72</f>
      </c>
      <c r="AC72" s="48">
        <f>CALCULO!CD72</f>
      </c>
    </row>
    <row r="73">
      <c r="A73" s="40">
        <f>IF(B73="","",ROW()-5)</f>
      </c>
      <c r="B73" s="41" t="n"/>
      <c r="C73" s="42" t="n"/>
      <c r="D73" s="43" t="n"/>
      <c r="E73" s="43" t="n"/>
      <c r="F73" s="44" t="n"/>
      <c r="G73" s="44" t="n"/>
      <c r="H73" s="44" t="n"/>
      <c r="I73" s="44" t="n"/>
      <c r="J73" s="45" t="n"/>
      <c r="K73" s="45" t="n"/>
      <c r="L73" s="46" t="n"/>
      <c r="M73" s="45" t="n"/>
      <c r="N73" s="46" t="n"/>
      <c r="O73" s="45" t="n"/>
      <c r="P73" s="45" t="n"/>
      <c r="Q73" s="45" t="n"/>
      <c r="R73" s="45" t="n"/>
      <c r="S73" s="45" t="n"/>
      <c r="T73" s="45" t="n"/>
      <c r="U73" s="45" t="n"/>
      <c r="V73" s="46" t="n"/>
      <c r="W73" s="41" t="n"/>
      <c r="X73" s="46" t="n"/>
      <c r="Y73" s="42" t="n"/>
      <c r="Z73" s="43" t="n"/>
      <c r="AA73" s="41" t="n"/>
      <c r="AB73" s="47">
        <f>CALCULO!CT73</f>
      </c>
      <c r="AC73" s="48">
        <f>CALCULO!CD73</f>
      </c>
    </row>
    <row r="74">
      <c r="A74" s="40">
        <f>IF(B74="","",ROW()-5)</f>
      </c>
      <c r="B74" s="41" t="n"/>
      <c r="C74" s="42" t="n"/>
      <c r="D74" s="43" t="n"/>
      <c r="E74" s="43" t="n"/>
      <c r="F74" s="44" t="n"/>
      <c r="G74" s="44" t="n"/>
      <c r="H74" s="44" t="n"/>
      <c r="I74" s="44" t="n"/>
      <c r="J74" s="45" t="n"/>
      <c r="K74" s="45" t="n"/>
      <c r="L74" s="46" t="n"/>
      <c r="M74" s="45" t="n"/>
      <c r="N74" s="46" t="n"/>
      <c r="O74" s="45" t="n"/>
      <c r="P74" s="45" t="n"/>
      <c r="Q74" s="45" t="n"/>
      <c r="R74" s="45" t="n"/>
      <c r="S74" s="45" t="n"/>
      <c r="T74" s="45" t="n"/>
      <c r="U74" s="45" t="n"/>
      <c r="V74" s="46" t="n"/>
      <c r="W74" s="41" t="n"/>
      <c r="X74" s="46" t="n"/>
      <c r="Y74" s="42" t="n"/>
      <c r="Z74" s="43" t="n"/>
      <c r="AA74" s="41" t="n"/>
      <c r="AB74" s="47">
        <f>CALCULO!CT74</f>
      </c>
      <c r="AC74" s="48">
        <f>CALCULO!CD74</f>
      </c>
    </row>
    <row r="75">
      <c r="A75" s="40">
        <f>IF(B75="","",ROW()-5)</f>
      </c>
      <c r="B75" s="41" t="n"/>
      <c r="C75" s="42" t="n"/>
      <c r="D75" s="43" t="n"/>
      <c r="E75" s="43" t="n"/>
      <c r="F75" s="44" t="n"/>
      <c r="G75" s="44" t="n"/>
      <c r="H75" s="44" t="n"/>
      <c r="I75" s="44" t="n"/>
      <c r="J75" s="45" t="n"/>
      <c r="K75" s="45" t="n"/>
      <c r="L75" s="46" t="n"/>
      <c r="M75" s="45" t="n"/>
      <c r="N75" s="46" t="n"/>
      <c r="O75" s="45" t="n"/>
      <c r="P75" s="45" t="n"/>
      <c r="Q75" s="45" t="n"/>
      <c r="R75" s="45" t="n"/>
      <c r="S75" s="45" t="n"/>
      <c r="T75" s="45" t="n"/>
      <c r="U75" s="45" t="n"/>
      <c r="V75" s="46" t="n"/>
      <c r="W75" s="41" t="n"/>
      <c r="X75" s="46" t="n"/>
      <c r="Y75" s="42" t="n"/>
      <c r="Z75" s="43" t="n"/>
      <c r="AA75" s="41" t="n"/>
      <c r="AB75" s="47">
        <f>CALCULO!CT75</f>
      </c>
      <c r="AC75" s="48">
        <f>CALCULO!CD75</f>
      </c>
    </row>
    <row r="76">
      <c r="A76" s="40">
        <f>IF(B76="","",ROW()-5)</f>
      </c>
      <c r="B76" s="41" t="n"/>
      <c r="C76" s="42" t="n"/>
      <c r="D76" s="43" t="n"/>
      <c r="E76" s="43" t="n"/>
      <c r="F76" s="44" t="n"/>
      <c r="G76" s="44" t="n"/>
      <c r="H76" s="44" t="n"/>
      <c r="I76" s="44" t="n"/>
      <c r="J76" s="45" t="n"/>
      <c r="K76" s="45" t="n"/>
      <c r="L76" s="46" t="n"/>
      <c r="M76" s="45" t="n"/>
      <c r="N76" s="46" t="n"/>
      <c r="O76" s="45" t="n"/>
      <c r="P76" s="45" t="n"/>
      <c r="Q76" s="45" t="n"/>
      <c r="R76" s="45" t="n"/>
      <c r="S76" s="45" t="n"/>
      <c r="T76" s="45" t="n"/>
      <c r="U76" s="45" t="n"/>
      <c r="V76" s="46" t="n"/>
      <c r="W76" s="41" t="n"/>
      <c r="X76" s="46" t="n"/>
      <c r="Y76" s="42" t="n"/>
      <c r="Z76" s="43" t="n"/>
      <c r="AA76" s="41" t="n"/>
      <c r="AB76" s="47">
        <f>CALCULO!CT76</f>
      </c>
      <c r="AC76" s="48">
        <f>CALCULO!CD76</f>
      </c>
    </row>
    <row r="77">
      <c r="A77" s="40">
        <f>IF(B77="","",ROW()-5)</f>
      </c>
      <c r="B77" s="41" t="n"/>
      <c r="C77" s="42" t="n"/>
      <c r="D77" s="43" t="n"/>
      <c r="E77" s="43" t="n"/>
      <c r="F77" s="44" t="n"/>
      <c r="G77" s="44" t="n"/>
      <c r="H77" s="44" t="n"/>
      <c r="I77" s="44" t="n"/>
      <c r="J77" s="45" t="n"/>
      <c r="K77" s="45" t="n"/>
      <c r="L77" s="46" t="n"/>
      <c r="M77" s="45" t="n"/>
      <c r="N77" s="46" t="n"/>
      <c r="O77" s="45" t="n"/>
      <c r="P77" s="45" t="n"/>
      <c r="Q77" s="45" t="n"/>
      <c r="R77" s="45" t="n"/>
      <c r="S77" s="45" t="n"/>
      <c r="T77" s="45" t="n"/>
      <c r="U77" s="45" t="n"/>
      <c r="V77" s="46" t="n"/>
      <c r="W77" s="41" t="n"/>
      <c r="X77" s="46" t="n"/>
      <c r="Y77" s="42" t="n"/>
      <c r="Z77" s="43" t="n"/>
      <c r="AA77" s="41" t="n"/>
      <c r="AB77" s="47">
        <f>CALCULO!CT77</f>
      </c>
      <c r="AC77" s="48">
        <f>CALCULO!CD77</f>
      </c>
    </row>
    <row r="78">
      <c r="A78" s="40">
        <f>IF(B78="","",ROW()-5)</f>
      </c>
      <c r="B78" s="41" t="n"/>
      <c r="C78" s="42" t="n"/>
      <c r="D78" s="43" t="n"/>
      <c r="E78" s="43" t="n"/>
      <c r="F78" s="44" t="n"/>
      <c r="G78" s="44" t="n"/>
      <c r="H78" s="44" t="n"/>
      <c r="I78" s="44" t="n"/>
      <c r="J78" s="45" t="n"/>
      <c r="K78" s="45" t="n"/>
      <c r="L78" s="46" t="n"/>
      <c r="M78" s="45" t="n"/>
      <c r="N78" s="46" t="n"/>
      <c r="O78" s="45" t="n"/>
      <c r="P78" s="45" t="n"/>
      <c r="Q78" s="45" t="n"/>
      <c r="R78" s="45" t="n"/>
      <c r="S78" s="45" t="n"/>
      <c r="T78" s="45" t="n"/>
      <c r="U78" s="45" t="n"/>
      <c r="V78" s="46" t="n"/>
      <c r="W78" s="41" t="n"/>
      <c r="X78" s="46" t="n"/>
      <c r="Y78" s="42" t="n"/>
      <c r="Z78" s="43" t="n"/>
      <c r="AA78" s="41" t="n"/>
      <c r="AB78" s="47">
        <f>CALCULO!CT78</f>
      </c>
      <c r="AC78" s="48">
        <f>CALCULO!CD78</f>
      </c>
    </row>
    <row r="79">
      <c r="A79" s="40">
        <f>IF(B79="","",ROW()-5)</f>
      </c>
      <c r="B79" s="41" t="n"/>
      <c r="C79" s="42" t="n"/>
      <c r="D79" s="43" t="n"/>
      <c r="E79" s="43" t="n"/>
      <c r="F79" s="44" t="n"/>
      <c r="G79" s="44" t="n"/>
      <c r="H79" s="44" t="n"/>
      <c r="I79" s="44" t="n"/>
      <c r="J79" s="45" t="n"/>
      <c r="K79" s="45" t="n"/>
      <c r="L79" s="46" t="n"/>
      <c r="M79" s="45" t="n"/>
      <c r="N79" s="46" t="n"/>
      <c r="O79" s="45" t="n"/>
      <c r="P79" s="45" t="n"/>
      <c r="Q79" s="45" t="n"/>
      <c r="R79" s="45" t="n"/>
      <c r="S79" s="45" t="n"/>
      <c r="T79" s="45" t="n"/>
      <c r="U79" s="45" t="n"/>
      <c r="V79" s="46" t="n"/>
      <c r="W79" s="41" t="n"/>
      <c r="X79" s="46" t="n"/>
      <c r="Y79" s="42" t="n"/>
      <c r="Z79" s="43" t="n"/>
      <c r="AA79" s="41" t="n"/>
      <c r="AB79" s="47">
        <f>CALCULO!CT79</f>
      </c>
      <c r="AC79" s="48">
        <f>CALCULO!CD79</f>
      </c>
    </row>
    <row r="80">
      <c r="A80" s="40">
        <f>IF(B80="","",ROW()-5)</f>
      </c>
      <c r="B80" s="41" t="n"/>
      <c r="C80" s="42" t="n"/>
      <c r="D80" s="43" t="n"/>
      <c r="E80" s="43" t="n"/>
      <c r="F80" s="44" t="n"/>
      <c r="G80" s="44" t="n"/>
      <c r="H80" s="44" t="n"/>
      <c r="I80" s="44" t="n"/>
      <c r="J80" s="45" t="n"/>
      <c r="K80" s="45" t="n"/>
      <c r="L80" s="46" t="n"/>
      <c r="M80" s="45" t="n"/>
      <c r="N80" s="46" t="n"/>
      <c r="O80" s="45" t="n"/>
      <c r="P80" s="45" t="n"/>
      <c r="Q80" s="45" t="n"/>
      <c r="R80" s="45" t="n"/>
      <c r="S80" s="45" t="n"/>
      <c r="T80" s="45" t="n"/>
      <c r="U80" s="45" t="n"/>
      <c r="V80" s="46" t="n"/>
      <c r="W80" s="41" t="n"/>
      <c r="X80" s="46" t="n"/>
      <c r="Y80" s="42" t="n"/>
      <c r="Z80" s="43" t="n"/>
      <c r="AA80" s="41" t="n"/>
      <c r="AB80" s="47">
        <f>CALCULO!CT80</f>
      </c>
      <c r="AC80" s="48">
        <f>CALCULO!CD80</f>
      </c>
    </row>
    <row r="81">
      <c r="A81" s="40">
        <f>IF(B81="","",ROW()-5)</f>
      </c>
      <c r="B81" s="41" t="n"/>
      <c r="C81" s="42" t="n"/>
      <c r="D81" s="43" t="n"/>
      <c r="E81" s="43" t="n"/>
      <c r="F81" s="44" t="n"/>
      <c r="G81" s="44" t="n"/>
      <c r="H81" s="44" t="n"/>
      <c r="I81" s="44" t="n"/>
      <c r="J81" s="45" t="n"/>
      <c r="K81" s="45" t="n"/>
      <c r="L81" s="46" t="n"/>
      <c r="M81" s="45" t="n"/>
      <c r="N81" s="46" t="n"/>
      <c r="O81" s="45" t="n"/>
      <c r="P81" s="45" t="n"/>
      <c r="Q81" s="45" t="n"/>
      <c r="R81" s="45" t="n"/>
      <c r="S81" s="45" t="n"/>
      <c r="T81" s="45" t="n"/>
      <c r="U81" s="45" t="n"/>
      <c r="V81" s="46" t="n"/>
      <c r="W81" s="41" t="n"/>
      <c r="X81" s="46" t="n"/>
      <c r="Y81" s="42" t="n"/>
      <c r="Z81" s="43" t="n"/>
      <c r="AA81" s="41" t="n"/>
      <c r="AB81" s="47">
        <f>CALCULO!CT81</f>
      </c>
      <c r="AC81" s="48">
        <f>CALCULO!CD81</f>
      </c>
    </row>
    <row r="82">
      <c r="A82" s="40">
        <f>IF(B82="","",ROW()-5)</f>
      </c>
      <c r="B82" s="41" t="n"/>
      <c r="C82" s="42" t="n"/>
      <c r="D82" s="43" t="n"/>
      <c r="E82" s="43" t="n"/>
      <c r="F82" s="44" t="n"/>
      <c r="G82" s="44" t="n"/>
      <c r="H82" s="44" t="n"/>
      <c r="I82" s="44" t="n"/>
      <c r="J82" s="45" t="n"/>
      <c r="K82" s="45" t="n"/>
      <c r="L82" s="46" t="n"/>
      <c r="M82" s="45" t="n"/>
      <c r="N82" s="46" t="n"/>
      <c r="O82" s="45" t="n"/>
      <c r="P82" s="45" t="n"/>
      <c r="Q82" s="45" t="n"/>
      <c r="R82" s="45" t="n"/>
      <c r="S82" s="45" t="n"/>
      <c r="T82" s="45" t="n"/>
      <c r="U82" s="45" t="n"/>
      <c r="V82" s="46" t="n"/>
      <c r="W82" s="41" t="n"/>
      <c r="X82" s="46" t="n"/>
      <c r="Y82" s="42" t="n"/>
      <c r="Z82" s="43" t="n"/>
      <c r="AA82" s="41" t="n"/>
      <c r="AB82" s="47">
        <f>CALCULO!CT82</f>
      </c>
      <c r="AC82" s="48">
        <f>CALCULO!CD82</f>
      </c>
    </row>
    <row r="83">
      <c r="A83" s="40">
        <f>IF(B83="","",ROW()-5)</f>
      </c>
      <c r="B83" s="41" t="n"/>
      <c r="C83" s="42" t="n"/>
      <c r="D83" s="43" t="n"/>
      <c r="E83" s="43" t="n"/>
      <c r="F83" s="44" t="n"/>
      <c r="G83" s="44" t="n"/>
      <c r="H83" s="44" t="n"/>
      <c r="I83" s="44" t="n"/>
      <c r="J83" s="45" t="n"/>
      <c r="K83" s="45" t="n"/>
      <c r="L83" s="46" t="n"/>
      <c r="M83" s="45" t="n"/>
      <c r="N83" s="46" t="n"/>
      <c r="O83" s="45" t="n"/>
      <c r="P83" s="45" t="n"/>
      <c r="Q83" s="45" t="n"/>
      <c r="R83" s="45" t="n"/>
      <c r="S83" s="45" t="n"/>
      <c r="T83" s="45" t="n"/>
      <c r="U83" s="45" t="n"/>
      <c r="V83" s="46" t="n"/>
      <c r="W83" s="41" t="n"/>
      <c r="X83" s="46" t="n"/>
      <c r="Y83" s="42" t="n"/>
      <c r="Z83" s="43" t="n"/>
      <c r="AA83" s="41" t="n"/>
      <c r="AB83" s="47">
        <f>CALCULO!CT83</f>
      </c>
      <c r="AC83" s="48">
        <f>CALCULO!CD83</f>
      </c>
    </row>
    <row r="84">
      <c r="A84" s="40">
        <f>IF(B84="","",ROW()-5)</f>
      </c>
      <c r="B84" s="41" t="n"/>
      <c r="C84" s="42" t="n"/>
      <c r="D84" s="43" t="n"/>
      <c r="E84" s="43" t="n"/>
      <c r="F84" s="44" t="n"/>
      <c r="G84" s="44" t="n"/>
      <c r="H84" s="44" t="n"/>
      <c r="I84" s="44" t="n"/>
      <c r="J84" s="45" t="n"/>
      <c r="K84" s="45" t="n"/>
      <c r="L84" s="46" t="n"/>
      <c r="M84" s="45" t="n"/>
      <c r="N84" s="46" t="n"/>
      <c r="O84" s="45" t="n"/>
      <c r="P84" s="45" t="n"/>
      <c r="Q84" s="45" t="n"/>
      <c r="R84" s="45" t="n"/>
      <c r="S84" s="45" t="n"/>
      <c r="T84" s="45" t="n"/>
      <c r="U84" s="45" t="n"/>
      <c r="V84" s="46" t="n"/>
      <c r="W84" s="41" t="n"/>
      <c r="X84" s="46" t="n"/>
      <c r="Y84" s="42" t="n"/>
      <c r="Z84" s="43" t="n"/>
      <c r="AA84" s="41" t="n"/>
      <c r="AB84" s="47">
        <f>CALCULO!CT84</f>
      </c>
      <c r="AC84" s="48">
        <f>CALCULO!CD84</f>
      </c>
    </row>
    <row r="85">
      <c r="A85" s="40">
        <f>IF(B85="","",ROW()-5)</f>
      </c>
      <c r="B85" s="41" t="n"/>
      <c r="C85" s="42" t="n"/>
      <c r="D85" s="43" t="n"/>
      <c r="E85" s="43" t="n"/>
      <c r="F85" s="44" t="n"/>
      <c r="G85" s="44" t="n"/>
      <c r="H85" s="44" t="n"/>
      <c r="I85" s="44" t="n"/>
      <c r="J85" s="45" t="n"/>
      <c r="K85" s="45" t="n"/>
      <c r="L85" s="46" t="n"/>
      <c r="M85" s="45" t="n"/>
      <c r="N85" s="46" t="n"/>
      <c r="O85" s="45" t="n"/>
      <c r="P85" s="45" t="n"/>
      <c r="Q85" s="45" t="n"/>
      <c r="R85" s="45" t="n"/>
      <c r="S85" s="45" t="n"/>
      <c r="T85" s="45" t="n"/>
      <c r="U85" s="45" t="n"/>
      <c r="V85" s="46" t="n"/>
      <c r="W85" s="41" t="n"/>
      <c r="X85" s="46" t="n"/>
      <c r="Y85" s="42" t="n"/>
      <c r="Z85" s="43" t="n"/>
      <c r="AA85" s="41" t="n"/>
      <c r="AB85" s="47">
        <f>CALCULO!CT85</f>
      </c>
      <c r="AC85" s="48">
        <f>CALCULO!CD85</f>
      </c>
    </row>
    <row r="86">
      <c r="A86" s="40">
        <f>IF(B86="","",ROW()-5)</f>
      </c>
      <c r="B86" s="41" t="n"/>
      <c r="C86" s="42" t="n"/>
      <c r="D86" s="43" t="n"/>
      <c r="E86" s="43" t="n"/>
      <c r="F86" s="44" t="n"/>
      <c r="G86" s="44" t="n"/>
      <c r="H86" s="44" t="n"/>
      <c r="I86" s="44" t="n"/>
      <c r="J86" s="45" t="n"/>
      <c r="K86" s="45" t="n"/>
      <c r="L86" s="46" t="n"/>
      <c r="M86" s="45" t="n"/>
      <c r="N86" s="46" t="n"/>
      <c r="O86" s="45" t="n"/>
      <c r="P86" s="45" t="n"/>
      <c r="Q86" s="45" t="n"/>
      <c r="R86" s="45" t="n"/>
      <c r="S86" s="45" t="n"/>
      <c r="T86" s="45" t="n"/>
      <c r="U86" s="45" t="n"/>
      <c r="V86" s="46" t="n"/>
      <c r="W86" s="41" t="n"/>
      <c r="X86" s="46" t="n"/>
      <c r="Y86" s="42" t="n"/>
      <c r="Z86" s="43" t="n"/>
      <c r="AA86" s="41" t="n"/>
      <c r="AB86" s="47">
        <f>CALCULO!CT86</f>
      </c>
      <c r="AC86" s="48">
        <f>CALCULO!CD86</f>
      </c>
    </row>
    <row r="87">
      <c r="A87" s="40">
        <f>IF(B87="","",ROW()-5)</f>
      </c>
      <c r="B87" s="41" t="n"/>
      <c r="C87" s="42" t="n"/>
      <c r="D87" s="43" t="n"/>
      <c r="E87" s="43" t="n"/>
      <c r="F87" s="44" t="n"/>
      <c r="G87" s="44" t="n"/>
      <c r="H87" s="44" t="n"/>
      <c r="I87" s="44" t="n"/>
      <c r="J87" s="45" t="n"/>
      <c r="K87" s="45" t="n"/>
      <c r="L87" s="46" t="n"/>
      <c r="M87" s="45" t="n"/>
      <c r="N87" s="46" t="n"/>
      <c r="O87" s="45" t="n"/>
      <c r="P87" s="45" t="n"/>
      <c r="Q87" s="45" t="n"/>
      <c r="R87" s="45" t="n"/>
      <c r="S87" s="45" t="n"/>
      <c r="T87" s="45" t="n"/>
      <c r="U87" s="45" t="n"/>
      <c r="V87" s="46" t="n"/>
      <c r="W87" s="41" t="n"/>
      <c r="X87" s="46" t="n"/>
      <c r="Y87" s="42" t="n"/>
      <c r="Z87" s="43" t="n"/>
      <c r="AA87" s="41" t="n"/>
      <c r="AB87" s="47">
        <f>CALCULO!CT87</f>
      </c>
      <c r="AC87" s="48">
        <f>CALCULO!CD87</f>
      </c>
    </row>
    <row r="88">
      <c r="A88" s="40">
        <f>IF(B88="","",ROW()-5)</f>
      </c>
      <c r="B88" s="41" t="n"/>
      <c r="C88" s="42" t="n"/>
      <c r="D88" s="43" t="n"/>
      <c r="E88" s="43" t="n"/>
      <c r="F88" s="44" t="n"/>
      <c r="G88" s="44" t="n"/>
      <c r="H88" s="44" t="n"/>
      <c r="I88" s="44" t="n"/>
      <c r="J88" s="45" t="n"/>
      <c r="K88" s="45" t="n"/>
      <c r="L88" s="46" t="n"/>
      <c r="M88" s="45" t="n"/>
      <c r="N88" s="46" t="n"/>
      <c r="O88" s="45" t="n"/>
      <c r="P88" s="45" t="n"/>
      <c r="Q88" s="45" t="n"/>
      <c r="R88" s="45" t="n"/>
      <c r="S88" s="45" t="n"/>
      <c r="T88" s="45" t="n"/>
      <c r="U88" s="45" t="n"/>
      <c r="V88" s="46" t="n"/>
      <c r="W88" s="41" t="n"/>
      <c r="X88" s="46" t="n"/>
      <c r="Y88" s="42" t="n"/>
      <c r="Z88" s="43" t="n"/>
      <c r="AA88" s="41" t="n"/>
      <c r="AB88" s="47">
        <f>CALCULO!CT88</f>
      </c>
      <c r="AC88" s="48">
        <f>CALCULO!CD88</f>
      </c>
    </row>
    <row r="89">
      <c r="A89" s="40">
        <f>IF(B89="","",ROW()-5)</f>
      </c>
      <c r="B89" s="41" t="n"/>
      <c r="C89" s="42" t="n"/>
      <c r="D89" s="43" t="n"/>
      <c r="E89" s="43" t="n"/>
      <c r="F89" s="44" t="n"/>
      <c r="G89" s="44" t="n"/>
      <c r="H89" s="44" t="n"/>
      <c r="I89" s="44" t="n"/>
      <c r="J89" s="45" t="n"/>
      <c r="K89" s="45" t="n"/>
      <c r="L89" s="46" t="n"/>
      <c r="M89" s="45" t="n"/>
      <c r="N89" s="46" t="n"/>
      <c r="O89" s="45" t="n"/>
      <c r="P89" s="45" t="n"/>
      <c r="Q89" s="45" t="n"/>
      <c r="R89" s="45" t="n"/>
      <c r="S89" s="45" t="n"/>
      <c r="T89" s="45" t="n"/>
      <c r="U89" s="45" t="n"/>
      <c r="V89" s="46" t="n"/>
      <c r="W89" s="41" t="n"/>
      <c r="X89" s="46" t="n"/>
      <c r="Y89" s="42" t="n"/>
      <c r="Z89" s="43" t="n"/>
      <c r="AA89" s="41" t="n"/>
      <c r="AB89" s="47">
        <f>CALCULO!CT89</f>
      </c>
      <c r="AC89" s="48">
        <f>CALCULO!CD89</f>
      </c>
    </row>
    <row r="90">
      <c r="A90" s="40">
        <f>IF(B90="","",ROW()-5)</f>
      </c>
      <c r="B90" s="41" t="n"/>
      <c r="C90" s="42" t="n"/>
      <c r="D90" s="43" t="n"/>
      <c r="E90" s="43" t="n"/>
      <c r="F90" s="44" t="n"/>
      <c r="G90" s="44" t="n"/>
      <c r="H90" s="44" t="n"/>
      <c r="I90" s="44" t="n"/>
      <c r="J90" s="45" t="n"/>
      <c r="K90" s="45" t="n"/>
      <c r="L90" s="46" t="n"/>
      <c r="M90" s="45" t="n"/>
      <c r="N90" s="46" t="n"/>
      <c r="O90" s="45" t="n"/>
      <c r="P90" s="45" t="n"/>
      <c r="Q90" s="45" t="n"/>
      <c r="R90" s="45" t="n"/>
      <c r="S90" s="45" t="n"/>
      <c r="T90" s="45" t="n"/>
      <c r="U90" s="45" t="n"/>
      <c r="V90" s="46" t="n"/>
      <c r="W90" s="41" t="n"/>
      <c r="X90" s="46" t="n"/>
      <c r="Y90" s="42" t="n"/>
      <c r="Z90" s="43" t="n"/>
      <c r="AA90" s="41" t="n"/>
      <c r="AB90" s="47">
        <f>CALCULO!CT90</f>
      </c>
      <c r="AC90" s="48">
        <f>CALCULO!CD90</f>
      </c>
    </row>
    <row r="91">
      <c r="A91" s="40">
        <f>IF(B91="","",ROW()-5)</f>
      </c>
      <c r="B91" s="41" t="n"/>
      <c r="C91" s="42" t="n"/>
      <c r="D91" s="43" t="n"/>
      <c r="E91" s="43" t="n"/>
      <c r="F91" s="44" t="n"/>
      <c r="G91" s="44" t="n"/>
      <c r="H91" s="44" t="n"/>
      <c r="I91" s="44" t="n"/>
      <c r="J91" s="45" t="n"/>
      <c r="K91" s="45" t="n"/>
      <c r="L91" s="46" t="n"/>
      <c r="M91" s="45" t="n"/>
      <c r="N91" s="46" t="n"/>
      <c r="O91" s="45" t="n"/>
      <c r="P91" s="45" t="n"/>
      <c r="Q91" s="45" t="n"/>
      <c r="R91" s="45" t="n"/>
      <c r="S91" s="45" t="n"/>
      <c r="T91" s="45" t="n"/>
      <c r="U91" s="45" t="n"/>
      <c r="V91" s="46" t="n"/>
      <c r="W91" s="41" t="n"/>
      <c r="X91" s="46" t="n"/>
      <c r="Y91" s="42" t="n"/>
      <c r="Z91" s="43" t="n"/>
      <c r="AA91" s="41" t="n"/>
      <c r="AB91" s="47">
        <f>CALCULO!CT91</f>
      </c>
      <c r="AC91" s="48">
        <f>CALCULO!CD91</f>
      </c>
    </row>
    <row r="92">
      <c r="A92" s="40">
        <f>IF(B92="","",ROW()-5)</f>
      </c>
      <c r="B92" s="41" t="n"/>
      <c r="C92" s="42" t="n"/>
      <c r="D92" s="43" t="n"/>
      <c r="E92" s="43" t="n"/>
      <c r="F92" s="44" t="n"/>
      <c r="G92" s="44" t="n"/>
      <c r="H92" s="44" t="n"/>
      <c r="I92" s="44" t="n"/>
      <c r="J92" s="45" t="n"/>
      <c r="K92" s="45" t="n"/>
      <c r="L92" s="46" t="n"/>
      <c r="M92" s="45" t="n"/>
      <c r="N92" s="46" t="n"/>
      <c r="O92" s="45" t="n"/>
      <c r="P92" s="45" t="n"/>
      <c r="Q92" s="45" t="n"/>
      <c r="R92" s="45" t="n"/>
      <c r="S92" s="45" t="n"/>
      <c r="T92" s="45" t="n"/>
      <c r="U92" s="45" t="n"/>
      <c r="V92" s="46" t="n"/>
      <c r="W92" s="41" t="n"/>
      <c r="X92" s="46" t="n"/>
      <c r="Y92" s="42" t="n"/>
      <c r="Z92" s="43" t="n"/>
      <c r="AA92" s="41" t="n"/>
      <c r="AB92" s="47">
        <f>CALCULO!CT92</f>
      </c>
      <c r="AC92" s="48">
        <f>CALCULO!CD92</f>
      </c>
    </row>
    <row r="93">
      <c r="A93" s="40">
        <f>IF(B93="","",ROW()-5)</f>
      </c>
      <c r="B93" s="41" t="n"/>
      <c r="C93" s="42" t="n"/>
      <c r="D93" s="43" t="n"/>
      <c r="E93" s="43" t="n"/>
      <c r="F93" s="44" t="n"/>
      <c r="G93" s="44" t="n"/>
      <c r="H93" s="44" t="n"/>
      <c r="I93" s="44" t="n"/>
      <c r="J93" s="45" t="n"/>
      <c r="K93" s="45" t="n"/>
      <c r="L93" s="46" t="n"/>
      <c r="M93" s="45" t="n"/>
      <c r="N93" s="46" t="n"/>
      <c r="O93" s="45" t="n"/>
      <c r="P93" s="45" t="n"/>
      <c r="Q93" s="45" t="n"/>
      <c r="R93" s="45" t="n"/>
      <c r="S93" s="45" t="n"/>
      <c r="T93" s="45" t="n"/>
      <c r="U93" s="45" t="n"/>
      <c r="V93" s="46" t="n"/>
      <c r="W93" s="41" t="n"/>
      <c r="X93" s="46" t="n"/>
      <c r="Y93" s="42" t="n"/>
      <c r="Z93" s="43" t="n"/>
      <c r="AA93" s="41" t="n"/>
      <c r="AB93" s="47">
        <f>CALCULO!CT93</f>
      </c>
      <c r="AC93" s="48">
        <f>CALCULO!CD93</f>
      </c>
    </row>
    <row r="94">
      <c r="A94" s="40">
        <f>IF(B94="","",ROW()-5)</f>
      </c>
      <c r="B94" s="41" t="n"/>
      <c r="C94" s="42" t="n"/>
      <c r="D94" s="43" t="n"/>
      <c r="E94" s="43" t="n"/>
      <c r="F94" s="44" t="n"/>
      <c r="G94" s="44" t="n"/>
      <c r="H94" s="44" t="n"/>
      <c r="I94" s="44" t="n"/>
      <c r="J94" s="45" t="n"/>
      <c r="K94" s="45" t="n"/>
      <c r="L94" s="46" t="n"/>
      <c r="M94" s="45" t="n"/>
      <c r="N94" s="46" t="n"/>
      <c r="O94" s="45" t="n"/>
      <c r="P94" s="45" t="n"/>
      <c r="Q94" s="45" t="n"/>
      <c r="R94" s="45" t="n"/>
      <c r="S94" s="45" t="n"/>
      <c r="T94" s="45" t="n"/>
      <c r="U94" s="45" t="n"/>
      <c r="V94" s="46" t="n"/>
      <c r="W94" s="41" t="n"/>
      <c r="X94" s="46" t="n"/>
      <c r="Y94" s="42" t="n"/>
      <c r="Z94" s="43" t="n"/>
      <c r="AA94" s="41" t="n"/>
      <c r="AB94" s="47">
        <f>CALCULO!CT94</f>
      </c>
      <c r="AC94" s="48">
        <f>CALCULO!CD94</f>
      </c>
    </row>
    <row r="95">
      <c r="A95" s="40">
        <f>IF(B95="","",ROW()-5)</f>
      </c>
      <c r="B95" s="41" t="n"/>
      <c r="C95" s="42" t="n"/>
      <c r="D95" s="43" t="n"/>
      <c r="E95" s="43" t="n"/>
      <c r="F95" s="44" t="n"/>
      <c r="G95" s="44" t="n"/>
      <c r="H95" s="44" t="n"/>
      <c r="I95" s="44" t="n"/>
      <c r="J95" s="45" t="n"/>
      <c r="K95" s="45" t="n"/>
      <c r="L95" s="46" t="n"/>
      <c r="M95" s="45" t="n"/>
      <c r="N95" s="46" t="n"/>
      <c r="O95" s="45" t="n"/>
      <c r="P95" s="45" t="n"/>
      <c r="Q95" s="45" t="n"/>
      <c r="R95" s="45" t="n"/>
      <c r="S95" s="45" t="n"/>
      <c r="T95" s="45" t="n"/>
      <c r="U95" s="45" t="n"/>
      <c r="V95" s="46" t="n"/>
      <c r="W95" s="41" t="n"/>
      <c r="X95" s="46" t="n"/>
      <c r="Y95" s="42" t="n"/>
      <c r="Z95" s="43" t="n"/>
      <c r="AA95" s="41" t="n"/>
      <c r="AB95" s="47">
        <f>CALCULO!CT95</f>
      </c>
      <c r="AC95" s="48">
        <f>CALCULO!CD95</f>
      </c>
    </row>
    <row r="96">
      <c r="A96" s="40">
        <f>IF(B96="","",ROW()-5)</f>
      </c>
      <c r="B96" s="41" t="n"/>
      <c r="C96" s="42" t="n"/>
      <c r="D96" s="43" t="n"/>
      <c r="E96" s="43" t="n"/>
      <c r="F96" s="44" t="n"/>
      <c r="G96" s="44" t="n"/>
      <c r="H96" s="44" t="n"/>
      <c r="I96" s="44" t="n"/>
      <c r="J96" s="45" t="n"/>
      <c r="K96" s="45" t="n"/>
      <c r="L96" s="46" t="n"/>
      <c r="M96" s="45" t="n"/>
      <c r="N96" s="46" t="n"/>
      <c r="O96" s="45" t="n"/>
      <c r="P96" s="45" t="n"/>
      <c r="Q96" s="45" t="n"/>
      <c r="R96" s="45" t="n"/>
      <c r="S96" s="45" t="n"/>
      <c r="T96" s="45" t="n"/>
      <c r="U96" s="45" t="n"/>
      <c r="V96" s="46" t="n"/>
      <c r="W96" s="41" t="n"/>
      <c r="X96" s="46" t="n"/>
      <c r="Y96" s="42" t="n"/>
      <c r="Z96" s="43" t="n"/>
      <c r="AA96" s="41" t="n"/>
      <c r="AB96" s="47">
        <f>CALCULO!CT96</f>
      </c>
      <c r="AC96" s="48">
        <f>CALCULO!CD96</f>
      </c>
    </row>
    <row r="97">
      <c r="A97" s="40">
        <f>IF(B97="","",ROW()-5)</f>
      </c>
      <c r="B97" s="41" t="n"/>
      <c r="C97" s="42" t="n"/>
      <c r="D97" s="43" t="n"/>
      <c r="E97" s="43" t="n"/>
      <c r="F97" s="44" t="n"/>
      <c r="G97" s="44" t="n"/>
      <c r="H97" s="44" t="n"/>
      <c r="I97" s="44" t="n"/>
      <c r="J97" s="45" t="n"/>
      <c r="K97" s="45" t="n"/>
      <c r="L97" s="46" t="n"/>
      <c r="M97" s="45" t="n"/>
      <c r="N97" s="46" t="n"/>
      <c r="O97" s="45" t="n"/>
      <c r="P97" s="45" t="n"/>
      <c r="Q97" s="45" t="n"/>
      <c r="R97" s="45" t="n"/>
      <c r="S97" s="45" t="n"/>
      <c r="T97" s="45" t="n"/>
      <c r="U97" s="45" t="n"/>
      <c r="V97" s="46" t="n"/>
      <c r="W97" s="41" t="n"/>
      <c r="X97" s="46" t="n"/>
      <c r="Y97" s="42" t="n"/>
      <c r="Z97" s="43" t="n"/>
      <c r="AA97" s="41" t="n"/>
      <c r="AB97" s="47">
        <f>CALCULO!CT97</f>
      </c>
      <c r="AC97" s="48">
        <f>CALCULO!CD97</f>
      </c>
    </row>
    <row r="98">
      <c r="A98" s="40">
        <f>IF(B98="","",ROW()-5)</f>
      </c>
      <c r="B98" s="41" t="n"/>
      <c r="C98" s="42" t="n"/>
      <c r="D98" s="43" t="n"/>
      <c r="E98" s="43" t="n"/>
      <c r="F98" s="44" t="n"/>
      <c r="G98" s="44" t="n"/>
      <c r="H98" s="44" t="n"/>
      <c r="I98" s="44" t="n"/>
      <c r="J98" s="45" t="n"/>
      <c r="K98" s="45" t="n"/>
      <c r="L98" s="46" t="n"/>
      <c r="M98" s="45" t="n"/>
      <c r="N98" s="46" t="n"/>
      <c r="O98" s="45" t="n"/>
      <c r="P98" s="45" t="n"/>
      <c r="Q98" s="45" t="n"/>
      <c r="R98" s="45" t="n"/>
      <c r="S98" s="45" t="n"/>
      <c r="T98" s="45" t="n"/>
      <c r="U98" s="45" t="n"/>
      <c r="V98" s="46" t="n"/>
      <c r="W98" s="41" t="n"/>
      <c r="X98" s="46" t="n"/>
      <c r="Y98" s="42" t="n"/>
      <c r="Z98" s="43" t="n"/>
      <c r="AA98" s="41" t="n"/>
      <c r="AB98" s="47">
        <f>CALCULO!CT98</f>
      </c>
      <c r="AC98" s="48">
        <f>CALCULO!CD98</f>
      </c>
    </row>
    <row r="99">
      <c r="A99" s="40">
        <f>IF(B99="","",ROW()-5)</f>
      </c>
      <c r="B99" s="41" t="n"/>
      <c r="C99" s="42" t="n"/>
      <c r="D99" s="43" t="n"/>
      <c r="E99" s="43" t="n"/>
      <c r="F99" s="44" t="n"/>
      <c r="G99" s="44" t="n"/>
      <c r="H99" s="44" t="n"/>
      <c r="I99" s="44" t="n"/>
      <c r="J99" s="45" t="n"/>
      <c r="K99" s="45" t="n"/>
      <c r="L99" s="46" t="n"/>
      <c r="M99" s="45" t="n"/>
      <c r="N99" s="46" t="n"/>
      <c r="O99" s="45" t="n"/>
      <c r="P99" s="45" t="n"/>
      <c r="Q99" s="45" t="n"/>
      <c r="R99" s="45" t="n"/>
      <c r="S99" s="45" t="n"/>
      <c r="T99" s="45" t="n"/>
      <c r="U99" s="45" t="n"/>
      <c r="V99" s="46" t="n"/>
      <c r="W99" s="41" t="n"/>
      <c r="X99" s="46" t="n"/>
      <c r="Y99" s="42" t="n"/>
      <c r="Z99" s="43" t="n"/>
      <c r="AA99" s="41" t="n"/>
      <c r="AB99" s="47">
        <f>CALCULO!CT99</f>
      </c>
      <c r="AC99" s="48">
        <f>CALCULO!CD99</f>
      </c>
    </row>
    <row r="100">
      <c r="A100" s="40">
        <f>IF(B100="","",ROW()-5)</f>
      </c>
      <c r="B100" s="41" t="n"/>
      <c r="C100" s="42" t="n"/>
      <c r="D100" s="43" t="n"/>
      <c r="E100" s="43" t="n"/>
      <c r="F100" s="44" t="n"/>
      <c r="G100" s="44" t="n"/>
      <c r="H100" s="44" t="n"/>
      <c r="I100" s="44" t="n"/>
      <c r="J100" s="45" t="n"/>
      <c r="K100" s="45" t="n"/>
      <c r="L100" s="46" t="n"/>
      <c r="M100" s="45" t="n"/>
      <c r="N100" s="46" t="n"/>
      <c r="O100" s="45" t="n"/>
      <c r="P100" s="45" t="n"/>
      <c r="Q100" s="45" t="n"/>
      <c r="R100" s="45" t="n"/>
      <c r="S100" s="45" t="n"/>
      <c r="T100" s="45" t="n"/>
      <c r="U100" s="45" t="n"/>
      <c r="V100" s="46" t="n"/>
      <c r="W100" s="41" t="n"/>
      <c r="X100" s="46" t="n"/>
      <c r="Y100" s="42" t="n"/>
      <c r="Z100" s="43" t="n"/>
      <c r="AA100" s="41" t="n"/>
      <c r="AB100" s="47">
        <f>CALCULO!CT100</f>
      </c>
      <c r="AC100" s="48">
        <f>CALCULO!CD100</f>
      </c>
    </row>
    <row r="101">
      <c r="A101" s="40">
        <f>IF(B101="","",ROW()-5)</f>
      </c>
      <c r="B101" s="41" t="n"/>
      <c r="C101" s="42" t="n"/>
      <c r="D101" s="43" t="n"/>
      <c r="E101" s="43" t="n"/>
      <c r="F101" s="44" t="n"/>
      <c r="G101" s="44" t="n"/>
      <c r="H101" s="44" t="n"/>
      <c r="I101" s="44" t="n"/>
      <c r="J101" s="45" t="n"/>
      <c r="K101" s="45" t="n"/>
      <c r="L101" s="46" t="n"/>
      <c r="M101" s="45" t="n"/>
      <c r="N101" s="46" t="n"/>
      <c r="O101" s="45" t="n"/>
      <c r="P101" s="45" t="n"/>
      <c r="Q101" s="45" t="n"/>
      <c r="R101" s="45" t="n"/>
      <c r="S101" s="45" t="n"/>
      <c r="T101" s="45" t="n"/>
      <c r="U101" s="45" t="n"/>
      <c r="V101" s="46" t="n"/>
      <c r="W101" s="41" t="n"/>
      <c r="X101" s="46" t="n"/>
      <c r="Y101" s="42" t="n"/>
      <c r="Z101" s="43" t="n"/>
      <c r="AA101" s="41" t="n"/>
      <c r="AB101" s="47">
        <f>CALCULO!CT101</f>
      </c>
      <c r="AC101" s="48">
        <f>CALCULO!CD101</f>
      </c>
    </row>
    <row r="102">
      <c r="A102" s="40">
        <f>IF(B102="","",ROW()-5)</f>
      </c>
      <c r="B102" s="41" t="n"/>
      <c r="C102" s="42" t="n"/>
      <c r="D102" s="43" t="n"/>
      <c r="E102" s="43" t="n"/>
      <c r="F102" s="44" t="n"/>
      <c r="G102" s="44" t="n"/>
      <c r="H102" s="44" t="n"/>
      <c r="I102" s="44" t="n"/>
      <c r="J102" s="45" t="n"/>
      <c r="K102" s="45" t="n"/>
      <c r="L102" s="46" t="n"/>
      <c r="M102" s="45" t="n"/>
      <c r="N102" s="46" t="n"/>
      <c r="O102" s="45" t="n"/>
      <c r="P102" s="45" t="n"/>
      <c r="Q102" s="45" t="n"/>
      <c r="R102" s="45" t="n"/>
      <c r="S102" s="45" t="n"/>
      <c r="T102" s="45" t="n"/>
      <c r="U102" s="45" t="n"/>
      <c r="V102" s="46" t="n"/>
      <c r="W102" s="41" t="n"/>
      <c r="X102" s="46" t="n"/>
      <c r="Y102" s="42" t="n"/>
      <c r="Z102" s="43" t="n"/>
      <c r="AA102" s="41" t="n"/>
      <c r="AB102" s="47">
        <f>CALCULO!CT102</f>
      </c>
      <c r="AC102" s="48">
        <f>CALCULO!CD102</f>
      </c>
    </row>
    <row r="103">
      <c r="A103" s="40">
        <f>IF(B103="","",ROW()-5)</f>
      </c>
      <c r="B103" s="41" t="n"/>
      <c r="C103" s="42" t="n"/>
      <c r="D103" s="43" t="n"/>
      <c r="E103" s="43" t="n"/>
      <c r="F103" s="44" t="n"/>
      <c r="G103" s="44" t="n"/>
      <c r="H103" s="44" t="n"/>
      <c r="I103" s="44" t="n"/>
      <c r="J103" s="45" t="n"/>
      <c r="K103" s="45" t="n"/>
      <c r="L103" s="46" t="n"/>
      <c r="M103" s="45" t="n"/>
      <c r="N103" s="46" t="n"/>
      <c r="O103" s="45" t="n"/>
      <c r="P103" s="45" t="n"/>
      <c r="Q103" s="45" t="n"/>
      <c r="R103" s="45" t="n"/>
      <c r="S103" s="45" t="n"/>
      <c r="T103" s="45" t="n"/>
      <c r="U103" s="45" t="n"/>
      <c r="V103" s="46" t="n"/>
      <c r="W103" s="41" t="n"/>
      <c r="X103" s="46" t="n"/>
      <c r="Y103" s="42" t="n"/>
      <c r="Z103" s="43" t="n"/>
      <c r="AA103" s="41" t="n"/>
      <c r="AB103" s="47">
        <f>CALCULO!CT103</f>
      </c>
      <c r="AC103" s="48">
        <f>CALCULO!CD103</f>
      </c>
    </row>
    <row r="104">
      <c r="A104" s="40">
        <f>IF(B104="","",ROW()-5)</f>
      </c>
      <c r="B104" s="41" t="n"/>
      <c r="C104" s="42" t="n"/>
      <c r="D104" s="43" t="n"/>
      <c r="E104" s="43" t="n"/>
      <c r="F104" s="44" t="n"/>
      <c r="G104" s="44" t="n"/>
      <c r="H104" s="44" t="n"/>
      <c r="I104" s="44" t="n"/>
      <c r="J104" s="45" t="n"/>
      <c r="K104" s="45" t="n"/>
      <c r="L104" s="46" t="n"/>
      <c r="M104" s="45" t="n"/>
      <c r="N104" s="46" t="n"/>
      <c r="O104" s="45" t="n"/>
      <c r="P104" s="45" t="n"/>
      <c r="Q104" s="45" t="n"/>
      <c r="R104" s="45" t="n"/>
      <c r="S104" s="45" t="n"/>
      <c r="T104" s="45" t="n"/>
      <c r="U104" s="45" t="n"/>
      <c r="V104" s="46" t="n"/>
      <c r="W104" s="41" t="n"/>
      <c r="X104" s="46" t="n"/>
      <c r="Y104" s="42" t="n"/>
      <c r="Z104" s="43" t="n"/>
      <c r="AA104" s="41" t="n"/>
      <c r="AB104" s="47">
        <f>CALCULO!CT104</f>
      </c>
      <c r="AC104" s="48">
        <f>CALCULO!CD104</f>
      </c>
    </row>
    <row r="105">
      <c r="A105" s="40">
        <f>IF(B105="","",ROW()-5)</f>
      </c>
      <c r="B105" s="41" t="n"/>
      <c r="C105" s="42" t="n"/>
      <c r="D105" s="43" t="n"/>
      <c r="E105" s="43" t="n"/>
      <c r="F105" s="44" t="n"/>
      <c r="G105" s="44" t="n"/>
      <c r="H105" s="44" t="n"/>
      <c r="I105" s="44" t="n"/>
      <c r="J105" s="45" t="n"/>
      <c r="K105" s="45" t="n"/>
      <c r="L105" s="46" t="n"/>
      <c r="M105" s="45" t="n"/>
      <c r="N105" s="46" t="n"/>
      <c r="O105" s="45" t="n"/>
      <c r="P105" s="45" t="n"/>
      <c r="Q105" s="45" t="n"/>
      <c r="R105" s="45" t="n"/>
      <c r="S105" s="45" t="n"/>
      <c r="T105" s="45" t="n"/>
      <c r="U105" s="45" t="n"/>
      <c r="V105" s="46" t="n"/>
      <c r="W105" s="41" t="n"/>
      <c r="X105" s="46" t="n"/>
      <c r="Y105" s="42" t="n"/>
      <c r="Z105" s="43" t="n"/>
      <c r="AA105" s="41" t="n"/>
      <c r="AB105" s="47">
        <f>CALCULO!CT105</f>
      </c>
      <c r="AC105" s="48">
        <f>CALCULO!CD105</f>
      </c>
    </row>
    <row r="106">
      <c r="A106" s="40">
        <f>IF(B106="","",ROW()-5)</f>
      </c>
      <c r="B106" s="41" t="n"/>
      <c r="C106" s="42" t="n"/>
      <c r="D106" s="43" t="n"/>
      <c r="E106" s="43" t="n"/>
      <c r="F106" s="44" t="n"/>
      <c r="G106" s="44" t="n"/>
      <c r="H106" s="44" t="n"/>
      <c r="I106" s="44" t="n"/>
      <c r="J106" s="45" t="n"/>
      <c r="K106" s="45" t="n"/>
      <c r="L106" s="46" t="n"/>
      <c r="M106" s="45" t="n"/>
      <c r="N106" s="46" t="n"/>
      <c r="O106" s="45" t="n"/>
      <c r="P106" s="45" t="n"/>
      <c r="Q106" s="45" t="n"/>
      <c r="R106" s="45" t="n"/>
      <c r="S106" s="45" t="n"/>
      <c r="T106" s="45" t="n"/>
      <c r="U106" s="45" t="n"/>
      <c r="V106" s="46" t="n"/>
      <c r="W106" s="41" t="n"/>
      <c r="X106" s="46" t="n"/>
      <c r="Y106" s="42" t="n"/>
      <c r="Z106" s="43" t="n"/>
      <c r="AA106" s="41" t="n"/>
      <c r="AB106" s="47">
        <f>CALCULO!CT106</f>
      </c>
      <c r="AC106" s="48">
        <f>CALCULO!CD106</f>
      </c>
    </row>
    <row r="107">
      <c r="A107" s="40">
        <f>IF(B107="","",ROW()-5)</f>
      </c>
      <c r="B107" s="41" t="n"/>
      <c r="C107" s="42" t="n"/>
      <c r="D107" s="43" t="n"/>
      <c r="E107" s="43" t="n"/>
      <c r="F107" s="44" t="n"/>
      <c r="G107" s="44" t="n"/>
      <c r="H107" s="44" t="n"/>
      <c r="I107" s="44" t="n"/>
      <c r="J107" s="45" t="n"/>
      <c r="K107" s="45" t="n"/>
      <c r="L107" s="46" t="n"/>
      <c r="M107" s="45" t="n"/>
      <c r="N107" s="46" t="n"/>
      <c r="O107" s="45" t="n"/>
      <c r="P107" s="45" t="n"/>
      <c r="Q107" s="45" t="n"/>
      <c r="R107" s="45" t="n"/>
      <c r="S107" s="45" t="n"/>
      <c r="T107" s="45" t="n"/>
      <c r="U107" s="45" t="n"/>
      <c r="V107" s="46" t="n"/>
      <c r="W107" s="41" t="n"/>
      <c r="X107" s="46" t="n"/>
      <c r="Y107" s="42" t="n"/>
      <c r="Z107" s="43" t="n"/>
      <c r="AA107" s="41" t="n"/>
      <c r="AB107" s="47">
        <f>CALCULO!CT107</f>
      </c>
      <c r="AC107" s="48">
        <f>CALCULO!CD107</f>
      </c>
    </row>
    <row r="108">
      <c r="A108" s="40">
        <f>IF(B108="","",ROW()-5)</f>
      </c>
      <c r="B108" s="41" t="n"/>
      <c r="C108" s="42" t="n"/>
      <c r="D108" s="43" t="n"/>
      <c r="E108" s="43" t="n"/>
      <c r="F108" s="44" t="n"/>
      <c r="G108" s="44" t="n"/>
      <c r="H108" s="44" t="n"/>
      <c r="I108" s="44" t="n"/>
      <c r="J108" s="45" t="n"/>
      <c r="K108" s="45" t="n"/>
      <c r="L108" s="46" t="n"/>
      <c r="M108" s="45" t="n"/>
      <c r="N108" s="46" t="n"/>
      <c r="O108" s="45" t="n"/>
      <c r="P108" s="45" t="n"/>
      <c r="Q108" s="45" t="n"/>
      <c r="R108" s="45" t="n"/>
      <c r="S108" s="45" t="n"/>
      <c r="T108" s="45" t="n"/>
      <c r="U108" s="45" t="n"/>
      <c r="V108" s="46" t="n"/>
      <c r="W108" s="41" t="n"/>
      <c r="X108" s="46" t="n"/>
      <c r="Y108" s="42" t="n"/>
      <c r="Z108" s="43" t="n"/>
      <c r="AA108" s="41" t="n"/>
      <c r="AB108" s="47">
        <f>CALCULO!CT108</f>
      </c>
      <c r="AC108" s="48">
        <f>CALCULO!CD108</f>
      </c>
    </row>
    <row r="109">
      <c r="A109" s="40">
        <f>IF(B109="","",ROW()-5)</f>
      </c>
      <c r="B109" s="41" t="n"/>
      <c r="C109" s="42" t="n"/>
      <c r="D109" s="43" t="n"/>
      <c r="E109" s="43" t="n"/>
      <c r="F109" s="44" t="n"/>
      <c r="G109" s="44" t="n"/>
      <c r="H109" s="44" t="n"/>
      <c r="I109" s="44" t="n"/>
      <c r="J109" s="45" t="n"/>
      <c r="K109" s="45" t="n"/>
      <c r="L109" s="46" t="n"/>
      <c r="M109" s="45" t="n"/>
      <c r="N109" s="46" t="n"/>
      <c r="O109" s="45" t="n"/>
      <c r="P109" s="45" t="n"/>
      <c r="Q109" s="45" t="n"/>
      <c r="R109" s="45" t="n"/>
      <c r="S109" s="45" t="n"/>
      <c r="T109" s="45" t="n"/>
      <c r="U109" s="45" t="n"/>
      <c r="V109" s="46" t="n"/>
      <c r="W109" s="41" t="n"/>
      <c r="X109" s="46" t="n"/>
      <c r="Y109" s="42" t="n"/>
      <c r="Z109" s="43" t="n"/>
      <c r="AA109" s="41" t="n"/>
      <c r="AB109" s="47">
        <f>CALCULO!CT109</f>
      </c>
      <c r="AC109" s="48">
        <f>CALCULO!CD109</f>
      </c>
    </row>
    <row r="110">
      <c r="A110" s="40">
        <f>IF(B110="","",ROW()-5)</f>
      </c>
      <c r="B110" s="41" t="n"/>
      <c r="C110" s="42" t="n"/>
      <c r="D110" s="43" t="n"/>
      <c r="E110" s="43" t="n"/>
      <c r="F110" s="44" t="n"/>
      <c r="G110" s="44" t="n"/>
      <c r="H110" s="44" t="n"/>
      <c r="I110" s="44" t="n"/>
      <c r="J110" s="45" t="n"/>
      <c r="K110" s="45" t="n"/>
      <c r="L110" s="46" t="n"/>
      <c r="M110" s="45" t="n"/>
      <c r="N110" s="46" t="n"/>
      <c r="O110" s="45" t="n"/>
      <c r="P110" s="45" t="n"/>
      <c r="Q110" s="45" t="n"/>
      <c r="R110" s="45" t="n"/>
      <c r="S110" s="45" t="n"/>
      <c r="T110" s="45" t="n"/>
      <c r="U110" s="45" t="n"/>
      <c r="V110" s="46" t="n"/>
      <c r="W110" s="41" t="n"/>
      <c r="X110" s="46" t="n"/>
      <c r="Y110" s="42" t="n"/>
      <c r="Z110" s="43" t="n"/>
      <c r="AA110" s="41" t="n"/>
      <c r="AB110" s="47">
        <f>CALCULO!CT110</f>
      </c>
      <c r="AC110" s="48">
        <f>CALCULO!CD110</f>
      </c>
    </row>
    <row r="111">
      <c r="A111" s="40">
        <f>IF(B111="","",ROW()-5)</f>
      </c>
      <c r="B111" s="41" t="n"/>
      <c r="C111" s="42" t="n"/>
      <c r="D111" s="43" t="n"/>
      <c r="E111" s="43" t="n"/>
      <c r="F111" s="44" t="n"/>
      <c r="G111" s="44" t="n"/>
      <c r="H111" s="44" t="n"/>
      <c r="I111" s="44" t="n"/>
      <c r="J111" s="45" t="n"/>
      <c r="K111" s="45" t="n"/>
      <c r="L111" s="46" t="n"/>
      <c r="M111" s="45" t="n"/>
      <c r="N111" s="46" t="n"/>
      <c r="O111" s="45" t="n"/>
      <c r="P111" s="45" t="n"/>
      <c r="Q111" s="45" t="n"/>
      <c r="R111" s="45" t="n"/>
      <c r="S111" s="45" t="n"/>
      <c r="T111" s="45" t="n"/>
      <c r="U111" s="45" t="n"/>
      <c r="V111" s="46" t="n"/>
      <c r="W111" s="41" t="n"/>
      <c r="X111" s="46" t="n"/>
      <c r="Y111" s="42" t="n"/>
      <c r="Z111" s="43" t="n"/>
      <c r="AA111" s="41" t="n"/>
      <c r="AB111" s="47">
        <f>CALCULO!CT111</f>
      </c>
      <c r="AC111" s="48">
        <f>CALCULO!CD111</f>
      </c>
    </row>
    <row r="112">
      <c r="A112" s="40">
        <f>IF(B112="","",ROW()-5)</f>
      </c>
      <c r="B112" s="41" t="n"/>
      <c r="C112" s="42" t="n"/>
      <c r="D112" s="43" t="n"/>
      <c r="E112" s="43" t="n"/>
      <c r="F112" s="44" t="n"/>
      <c r="G112" s="44" t="n"/>
      <c r="H112" s="44" t="n"/>
      <c r="I112" s="44" t="n"/>
      <c r="J112" s="45" t="n"/>
      <c r="K112" s="45" t="n"/>
      <c r="L112" s="46" t="n"/>
      <c r="M112" s="45" t="n"/>
      <c r="N112" s="46" t="n"/>
      <c r="O112" s="45" t="n"/>
      <c r="P112" s="45" t="n"/>
      <c r="Q112" s="45" t="n"/>
      <c r="R112" s="45" t="n"/>
      <c r="S112" s="45" t="n"/>
      <c r="T112" s="45" t="n"/>
      <c r="U112" s="45" t="n"/>
      <c r="V112" s="46" t="n"/>
      <c r="W112" s="41" t="n"/>
      <c r="X112" s="46" t="n"/>
      <c r="Y112" s="42" t="n"/>
      <c r="Z112" s="43" t="n"/>
      <c r="AA112" s="41" t="n"/>
      <c r="AB112" s="47">
        <f>CALCULO!CT112</f>
      </c>
      <c r="AC112" s="48">
        <f>CALCULO!CD112</f>
      </c>
    </row>
    <row r="113">
      <c r="A113" s="40">
        <f>IF(B113="","",ROW()-5)</f>
      </c>
      <c r="B113" s="41" t="n"/>
      <c r="C113" s="42" t="n"/>
      <c r="D113" s="43" t="n"/>
      <c r="E113" s="43" t="n"/>
      <c r="F113" s="44" t="n"/>
      <c r="G113" s="44" t="n"/>
      <c r="H113" s="44" t="n"/>
      <c r="I113" s="44" t="n"/>
      <c r="J113" s="45" t="n"/>
      <c r="K113" s="45" t="n"/>
      <c r="L113" s="46" t="n"/>
      <c r="M113" s="45" t="n"/>
      <c r="N113" s="46" t="n"/>
      <c r="O113" s="45" t="n"/>
      <c r="P113" s="45" t="n"/>
      <c r="Q113" s="45" t="n"/>
      <c r="R113" s="45" t="n"/>
      <c r="S113" s="45" t="n"/>
      <c r="T113" s="45" t="n"/>
      <c r="U113" s="45" t="n"/>
      <c r="V113" s="46" t="n"/>
      <c r="W113" s="41" t="n"/>
      <c r="X113" s="46" t="n"/>
      <c r="Y113" s="42" t="n"/>
      <c r="Z113" s="43" t="n"/>
      <c r="AA113" s="41" t="n"/>
      <c r="AB113" s="47">
        <f>CALCULO!CT113</f>
      </c>
      <c r="AC113" s="48">
        <f>CALCULO!CD113</f>
      </c>
    </row>
    <row r="114">
      <c r="A114" s="40">
        <f>IF(B114="","",ROW()-5)</f>
      </c>
      <c r="B114" s="41" t="n"/>
      <c r="C114" s="42" t="n"/>
      <c r="D114" s="43" t="n"/>
      <c r="E114" s="43" t="n"/>
      <c r="F114" s="44" t="n"/>
      <c r="G114" s="44" t="n"/>
      <c r="H114" s="44" t="n"/>
      <c r="I114" s="44" t="n"/>
      <c r="J114" s="45" t="n"/>
      <c r="K114" s="45" t="n"/>
      <c r="L114" s="46" t="n"/>
      <c r="M114" s="45" t="n"/>
      <c r="N114" s="46" t="n"/>
      <c r="O114" s="45" t="n"/>
      <c r="P114" s="45" t="n"/>
      <c r="Q114" s="45" t="n"/>
      <c r="R114" s="45" t="n"/>
      <c r="S114" s="45" t="n"/>
      <c r="T114" s="45" t="n"/>
      <c r="U114" s="45" t="n"/>
      <c r="V114" s="46" t="n"/>
      <c r="W114" s="41" t="n"/>
      <c r="X114" s="46" t="n"/>
      <c r="Y114" s="42" t="n"/>
      <c r="Z114" s="43" t="n"/>
      <c r="AA114" s="41" t="n"/>
      <c r="AB114" s="47">
        <f>CALCULO!CT114</f>
      </c>
      <c r="AC114" s="48">
        <f>CALCULO!CD114</f>
      </c>
    </row>
    <row r="115">
      <c r="A115" s="40">
        <f>IF(B115="","",ROW()-5)</f>
      </c>
      <c r="B115" s="41" t="n"/>
      <c r="C115" s="42" t="n"/>
      <c r="D115" s="43" t="n"/>
      <c r="E115" s="43" t="n"/>
      <c r="F115" s="44" t="n"/>
      <c r="G115" s="44" t="n"/>
      <c r="H115" s="44" t="n"/>
      <c r="I115" s="44" t="n"/>
      <c r="J115" s="45" t="n"/>
      <c r="K115" s="45" t="n"/>
      <c r="L115" s="46" t="n"/>
      <c r="M115" s="45" t="n"/>
      <c r="N115" s="46" t="n"/>
      <c r="O115" s="45" t="n"/>
      <c r="P115" s="45" t="n"/>
      <c r="Q115" s="45" t="n"/>
      <c r="R115" s="45" t="n"/>
      <c r="S115" s="45" t="n"/>
      <c r="T115" s="45" t="n"/>
      <c r="U115" s="45" t="n"/>
      <c r="V115" s="46" t="n"/>
      <c r="W115" s="41" t="n"/>
      <c r="X115" s="46" t="n"/>
      <c r="Y115" s="42" t="n"/>
      <c r="Z115" s="43" t="n"/>
      <c r="AA115" s="41" t="n"/>
      <c r="AB115" s="47">
        <f>CALCULO!CT115</f>
      </c>
      <c r="AC115" s="48">
        <f>CALCULO!CD115</f>
      </c>
    </row>
    <row r="116">
      <c r="A116" s="40">
        <f>IF(B116="","",ROW()-5)</f>
      </c>
      <c r="B116" s="41" t="n"/>
      <c r="C116" s="42" t="n"/>
      <c r="D116" s="43" t="n"/>
      <c r="E116" s="43" t="n"/>
      <c r="F116" s="44" t="n"/>
      <c r="G116" s="44" t="n"/>
      <c r="H116" s="44" t="n"/>
      <c r="I116" s="44" t="n"/>
      <c r="J116" s="45" t="n"/>
      <c r="K116" s="45" t="n"/>
      <c r="L116" s="46" t="n"/>
      <c r="M116" s="45" t="n"/>
      <c r="N116" s="46" t="n"/>
      <c r="O116" s="45" t="n"/>
      <c r="P116" s="45" t="n"/>
      <c r="Q116" s="45" t="n"/>
      <c r="R116" s="45" t="n"/>
      <c r="S116" s="45" t="n"/>
      <c r="T116" s="45" t="n"/>
      <c r="U116" s="45" t="n"/>
      <c r="V116" s="46" t="n"/>
      <c r="W116" s="41" t="n"/>
      <c r="X116" s="46" t="n"/>
      <c r="Y116" s="42" t="n"/>
      <c r="Z116" s="43" t="n"/>
      <c r="AA116" s="41" t="n"/>
      <c r="AB116" s="47">
        <f>CALCULO!CT116</f>
      </c>
      <c r="AC116" s="48">
        <f>CALCULO!CD116</f>
      </c>
    </row>
    <row r="117">
      <c r="A117" s="40">
        <f>IF(B117="","",ROW()-5)</f>
      </c>
      <c r="B117" s="41" t="n"/>
      <c r="C117" s="42" t="n"/>
      <c r="D117" s="43" t="n"/>
      <c r="E117" s="43" t="n"/>
      <c r="F117" s="44" t="n"/>
      <c r="G117" s="44" t="n"/>
      <c r="H117" s="44" t="n"/>
      <c r="I117" s="44" t="n"/>
      <c r="J117" s="45" t="n"/>
      <c r="K117" s="45" t="n"/>
      <c r="L117" s="46" t="n"/>
      <c r="M117" s="45" t="n"/>
      <c r="N117" s="46" t="n"/>
      <c r="O117" s="45" t="n"/>
      <c r="P117" s="45" t="n"/>
      <c r="Q117" s="45" t="n"/>
      <c r="R117" s="45" t="n"/>
      <c r="S117" s="45" t="n"/>
      <c r="T117" s="45" t="n"/>
      <c r="U117" s="45" t="n"/>
      <c r="V117" s="46" t="n"/>
      <c r="W117" s="41" t="n"/>
      <c r="X117" s="46" t="n"/>
      <c r="Y117" s="42" t="n"/>
      <c r="Z117" s="43" t="n"/>
      <c r="AA117" s="41" t="n"/>
      <c r="AB117" s="47">
        <f>CALCULO!CT117</f>
      </c>
      <c r="AC117" s="48">
        <f>CALCULO!CD117</f>
      </c>
    </row>
    <row r="118">
      <c r="A118" s="40">
        <f>IF(B118="","",ROW()-5)</f>
      </c>
      <c r="B118" s="41" t="n"/>
      <c r="C118" s="42" t="n"/>
      <c r="D118" s="43" t="n"/>
      <c r="E118" s="43" t="n"/>
      <c r="F118" s="44" t="n"/>
      <c r="G118" s="44" t="n"/>
      <c r="H118" s="44" t="n"/>
      <c r="I118" s="44" t="n"/>
      <c r="J118" s="45" t="n"/>
      <c r="K118" s="45" t="n"/>
      <c r="L118" s="46" t="n"/>
      <c r="M118" s="45" t="n"/>
      <c r="N118" s="46" t="n"/>
      <c r="O118" s="45" t="n"/>
      <c r="P118" s="45" t="n"/>
      <c r="Q118" s="45" t="n"/>
      <c r="R118" s="45" t="n"/>
      <c r="S118" s="45" t="n"/>
      <c r="T118" s="45" t="n"/>
      <c r="U118" s="45" t="n"/>
      <c r="V118" s="46" t="n"/>
      <c r="W118" s="41" t="n"/>
      <c r="X118" s="46" t="n"/>
      <c r="Y118" s="42" t="n"/>
      <c r="Z118" s="43" t="n"/>
      <c r="AA118" s="41" t="n"/>
      <c r="AB118" s="47">
        <f>CALCULO!CT118</f>
      </c>
      <c r="AC118" s="48">
        <f>CALCULO!CD118</f>
      </c>
    </row>
    <row r="119">
      <c r="A119" s="40">
        <f>IF(B119="","",ROW()-5)</f>
      </c>
      <c r="B119" s="41" t="n"/>
      <c r="C119" s="42" t="n"/>
      <c r="D119" s="43" t="n"/>
      <c r="E119" s="43" t="n"/>
      <c r="F119" s="44" t="n"/>
      <c r="G119" s="44" t="n"/>
      <c r="H119" s="44" t="n"/>
      <c r="I119" s="44" t="n"/>
      <c r="J119" s="45" t="n"/>
      <c r="K119" s="45" t="n"/>
      <c r="L119" s="46" t="n"/>
      <c r="M119" s="45" t="n"/>
      <c r="N119" s="46" t="n"/>
      <c r="O119" s="45" t="n"/>
      <c r="P119" s="45" t="n"/>
      <c r="Q119" s="45" t="n"/>
      <c r="R119" s="45" t="n"/>
      <c r="S119" s="45" t="n"/>
      <c r="T119" s="45" t="n"/>
      <c r="U119" s="45" t="n"/>
      <c r="V119" s="46" t="n"/>
      <c r="W119" s="41" t="n"/>
      <c r="X119" s="46" t="n"/>
      <c r="Y119" s="42" t="n"/>
      <c r="Z119" s="43" t="n"/>
      <c r="AA119" s="41" t="n"/>
      <c r="AB119" s="47">
        <f>CALCULO!CT119</f>
      </c>
      <c r="AC119" s="48">
        <f>CALCULO!CD119</f>
      </c>
    </row>
    <row r="120">
      <c r="A120" s="40">
        <f>IF(B120="","",ROW()-5)</f>
      </c>
      <c r="B120" s="41" t="n"/>
      <c r="C120" s="42" t="n"/>
      <c r="D120" s="43" t="n"/>
      <c r="E120" s="43" t="n"/>
      <c r="F120" s="44" t="n"/>
      <c r="G120" s="44" t="n"/>
      <c r="H120" s="44" t="n"/>
      <c r="I120" s="44" t="n"/>
      <c r="J120" s="45" t="n"/>
      <c r="K120" s="45" t="n"/>
      <c r="L120" s="46" t="n"/>
      <c r="M120" s="45" t="n"/>
      <c r="N120" s="46" t="n"/>
      <c r="O120" s="45" t="n"/>
      <c r="P120" s="45" t="n"/>
      <c r="Q120" s="45" t="n"/>
      <c r="R120" s="45" t="n"/>
      <c r="S120" s="45" t="n"/>
      <c r="T120" s="45" t="n"/>
      <c r="U120" s="45" t="n"/>
      <c r="V120" s="46" t="n"/>
      <c r="W120" s="41" t="n"/>
      <c r="X120" s="46" t="n"/>
      <c r="Y120" s="42" t="n"/>
      <c r="Z120" s="43" t="n"/>
      <c r="AA120" s="41" t="n"/>
      <c r="AB120" s="47">
        <f>CALCULO!CT120</f>
      </c>
      <c r="AC120" s="48">
        <f>CALCULO!CD120</f>
      </c>
    </row>
    <row r="121">
      <c r="A121" s="40">
        <f>IF(B121="","",ROW()-5)</f>
      </c>
      <c r="B121" s="41" t="n"/>
      <c r="C121" s="42" t="n"/>
      <c r="D121" s="43" t="n"/>
      <c r="E121" s="43" t="n"/>
      <c r="F121" s="44" t="n"/>
      <c r="G121" s="44" t="n"/>
      <c r="H121" s="44" t="n"/>
      <c r="I121" s="44" t="n"/>
      <c r="J121" s="45" t="n"/>
      <c r="K121" s="45" t="n"/>
      <c r="L121" s="46" t="n"/>
      <c r="M121" s="45" t="n"/>
      <c r="N121" s="46" t="n"/>
      <c r="O121" s="45" t="n"/>
      <c r="P121" s="45" t="n"/>
      <c r="Q121" s="45" t="n"/>
      <c r="R121" s="45" t="n"/>
      <c r="S121" s="45" t="n"/>
      <c r="T121" s="45" t="n"/>
      <c r="U121" s="45" t="n"/>
      <c r="V121" s="46" t="n"/>
      <c r="W121" s="41" t="n"/>
      <c r="X121" s="46" t="n"/>
      <c r="Y121" s="42" t="n"/>
      <c r="Z121" s="43" t="n"/>
      <c r="AA121" s="41" t="n"/>
      <c r="AB121" s="47">
        <f>CALCULO!CT121</f>
      </c>
      <c r="AC121" s="48">
        <f>CALCULO!CD121</f>
      </c>
    </row>
    <row r="122">
      <c r="A122" s="40">
        <f>IF(B122="","",ROW()-5)</f>
      </c>
      <c r="B122" s="41" t="n"/>
      <c r="C122" s="42" t="n"/>
      <c r="D122" s="43" t="n"/>
      <c r="E122" s="43" t="n"/>
      <c r="F122" s="44" t="n"/>
      <c r="G122" s="44" t="n"/>
      <c r="H122" s="44" t="n"/>
      <c r="I122" s="44" t="n"/>
      <c r="J122" s="45" t="n"/>
      <c r="K122" s="45" t="n"/>
      <c r="L122" s="46" t="n"/>
      <c r="M122" s="45" t="n"/>
      <c r="N122" s="46" t="n"/>
      <c r="O122" s="45" t="n"/>
      <c r="P122" s="45" t="n"/>
      <c r="Q122" s="45" t="n"/>
      <c r="R122" s="45" t="n"/>
      <c r="S122" s="45" t="n"/>
      <c r="T122" s="45" t="n"/>
      <c r="U122" s="45" t="n"/>
      <c r="V122" s="46" t="n"/>
      <c r="W122" s="41" t="n"/>
      <c r="X122" s="46" t="n"/>
      <c r="Y122" s="42" t="n"/>
      <c r="Z122" s="43" t="n"/>
      <c r="AA122" s="41" t="n"/>
      <c r="AB122" s="47">
        <f>CALCULO!CT122</f>
      </c>
      <c r="AC122" s="48">
        <f>CALCULO!CD122</f>
      </c>
    </row>
    <row r="123">
      <c r="A123" s="40">
        <f>IF(B123="","",ROW()-5)</f>
      </c>
      <c r="B123" s="41" t="n"/>
      <c r="C123" s="42" t="n"/>
      <c r="D123" s="43" t="n"/>
      <c r="E123" s="43" t="n"/>
      <c r="F123" s="44" t="n"/>
      <c r="G123" s="44" t="n"/>
      <c r="H123" s="44" t="n"/>
      <c r="I123" s="44" t="n"/>
      <c r="J123" s="45" t="n"/>
      <c r="K123" s="45" t="n"/>
      <c r="L123" s="46" t="n"/>
      <c r="M123" s="45" t="n"/>
      <c r="N123" s="46" t="n"/>
      <c r="O123" s="45" t="n"/>
      <c r="P123" s="45" t="n"/>
      <c r="Q123" s="45" t="n"/>
      <c r="R123" s="45" t="n"/>
      <c r="S123" s="45" t="n"/>
      <c r="T123" s="45" t="n"/>
      <c r="U123" s="45" t="n"/>
      <c r="V123" s="46" t="n"/>
      <c r="W123" s="41" t="n"/>
      <c r="X123" s="46" t="n"/>
      <c r="Y123" s="42" t="n"/>
      <c r="Z123" s="43" t="n"/>
      <c r="AA123" s="41" t="n"/>
      <c r="AB123" s="47">
        <f>CALCULO!CT123</f>
      </c>
      <c r="AC123" s="48">
        <f>CALCULO!CD123</f>
      </c>
    </row>
    <row r="124">
      <c r="A124" s="40">
        <f>IF(B124="","",ROW()-5)</f>
      </c>
      <c r="B124" s="41" t="n"/>
      <c r="C124" s="42" t="n"/>
      <c r="D124" s="43" t="n"/>
      <c r="E124" s="43" t="n"/>
      <c r="F124" s="44" t="n"/>
      <c r="G124" s="44" t="n"/>
      <c r="H124" s="44" t="n"/>
      <c r="I124" s="44" t="n"/>
      <c r="J124" s="45" t="n"/>
      <c r="K124" s="45" t="n"/>
      <c r="L124" s="46" t="n"/>
      <c r="M124" s="45" t="n"/>
      <c r="N124" s="46" t="n"/>
      <c r="O124" s="45" t="n"/>
      <c r="P124" s="45" t="n"/>
      <c r="Q124" s="45" t="n"/>
      <c r="R124" s="45" t="n"/>
      <c r="S124" s="45" t="n"/>
      <c r="T124" s="45" t="n"/>
      <c r="U124" s="45" t="n"/>
      <c r="V124" s="46" t="n"/>
      <c r="W124" s="41" t="n"/>
      <c r="X124" s="46" t="n"/>
      <c r="Y124" s="42" t="n"/>
      <c r="Z124" s="43" t="n"/>
      <c r="AA124" s="41" t="n"/>
      <c r="AB124" s="47">
        <f>CALCULO!CT124</f>
      </c>
      <c r="AC124" s="48">
        <f>CALCULO!CD124</f>
      </c>
    </row>
    <row r="125">
      <c r="A125" s="40">
        <f>IF(B125="","",ROW()-5)</f>
      </c>
      <c r="B125" s="41" t="n"/>
      <c r="C125" s="42" t="n"/>
      <c r="D125" s="43" t="n"/>
      <c r="E125" s="43" t="n"/>
      <c r="F125" s="44" t="n"/>
      <c r="G125" s="44" t="n"/>
      <c r="H125" s="44" t="n"/>
      <c r="I125" s="44" t="n"/>
      <c r="J125" s="45" t="n"/>
      <c r="K125" s="45" t="n"/>
      <c r="L125" s="46" t="n"/>
      <c r="M125" s="45" t="n"/>
      <c r="N125" s="46" t="n"/>
      <c r="O125" s="45" t="n"/>
      <c r="P125" s="45" t="n"/>
      <c r="Q125" s="45" t="n"/>
      <c r="R125" s="45" t="n"/>
      <c r="S125" s="45" t="n"/>
      <c r="T125" s="45" t="n"/>
      <c r="U125" s="45" t="n"/>
      <c r="V125" s="46" t="n"/>
      <c r="W125" s="41" t="n"/>
      <c r="X125" s="46" t="n"/>
      <c r="Y125" s="42" t="n"/>
      <c r="Z125" s="43" t="n"/>
      <c r="AA125" s="41" t="n"/>
      <c r="AB125" s="47">
        <f>CALCULO!CT125</f>
      </c>
      <c r="AC125" s="48">
        <f>CALCULO!CD125</f>
      </c>
    </row>
    <row r="126">
      <c r="A126" s="40">
        <f>IF(B126="","",ROW()-5)</f>
      </c>
      <c r="B126" s="41" t="n"/>
      <c r="C126" s="42" t="n"/>
      <c r="D126" s="43" t="n"/>
      <c r="E126" s="43" t="n"/>
      <c r="F126" s="44" t="n"/>
      <c r="G126" s="44" t="n"/>
      <c r="H126" s="44" t="n"/>
      <c r="I126" s="44" t="n"/>
      <c r="J126" s="45" t="n"/>
      <c r="K126" s="45" t="n"/>
      <c r="L126" s="46" t="n"/>
      <c r="M126" s="45" t="n"/>
      <c r="N126" s="46" t="n"/>
      <c r="O126" s="45" t="n"/>
      <c r="P126" s="45" t="n"/>
      <c r="Q126" s="45" t="n"/>
      <c r="R126" s="45" t="n"/>
      <c r="S126" s="45" t="n"/>
      <c r="T126" s="45" t="n"/>
      <c r="U126" s="45" t="n"/>
      <c r="V126" s="46" t="n"/>
      <c r="W126" s="41" t="n"/>
      <c r="X126" s="46" t="n"/>
      <c r="Y126" s="42" t="n"/>
      <c r="Z126" s="43" t="n"/>
      <c r="AA126" s="41" t="n"/>
      <c r="AB126" s="47">
        <f>CALCULO!CT126</f>
      </c>
      <c r="AC126" s="48">
        <f>CALCULO!CD126</f>
      </c>
    </row>
    <row r="127">
      <c r="A127" s="40">
        <f>IF(B127="","",ROW()-5)</f>
      </c>
      <c r="B127" s="41" t="n"/>
      <c r="C127" s="42" t="n"/>
      <c r="D127" s="43" t="n"/>
      <c r="E127" s="43" t="n"/>
      <c r="F127" s="44" t="n"/>
      <c r="G127" s="44" t="n"/>
      <c r="H127" s="44" t="n"/>
      <c r="I127" s="44" t="n"/>
      <c r="J127" s="45" t="n"/>
      <c r="K127" s="45" t="n"/>
      <c r="L127" s="46" t="n"/>
      <c r="M127" s="45" t="n"/>
      <c r="N127" s="46" t="n"/>
      <c r="O127" s="45" t="n"/>
      <c r="P127" s="45" t="n"/>
      <c r="Q127" s="45" t="n"/>
      <c r="R127" s="45" t="n"/>
      <c r="S127" s="45" t="n"/>
      <c r="T127" s="45" t="n"/>
      <c r="U127" s="45" t="n"/>
      <c r="V127" s="46" t="n"/>
      <c r="W127" s="41" t="n"/>
      <c r="X127" s="46" t="n"/>
      <c r="Y127" s="42" t="n"/>
      <c r="Z127" s="43" t="n"/>
      <c r="AA127" s="41" t="n"/>
      <c r="AB127" s="47">
        <f>CALCULO!CT127</f>
      </c>
      <c r="AC127" s="48">
        <f>CALCULO!CD127</f>
      </c>
    </row>
    <row r="128">
      <c r="A128" s="40">
        <f>IF(B128="","",ROW()-5)</f>
      </c>
      <c r="B128" s="41" t="n"/>
      <c r="C128" s="42" t="n"/>
      <c r="D128" s="43" t="n"/>
      <c r="E128" s="43" t="n"/>
      <c r="F128" s="44" t="n"/>
      <c r="G128" s="44" t="n"/>
      <c r="H128" s="44" t="n"/>
      <c r="I128" s="44" t="n"/>
      <c r="J128" s="45" t="n"/>
      <c r="K128" s="45" t="n"/>
      <c r="L128" s="46" t="n"/>
      <c r="M128" s="45" t="n"/>
      <c r="N128" s="46" t="n"/>
      <c r="O128" s="45" t="n"/>
      <c r="P128" s="45" t="n"/>
      <c r="Q128" s="45" t="n"/>
      <c r="R128" s="45" t="n"/>
      <c r="S128" s="45" t="n"/>
      <c r="T128" s="45" t="n"/>
      <c r="U128" s="45" t="n"/>
      <c r="V128" s="46" t="n"/>
      <c r="W128" s="41" t="n"/>
      <c r="X128" s="46" t="n"/>
      <c r="Y128" s="42" t="n"/>
      <c r="Z128" s="43" t="n"/>
      <c r="AA128" s="41" t="n"/>
      <c r="AB128" s="47">
        <f>CALCULO!CT128</f>
      </c>
      <c r="AC128" s="48">
        <f>CALCULO!CD128</f>
      </c>
    </row>
    <row r="129">
      <c r="A129" s="40">
        <f>IF(B129="","",ROW()-5)</f>
      </c>
      <c r="B129" s="41" t="n"/>
      <c r="C129" s="42" t="n"/>
      <c r="D129" s="43" t="n"/>
      <c r="E129" s="43" t="n"/>
      <c r="F129" s="44" t="n"/>
      <c r="G129" s="44" t="n"/>
      <c r="H129" s="44" t="n"/>
      <c r="I129" s="44" t="n"/>
      <c r="J129" s="45" t="n"/>
      <c r="K129" s="45" t="n"/>
      <c r="L129" s="46" t="n"/>
      <c r="M129" s="45" t="n"/>
      <c r="N129" s="46" t="n"/>
      <c r="O129" s="45" t="n"/>
      <c r="P129" s="45" t="n"/>
      <c r="Q129" s="45" t="n"/>
      <c r="R129" s="45" t="n"/>
      <c r="S129" s="45" t="n"/>
      <c r="T129" s="45" t="n"/>
      <c r="U129" s="45" t="n"/>
      <c r="V129" s="46" t="n"/>
      <c r="W129" s="41" t="n"/>
      <c r="X129" s="46" t="n"/>
      <c r="Y129" s="42" t="n"/>
      <c r="Z129" s="43" t="n"/>
      <c r="AA129" s="41" t="n"/>
      <c r="AB129" s="47">
        <f>CALCULO!CT129</f>
      </c>
      <c r="AC129" s="48">
        <f>CALCULO!CD129</f>
      </c>
    </row>
    <row r="130">
      <c r="A130" s="40">
        <f>IF(B130="","",ROW()-5)</f>
      </c>
      <c r="B130" s="41" t="n"/>
      <c r="C130" s="42" t="n"/>
      <c r="D130" s="43" t="n"/>
      <c r="E130" s="43" t="n"/>
      <c r="F130" s="44" t="n"/>
      <c r="G130" s="44" t="n"/>
      <c r="H130" s="44" t="n"/>
      <c r="I130" s="44" t="n"/>
      <c r="J130" s="45" t="n"/>
      <c r="K130" s="45" t="n"/>
      <c r="L130" s="46" t="n"/>
      <c r="M130" s="45" t="n"/>
      <c r="N130" s="46" t="n"/>
      <c r="O130" s="45" t="n"/>
      <c r="P130" s="45" t="n"/>
      <c r="Q130" s="45" t="n"/>
      <c r="R130" s="45" t="n"/>
      <c r="S130" s="45" t="n"/>
      <c r="T130" s="45" t="n"/>
      <c r="U130" s="45" t="n"/>
      <c r="V130" s="46" t="n"/>
      <c r="W130" s="41" t="n"/>
      <c r="X130" s="46" t="n"/>
      <c r="Y130" s="42" t="n"/>
      <c r="Z130" s="43" t="n"/>
      <c r="AA130" s="41" t="n"/>
      <c r="AB130" s="47">
        <f>CALCULO!CT130</f>
      </c>
      <c r="AC130" s="48">
        <f>CALCULO!CD130</f>
      </c>
    </row>
    <row r="131">
      <c r="A131" s="40">
        <f>IF(B131="","",ROW()-5)</f>
      </c>
      <c r="B131" s="41" t="n"/>
      <c r="C131" s="42" t="n"/>
      <c r="D131" s="43" t="n"/>
      <c r="E131" s="43" t="n"/>
      <c r="F131" s="44" t="n"/>
      <c r="G131" s="44" t="n"/>
      <c r="H131" s="44" t="n"/>
      <c r="I131" s="44" t="n"/>
      <c r="J131" s="45" t="n"/>
      <c r="K131" s="45" t="n"/>
      <c r="L131" s="46" t="n"/>
      <c r="M131" s="45" t="n"/>
      <c r="N131" s="46" t="n"/>
      <c r="O131" s="45" t="n"/>
      <c r="P131" s="45" t="n"/>
      <c r="Q131" s="45" t="n"/>
      <c r="R131" s="45" t="n"/>
      <c r="S131" s="45" t="n"/>
      <c r="T131" s="45" t="n"/>
      <c r="U131" s="45" t="n"/>
      <c r="V131" s="46" t="n"/>
      <c r="W131" s="41" t="n"/>
      <c r="X131" s="46" t="n"/>
      <c r="Y131" s="42" t="n"/>
      <c r="Z131" s="43" t="n"/>
      <c r="AA131" s="41" t="n"/>
      <c r="AB131" s="47">
        <f>CALCULO!CT131</f>
      </c>
      <c r="AC131" s="48">
        <f>CALCULO!CD131</f>
      </c>
    </row>
    <row r="132">
      <c r="A132" s="40">
        <f>IF(B132="","",ROW()-5)</f>
      </c>
      <c r="B132" s="41" t="n"/>
      <c r="C132" s="42" t="n"/>
      <c r="D132" s="43" t="n"/>
      <c r="E132" s="43" t="n"/>
      <c r="F132" s="44" t="n"/>
      <c r="G132" s="44" t="n"/>
      <c r="H132" s="44" t="n"/>
      <c r="I132" s="44" t="n"/>
      <c r="J132" s="45" t="n"/>
      <c r="K132" s="45" t="n"/>
      <c r="L132" s="46" t="n"/>
      <c r="M132" s="45" t="n"/>
      <c r="N132" s="46" t="n"/>
      <c r="O132" s="45" t="n"/>
      <c r="P132" s="45" t="n"/>
      <c r="Q132" s="45" t="n"/>
      <c r="R132" s="45" t="n"/>
      <c r="S132" s="45" t="n"/>
      <c r="T132" s="45" t="n"/>
      <c r="U132" s="45" t="n"/>
      <c r="V132" s="46" t="n"/>
      <c r="W132" s="41" t="n"/>
      <c r="X132" s="46" t="n"/>
      <c r="Y132" s="42" t="n"/>
      <c r="Z132" s="43" t="n"/>
      <c r="AA132" s="41" t="n"/>
      <c r="AB132" s="47">
        <f>CALCULO!CT132</f>
      </c>
      <c r="AC132" s="48">
        <f>CALCULO!CD132</f>
      </c>
    </row>
    <row r="133">
      <c r="A133" s="40">
        <f>IF(B133="","",ROW()-5)</f>
      </c>
      <c r="B133" s="41" t="n"/>
      <c r="C133" s="42" t="n"/>
      <c r="D133" s="43" t="n"/>
      <c r="E133" s="43" t="n"/>
      <c r="F133" s="44" t="n"/>
      <c r="G133" s="44" t="n"/>
      <c r="H133" s="44" t="n"/>
      <c r="I133" s="44" t="n"/>
      <c r="J133" s="45" t="n"/>
      <c r="K133" s="45" t="n"/>
      <c r="L133" s="46" t="n"/>
      <c r="M133" s="45" t="n"/>
      <c r="N133" s="46" t="n"/>
      <c r="O133" s="45" t="n"/>
      <c r="P133" s="45" t="n"/>
      <c r="Q133" s="45" t="n"/>
      <c r="R133" s="45" t="n"/>
      <c r="S133" s="45" t="n"/>
      <c r="T133" s="45" t="n"/>
      <c r="U133" s="45" t="n"/>
      <c r="V133" s="46" t="n"/>
      <c r="W133" s="41" t="n"/>
      <c r="X133" s="46" t="n"/>
      <c r="Y133" s="42" t="n"/>
      <c r="Z133" s="43" t="n"/>
      <c r="AA133" s="41" t="n"/>
      <c r="AB133" s="47">
        <f>CALCULO!CT133</f>
      </c>
      <c r="AC133" s="48">
        <f>CALCULO!CD133</f>
      </c>
    </row>
    <row r="134">
      <c r="A134" s="40">
        <f>IF(B134="","",ROW()-5)</f>
      </c>
      <c r="B134" s="41" t="n"/>
      <c r="C134" s="42" t="n"/>
      <c r="D134" s="43" t="n"/>
      <c r="E134" s="43" t="n"/>
      <c r="F134" s="44" t="n"/>
      <c r="G134" s="44" t="n"/>
      <c r="H134" s="44" t="n"/>
      <c r="I134" s="44" t="n"/>
      <c r="J134" s="45" t="n"/>
      <c r="K134" s="45" t="n"/>
      <c r="L134" s="46" t="n"/>
      <c r="M134" s="45" t="n"/>
      <c r="N134" s="46" t="n"/>
      <c r="O134" s="45" t="n"/>
      <c r="P134" s="45" t="n"/>
      <c r="Q134" s="45" t="n"/>
      <c r="R134" s="45" t="n"/>
      <c r="S134" s="45" t="n"/>
      <c r="T134" s="45" t="n"/>
      <c r="U134" s="45" t="n"/>
      <c r="V134" s="46" t="n"/>
      <c r="W134" s="41" t="n"/>
      <c r="X134" s="46" t="n"/>
      <c r="Y134" s="42" t="n"/>
      <c r="Z134" s="43" t="n"/>
      <c r="AA134" s="41" t="n"/>
      <c r="AB134" s="47">
        <f>CALCULO!CT134</f>
      </c>
      <c r="AC134" s="48">
        <f>CALCULO!CD134</f>
      </c>
    </row>
    <row r="135">
      <c r="A135" s="40">
        <f>IF(B135="","",ROW()-5)</f>
      </c>
      <c r="B135" s="41" t="n"/>
      <c r="C135" s="42" t="n"/>
      <c r="D135" s="43" t="n"/>
      <c r="E135" s="43" t="n"/>
      <c r="F135" s="44" t="n"/>
      <c r="G135" s="44" t="n"/>
      <c r="H135" s="44" t="n"/>
      <c r="I135" s="44" t="n"/>
      <c r="J135" s="45" t="n"/>
      <c r="K135" s="45" t="n"/>
      <c r="L135" s="46" t="n"/>
      <c r="M135" s="45" t="n"/>
      <c r="N135" s="46" t="n"/>
      <c r="O135" s="45" t="n"/>
      <c r="P135" s="45" t="n"/>
      <c r="Q135" s="45" t="n"/>
      <c r="R135" s="45" t="n"/>
      <c r="S135" s="45" t="n"/>
      <c r="T135" s="45" t="n"/>
      <c r="U135" s="45" t="n"/>
      <c r="V135" s="46" t="n"/>
      <c r="W135" s="41" t="n"/>
      <c r="X135" s="46" t="n"/>
      <c r="Y135" s="42" t="n"/>
      <c r="Z135" s="43" t="n"/>
      <c r="AA135" s="41" t="n"/>
      <c r="AB135" s="47">
        <f>CALCULO!CT135</f>
      </c>
      <c r="AC135" s="48">
        <f>CALCULO!CD135</f>
      </c>
    </row>
    <row r="136">
      <c r="A136" s="40">
        <f>IF(B136="","",ROW()-5)</f>
      </c>
      <c r="B136" s="41" t="n"/>
      <c r="C136" s="42" t="n"/>
      <c r="D136" s="43" t="n"/>
      <c r="E136" s="43" t="n"/>
      <c r="F136" s="44" t="n"/>
      <c r="G136" s="44" t="n"/>
      <c r="H136" s="44" t="n"/>
      <c r="I136" s="44" t="n"/>
      <c r="J136" s="45" t="n"/>
      <c r="K136" s="45" t="n"/>
      <c r="L136" s="46" t="n"/>
      <c r="M136" s="45" t="n"/>
      <c r="N136" s="46" t="n"/>
      <c r="O136" s="45" t="n"/>
      <c r="P136" s="45" t="n"/>
      <c r="Q136" s="45" t="n"/>
      <c r="R136" s="45" t="n"/>
      <c r="S136" s="45" t="n"/>
      <c r="T136" s="45" t="n"/>
      <c r="U136" s="45" t="n"/>
      <c r="V136" s="46" t="n"/>
      <c r="W136" s="41" t="n"/>
      <c r="X136" s="46" t="n"/>
      <c r="Y136" s="42" t="n"/>
      <c r="Z136" s="43" t="n"/>
      <c r="AA136" s="41" t="n"/>
      <c r="AB136" s="47">
        <f>CALCULO!CT136</f>
      </c>
      <c r="AC136" s="48">
        <f>CALCULO!CD136</f>
      </c>
    </row>
    <row r="137">
      <c r="A137" s="40">
        <f>IF(B137="","",ROW()-5)</f>
      </c>
      <c r="B137" s="41" t="n"/>
      <c r="C137" s="42" t="n"/>
      <c r="D137" s="43" t="n"/>
      <c r="E137" s="43" t="n"/>
      <c r="F137" s="44" t="n"/>
      <c r="G137" s="44" t="n"/>
      <c r="H137" s="44" t="n"/>
      <c r="I137" s="44" t="n"/>
      <c r="J137" s="45" t="n"/>
      <c r="K137" s="45" t="n"/>
      <c r="L137" s="46" t="n"/>
      <c r="M137" s="45" t="n"/>
      <c r="N137" s="46" t="n"/>
      <c r="O137" s="45" t="n"/>
      <c r="P137" s="45" t="n"/>
      <c r="Q137" s="45" t="n"/>
      <c r="R137" s="45" t="n"/>
      <c r="S137" s="45" t="n"/>
      <c r="T137" s="45" t="n"/>
      <c r="U137" s="45" t="n"/>
      <c r="V137" s="46" t="n"/>
      <c r="W137" s="41" t="n"/>
      <c r="X137" s="46" t="n"/>
      <c r="Y137" s="42" t="n"/>
      <c r="Z137" s="43" t="n"/>
      <c r="AA137" s="41" t="n"/>
      <c r="AB137" s="47">
        <f>CALCULO!CT137</f>
      </c>
      <c r="AC137" s="48">
        <f>CALCULO!CD137</f>
      </c>
    </row>
    <row r="138">
      <c r="A138" s="40">
        <f>IF(B138="","",ROW()-5)</f>
      </c>
      <c r="B138" s="41" t="n"/>
      <c r="C138" s="42" t="n"/>
      <c r="D138" s="43" t="n"/>
      <c r="E138" s="43" t="n"/>
      <c r="F138" s="44" t="n"/>
      <c r="G138" s="44" t="n"/>
      <c r="H138" s="44" t="n"/>
      <c r="I138" s="44" t="n"/>
      <c r="J138" s="45" t="n"/>
      <c r="K138" s="45" t="n"/>
      <c r="L138" s="46" t="n"/>
      <c r="M138" s="45" t="n"/>
      <c r="N138" s="46" t="n"/>
      <c r="O138" s="45" t="n"/>
      <c r="P138" s="45" t="n"/>
      <c r="Q138" s="45" t="n"/>
      <c r="R138" s="45" t="n"/>
      <c r="S138" s="45" t="n"/>
      <c r="T138" s="45" t="n"/>
      <c r="U138" s="45" t="n"/>
      <c r="V138" s="46" t="n"/>
      <c r="W138" s="41" t="n"/>
      <c r="X138" s="46" t="n"/>
      <c r="Y138" s="42" t="n"/>
      <c r="Z138" s="43" t="n"/>
      <c r="AA138" s="41" t="n"/>
      <c r="AB138" s="47">
        <f>CALCULO!CT138</f>
      </c>
      <c r="AC138" s="48">
        <f>CALCULO!CD138</f>
      </c>
    </row>
    <row r="139">
      <c r="A139" s="40">
        <f>IF(B139="","",ROW()-5)</f>
      </c>
      <c r="B139" s="41" t="n"/>
      <c r="C139" s="42" t="n"/>
      <c r="D139" s="43" t="n"/>
      <c r="E139" s="43" t="n"/>
      <c r="F139" s="44" t="n"/>
      <c r="G139" s="44" t="n"/>
      <c r="H139" s="44" t="n"/>
      <c r="I139" s="44" t="n"/>
      <c r="J139" s="45" t="n"/>
      <c r="K139" s="45" t="n"/>
      <c r="L139" s="46" t="n"/>
      <c r="M139" s="45" t="n"/>
      <c r="N139" s="46" t="n"/>
      <c r="O139" s="45" t="n"/>
      <c r="P139" s="45" t="n"/>
      <c r="Q139" s="45" t="n"/>
      <c r="R139" s="45" t="n"/>
      <c r="S139" s="45" t="n"/>
      <c r="T139" s="45" t="n"/>
      <c r="U139" s="45" t="n"/>
      <c r="V139" s="46" t="n"/>
      <c r="W139" s="41" t="n"/>
      <c r="X139" s="46" t="n"/>
      <c r="Y139" s="42" t="n"/>
      <c r="Z139" s="43" t="n"/>
      <c r="AA139" s="41" t="n"/>
      <c r="AB139" s="47">
        <f>CALCULO!CT139</f>
      </c>
      <c r="AC139" s="48">
        <f>CALCULO!CD139</f>
      </c>
    </row>
    <row r="140">
      <c r="A140" s="40">
        <f>IF(B140="","",ROW()-5)</f>
      </c>
      <c r="B140" s="41" t="n"/>
      <c r="C140" s="42" t="n"/>
      <c r="D140" s="43" t="n"/>
      <c r="E140" s="43" t="n"/>
      <c r="F140" s="44" t="n"/>
      <c r="G140" s="44" t="n"/>
      <c r="H140" s="44" t="n"/>
      <c r="I140" s="44" t="n"/>
      <c r="J140" s="45" t="n"/>
      <c r="K140" s="45" t="n"/>
      <c r="L140" s="46" t="n"/>
      <c r="M140" s="45" t="n"/>
      <c r="N140" s="46" t="n"/>
      <c r="O140" s="45" t="n"/>
      <c r="P140" s="45" t="n"/>
      <c r="Q140" s="45" t="n"/>
      <c r="R140" s="45" t="n"/>
      <c r="S140" s="45" t="n"/>
      <c r="T140" s="45" t="n"/>
      <c r="U140" s="45" t="n"/>
      <c r="V140" s="46" t="n"/>
      <c r="W140" s="41" t="n"/>
      <c r="X140" s="46" t="n"/>
      <c r="Y140" s="42" t="n"/>
      <c r="Z140" s="43" t="n"/>
      <c r="AA140" s="41" t="n"/>
      <c r="AB140" s="47">
        <f>CALCULO!CT140</f>
      </c>
      <c r="AC140" s="48">
        <f>CALCULO!CD140</f>
      </c>
    </row>
    <row r="141">
      <c r="A141" s="40">
        <f>IF(B141="","",ROW()-5)</f>
      </c>
      <c r="B141" s="41" t="n"/>
      <c r="C141" s="42" t="n"/>
      <c r="D141" s="43" t="n"/>
      <c r="E141" s="43" t="n"/>
      <c r="F141" s="44" t="n"/>
      <c r="G141" s="44" t="n"/>
      <c r="H141" s="44" t="n"/>
      <c r="I141" s="44" t="n"/>
      <c r="J141" s="45" t="n"/>
      <c r="K141" s="45" t="n"/>
      <c r="L141" s="46" t="n"/>
      <c r="M141" s="45" t="n"/>
      <c r="N141" s="46" t="n"/>
      <c r="O141" s="45" t="n"/>
      <c r="P141" s="45" t="n"/>
      <c r="Q141" s="45" t="n"/>
      <c r="R141" s="45" t="n"/>
      <c r="S141" s="45" t="n"/>
      <c r="T141" s="45" t="n"/>
      <c r="U141" s="45" t="n"/>
      <c r="V141" s="46" t="n"/>
      <c r="W141" s="41" t="n"/>
      <c r="X141" s="46" t="n"/>
      <c r="Y141" s="42" t="n"/>
      <c r="Z141" s="43" t="n"/>
      <c r="AA141" s="41" t="n"/>
      <c r="AB141" s="47">
        <f>CALCULO!CT141</f>
      </c>
      <c r="AC141" s="48">
        <f>CALCULO!CD141</f>
      </c>
    </row>
    <row r="142">
      <c r="A142" s="40">
        <f>IF(B142="","",ROW()-5)</f>
      </c>
      <c r="B142" s="41" t="n"/>
      <c r="C142" s="42" t="n"/>
      <c r="D142" s="43" t="n"/>
      <c r="E142" s="43" t="n"/>
      <c r="F142" s="44" t="n"/>
      <c r="G142" s="44" t="n"/>
      <c r="H142" s="44" t="n"/>
      <c r="I142" s="44" t="n"/>
      <c r="J142" s="45" t="n"/>
      <c r="K142" s="45" t="n"/>
      <c r="L142" s="46" t="n"/>
      <c r="M142" s="45" t="n"/>
      <c r="N142" s="46" t="n"/>
      <c r="O142" s="45" t="n"/>
      <c r="P142" s="45" t="n"/>
      <c r="Q142" s="45" t="n"/>
      <c r="R142" s="45" t="n"/>
      <c r="S142" s="45" t="n"/>
      <c r="T142" s="45" t="n"/>
      <c r="U142" s="45" t="n"/>
      <c r="V142" s="46" t="n"/>
      <c r="W142" s="41" t="n"/>
      <c r="X142" s="46" t="n"/>
      <c r="Y142" s="42" t="n"/>
      <c r="Z142" s="43" t="n"/>
      <c r="AA142" s="41" t="n"/>
      <c r="AB142" s="47">
        <f>CALCULO!CT142</f>
      </c>
      <c r="AC142" s="48">
        <f>CALCULO!CD142</f>
      </c>
    </row>
    <row r="143">
      <c r="A143" s="40">
        <f>IF(B143="","",ROW()-5)</f>
      </c>
      <c r="B143" s="41" t="n"/>
      <c r="C143" s="42" t="n"/>
      <c r="D143" s="43" t="n"/>
      <c r="E143" s="43" t="n"/>
      <c r="F143" s="44" t="n"/>
      <c r="G143" s="44" t="n"/>
      <c r="H143" s="44" t="n"/>
      <c r="I143" s="44" t="n"/>
      <c r="J143" s="45" t="n"/>
      <c r="K143" s="45" t="n"/>
      <c r="L143" s="46" t="n"/>
      <c r="M143" s="45" t="n"/>
      <c r="N143" s="46" t="n"/>
      <c r="O143" s="45" t="n"/>
      <c r="P143" s="45" t="n"/>
      <c r="Q143" s="45" t="n"/>
      <c r="R143" s="45" t="n"/>
      <c r="S143" s="45" t="n"/>
      <c r="T143" s="45" t="n"/>
      <c r="U143" s="45" t="n"/>
      <c r="V143" s="46" t="n"/>
      <c r="W143" s="41" t="n"/>
      <c r="X143" s="46" t="n"/>
      <c r="Y143" s="42" t="n"/>
      <c r="Z143" s="43" t="n"/>
      <c r="AA143" s="41" t="n"/>
      <c r="AB143" s="47">
        <f>CALCULO!CT143</f>
      </c>
      <c r="AC143" s="48">
        <f>CALCULO!CD143</f>
      </c>
    </row>
    <row r="144">
      <c r="A144" s="40">
        <f>IF(B144="","",ROW()-5)</f>
      </c>
      <c r="B144" s="41" t="n"/>
      <c r="C144" s="42" t="n"/>
      <c r="D144" s="43" t="n"/>
      <c r="E144" s="43" t="n"/>
      <c r="F144" s="44" t="n"/>
      <c r="G144" s="44" t="n"/>
      <c r="H144" s="44" t="n"/>
      <c r="I144" s="44" t="n"/>
      <c r="J144" s="45" t="n"/>
      <c r="K144" s="45" t="n"/>
      <c r="L144" s="46" t="n"/>
      <c r="M144" s="45" t="n"/>
      <c r="N144" s="46" t="n"/>
      <c r="O144" s="45" t="n"/>
      <c r="P144" s="45" t="n"/>
      <c r="Q144" s="45" t="n"/>
      <c r="R144" s="45" t="n"/>
      <c r="S144" s="45" t="n"/>
      <c r="T144" s="45" t="n"/>
      <c r="U144" s="45" t="n"/>
      <c r="V144" s="46" t="n"/>
      <c r="W144" s="41" t="n"/>
      <c r="X144" s="46" t="n"/>
      <c r="Y144" s="42" t="n"/>
      <c r="Z144" s="43" t="n"/>
      <c r="AA144" s="41" t="n"/>
      <c r="AB144" s="47">
        <f>CALCULO!CT144</f>
      </c>
      <c r="AC144" s="48">
        <f>CALCULO!CD144</f>
      </c>
    </row>
    <row r="145">
      <c r="A145" s="40">
        <f>IF(B145="","",ROW()-5)</f>
      </c>
      <c r="B145" s="41" t="n"/>
      <c r="C145" s="42" t="n"/>
      <c r="D145" s="43" t="n"/>
      <c r="E145" s="43" t="n"/>
      <c r="F145" s="44" t="n"/>
      <c r="G145" s="44" t="n"/>
      <c r="H145" s="44" t="n"/>
      <c r="I145" s="44" t="n"/>
      <c r="J145" s="45" t="n"/>
      <c r="K145" s="45" t="n"/>
      <c r="L145" s="46" t="n"/>
      <c r="M145" s="45" t="n"/>
      <c r="N145" s="46" t="n"/>
      <c r="O145" s="45" t="n"/>
      <c r="P145" s="45" t="n"/>
      <c r="Q145" s="45" t="n"/>
      <c r="R145" s="45" t="n"/>
      <c r="S145" s="45" t="n"/>
      <c r="T145" s="45" t="n"/>
      <c r="U145" s="45" t="n"/>
      <c r="V145" s="46" t="n"/>
      <c r="W145" s="41" t="n"/>
      <c r="X145" s="46" t="n"/>
      <c r="Y145" s="42" t="n"/>
      <c r="Z145" s="43" t="n"/>
      <c r="AA145" s="41" t="n"/>
      <c r="AB145" s="47">
        <f>CALCULO!CT145</f>
      </c>
      <c r="AC145" s="48">
        <f>CALCULO!CD145</f>
      </c>
    </row>
    <row r="146">
      <c r="A146" s="40">
        <f>IF(B146="","",ROW()-5)</f>
      </c>
      <c r="B146" s="41" t="n"/>
      <c r="C146" s="42" t="n"/>
      <c r="D146" s="43" t="n"/>
      <c r="E146" s="43" t="n"/>
      <c r="F146" s="44" t="n"/>
      <c r="G146" s="44" t="n"/>
      <c r="H146" s="44" t="n"/>
      <c r="I146" s="44" t="n"/>
      <c r="J146" s="45" t="n"/>
      <c r="K146" s="45" t="n"/>
      <c r="L146" s="46" t="n"/>
      <c r="M146" s="45" t="n"/>
      <c r="N146" s="46" t="n"/>
      <c r="O146" s="45" t="n"/>
      <c r="P146" s="45" t="n"/>
      <c r="Q146" s="45" t="n"/>
      <c r="R146" s="45" t="n"/>
      <c r="S146" s="45" t="n"/>
      <c r="T146" s="45" t="n"/>
      <c r="U146" s="45" t="n"/>
      <c r="V146" s="46" t="n"/>
      <c r="W146" s="41" t="n"/>
      <c r="X146" s="46" t="n"/>
      <c r="Y146" s="42" t="n"/>
      <c r="Z146" s="43" t="n"/>
      <c r="AA146" s="41" t="n"/>
      <c r="AB146" s="47">
        <f>CALCULO!CT146</f>
      </c>
      <c r="AC146" s="48">
        <f>CALCULO!CD146</f>
      </c>
    </row>
    <row r="147">
      <c r="A147" s="40">
        <f>IF(B147="","",ROW()-5)</f>
      </c>
      <c r="B147" s="41" t="n"/>
      <c r="C147" s="42" t="n"/>
      <c r="D147" s="43" t="n"/>
      <c r="E147" s="43" t="n"/>
      <c r="F147" s="44" t="n"/>
      <c r="G147" s="44" t="n"/>
      <c r="H147" s="44" t="n"/>
      <c r="I147" s="44" t="n"/>
      <c r="J147" s="45" t="n"/>
      <c r="K147" s="45" t="n"/>
      <c r="L147" s="46" t="n"/>
      <c r="M147" s="45" t="n"/>
      <c r="N147" s="46" t="n"/>
      <c r="O147" s="45" t="n"/>
      <c r="P147" s="45" t="n"/>
      <c r="Q147" s="45" t="n"/>
      <c r="R147" s="45" t="n"/>
      <c r="S147" s="45" t="n"/>
      <c r="T147" s="45" t="n"/>
      <c r="U147" s="45" t="n"/>
      <c r="V147" s="46" t="n"/>
      <c r="W147" s="41" t="n"/>
      <c r="X147" s="46" t="n"/>
      <c r="Y147" s="42" t="n"/>
      <c r="Z147" s="43" t="n"/>
      <c r="AA147" s="41" t="n"/>
      <c r="AB147" s="47">
        <f>CALCULO!CT147</f>
      </c>
      <c r="AC147" s="48">
        <f>CALCULO!CD147</f>
      </c>
    </row>
    <row r="148">
      <c r="A148" s="40">
        <f>IF(B148="","",ROW()-5)</f>
      </c>
      <c r="B148" s="41" t="n"/>
      <c r="C148" s="42" t="n"/>
      <c r="D148" s="43" t="n"/>
      <c r="E148" s="43" t="n"/>
      <c r="F148" s="44" t="n"/>
      <c r="G148" s="44" t="n"/>
      <c r="H148" s="44" t="n"/>
      <c r="I148" s="44" t="n"/>
      <c r="J148" s="45" t="n"/>
      <c r="K148" s="45" t="n"/>
      <c r="L148" s="46" t="n"/>
      <c r="M148" s="45" t="n"/>
      <c r="N148" s="46" t="n"/>
      <c r="O148" s="45" t="n"/>
      <c r="P148" s="45" t="n"/>
      <c r="Q148" s="45" t="n"/>
      <c r="R148" s="45" t="n"/>
      <c r="S148" s="45" t="n"/>
      <c r="T148" s="45" t="n"/>
      <c r="U148" s="45" t="n"/>
      <c r="V148" s="46" t="n"/>
      <c r="W148" s="41" t="n"/>
      <c r="X148" s="46" t="n"/>
      <c r="Y148" s="42" t="n"/>
      <c r="Z148" s="43" t="n"/>
      <c r="AA148" s="41" t="n"/>
      <c r="AB148" s="47">
        <f>CALCULO!CT148</f>
      </c>
      <c r="AC148" s="48">
        <f>CALCULO!CD148</f>
      </c>
    </row>
    <row r="149">
      <c r="A149" s="40">
        <f>IF(B149="","",ROW()-5)</f>
      </c>
      <c r="B149" s="41" t="n"/>
      <c r="C149" s="42" t="n"/>
      <c r="D149" s="43" t="n"/>
      <c r="E149" s="43" t="n"/>
      <c r="F149" s="44" t="n"/>
      <c r="G149" s="44" t="n"/>
      <c r="H149" s="44" t="n"/>
      <c r="I149" s="44" t="n"/>
      <c r="J149" s="45" t="n"/>
      <c r="K149" s="45" t="n"/>
      <c r="L149" s="46" t="n"/>
      <c r="M149" s="45" t="n"/>
      <c r="N149" s="46" t="n"/>
      <c r="O149" s="45" t="n"/>
      <c r="P149" s="45" t="n"/>
      <c r="Q149" s="45" t="n"/>
      <c r="R149" s="45" t="n"/>
      <c r="S149" s="45" t="n"/>
      <c r="T149" s="45" t="n"/>
      <c r="U149" s="45" t="n"/>
      <c r="V149" s="46" t="n"/>
      <c r="W149" s="41" t="n"/>
      <c r="X149" s="46" t="n"/>
      <c r="Y149" s="42" t="n"/>
      <c r="Z149" s="43" t="n"/>
      <c r="AA149" s="41" t="n"/>
      <c r="AB149" s="47">
        <f>CALCULO!CT149</f>
      </c>
      <c r="AC149" s="48">
        <f>CALCULO!CD149</f>
      </c>
    </row>
    <row r="150">
      <c r="A150" s="40">
        <f>IF(B150="","",ROW()-5)</f>
      </c>
      <c r="B150" s="41" t="n"/>
      <c r="C150" s="42" t="n"/>
      <c r="D150" s="43" t="n"/>
      <c r="E150" s="43" t="n"/>
      <c r="F150" s="44" t="n"/>
      <c r="G150" s="44" t="n"/>
      <c r="H150" s="44" t="n"/>
      <c r="I150" s="44" t="n"/>
      <c r="J150" s="45" t="n"/>
      <c r="K150" s="45" t="n"/>
      <c r="L150" s="46" t="n"/>
      <c r="M150" s="45" t="n"/>
      <c r="N150" s="46" t="n"/>
      <c r="O150" s="45" t="n"/>
      <c r="P150" s="45" t="n"/>
      <c r="Q150" s="45" t="n"/>
      <c r="R150" s="45" t="n"/>
      <c r="S150" s="45" t="n"/>
      <c r="T150" s="45" t="n"/>
      <c r="U150" s="45" t="n"/>
      <c r="V150" s="46" t="n"/>
      <c r="W150" s="41" t="n"/>
      <c r="X150" s="46" t="n"/>
      <c r="Y150" s="42" t="n"/>
      <c r="Z150" s="43" t="n"/>
      <c r="AA150" s="41" t="n"/>
      <c r="AB150" s="47">
        <f>CALCULO!CT150</f>
      </c>
      <c r="AC150" s="48">
        <f>CALCULO!CD150</f>
      </c>
    </row>
    <row r="151">
      <c r="A151" s="40">
        <f>IF(B151="","",ROW()-5)</f>
      </c>
      <c r="B151" s="41" t="n"/>
      <c r="C151" s="42" t="n"/>
      <c r="D151" s="43" t="n"/>
      <c r="E151" s="43" t="n"/>
      <c r="F151" s="44" t="n"/>
      <c r="G151" s="44" t="n"/>
      <c r="H151" s="44" t="n"/>
      <c r="I151" s="44" t="n"/>
      <c r="J151" s="45" t="n"/>
      <c r="K151" s="45" t="n"/>
      <c r="L151" s="46" t="n"/>
      <c r="M151" s="45" t="n"/>
      <c r="N151" s="46" t="n"/>
      <c r="O151" s="45" t="n"/>
      <c r="P151" s="45" t="n"/>
      <c r="Q151" s="45" t="n"/>
      <c r="R151" s="45" t="n"/>
      <c r="S151" s="45" t="n"/>
      <c r="T151" s="45" t="n"/>
      <c r="U151" s="45" t="n"/>
      <c r="V151" s="46" t="n"/>
      <c r="W151" s="41" t="n"/>
      <c r="X151" s="46" t="n"/>
      <c r="Y151" s="42" t="n"/>
      <c r="Z151" s="43" t="n"/>
      <c r="AA151" s="41" t="n"/>
      <c r="AB151" s="47">
        <f>CALCULO!CT151</f>
      </c>
      <c r="AC151" s="48">
        <f>CALCULO!CD151</f>
      </c>
    </row>
    <row r="152">
      <c r="A152" s="40">
        <f>IF(B152="","",ROW()-5)</f>
      </c>
      <c r="B152" s="41" t="n"/>
      <c r="C152" s="42" t="n"/>
      <c r="D152" s="43" t="n"/>
      <c r="E152" s="43" t="n"/>
      <c r="F152" s="44" t="n"/>
      <c r="G152" s="44" t="n"/>
      <c r="H152" s="44" t="n"/>
      <c r="I152" s="44" t="n"/>
      <c r="J152" s="45" t="n"/>
      <c r="K152" s="45" t="n"/>
      <c r="L152" s="46" t="n"/>
      <c r="M152" s="45" t="n"/>
      <c r="N152" s="46" t="n"/>
      <c r="O152" s="45" t="n"/>
      <c r="P152" s="45" t="n"/>
      <c r="Q152" s="45" t="n"/>
      <c r="R152" s="45" t="n"/>
      <c r="S152" s="45" t="n"/>
      <c r="T152" s="45" t="n"/>
      <c r="U152" s="45" t="n"/>
      <c r="V152" s="46" t="n"/>
      <c r="W152" s="41" t="n"/>
      <c r="X152" s="46" t="n"/>
      <c r="Y152" s="42" t="n"/>
      <c r="Z152" s="43" t="n"/>
      <c r="AA152" s="41" t="n"/>
      <c r="AB152" s="47">
        <f>CALCULO!CT152</f>
      </c>
      <c r="AC152" s="48">
        <f>CALCULO!CD152</f>
      </c>
    </row>
    <row r="153">
      <c r="A153" s="40">
        <f>IF(B153="","",ROW()-5)</f>
      </c>
      <c r="B153" s="41" t="n"/>
      <c r="C153" s="42" t="n"/>
      <c r="D153" s="43" t="n"/>
      <c r="E153" s="43" t="n"/>
      <c r="F153" s="44" t="n"/>
      <c r="G153" s="44" t="n"/>
      <c r="H153" s="44" t="n"/>
      <c r="I153" s="44" t="n"/>
      <c r="J153" s="45" t="n"/>
      <c r="K153" s="45" t="n"/>
      <c r="L153" s="46" t="n"/>
      <c r="M153" s="45" t="n"/>
      <c r="N153" s="46" t="n"/>
      <c r="O153" s="45" t="n"/>
      <c r="P153" s="45" t="n"/>
      <c r="Q153" s="45" t="n"/>
      <c r="R153" s="45" t="n"/>
      <c r="S153" s="45" t="n"/>
      <c r="T153" s="45" t="n"/>
      <c r="U153" s="45" t="n"/>
      <c r="V153" s="46" t="n"/>
      <c r="W153" s="41" t="n"/>
      <c r="X153" s="46" t="n"/>
      <c r="Y153" s="42" t="n"/>
      <c r="Z153" s="43" t="n"/>
      <c r="AA153" s="41" t="n"/>
      <c r="AB153" s="47">
        <f>CALCULO!CT153</f>
      </c>
      <c r="AC153" s="48">
        <f>CALCULO!CD153</f>
      </c>
    </row>
    <row r="154">
      <c r="A154" s="40">
        <f>IF(B154="","",ROW()-5)</f>
      </c>
      <c r="B154" s="41" t="n"/>
      <c r="C154" s="42" t="n"/>
      <c r="D154" s="43" t="n"/>
      <c r="E154" s="43" t="n"/>
      <c r="F154" s="44" t="n"/>
      <c r="G154" s="44" t="n"/>
      <c r="H154" s="44" t="n"/>
      <c r="I154" s="44" t="n"/>
      <c r="J154" s="45" t="n"/>
      <c r="K154" s="45" t="n"/>
      <c r="L154" s="46" t="n"/>
      <c r="M154" s="45" t="n"/>
      <c r="N154" s="46" t="n"/>
      <c r="O154" s="45" t="n"/>
      <c r="P154" s="45" t="n"/>
      <c r="Q154" s="45" t="n"/>
      <c r="R154" s="45" t="n"/>
      <c r="S154" s="45" t="n"/>
      <c r="T154" s="45" t="n"/>
      <c r="U154" s="45" t="n"/>
      <c r="V154" s="46" t="n"/>
      <c r="W154" s="41" t="n"/>
      <c r="X154" s="46" t="n"/>
      <c r="Y154" s="42" t="n"/>
      <c r="Z154" s="43" t="n"/>
      <c r="AA154" s="41" t="n"/>
      <c r="AB154" s="47">
        <f>CALCULO!CT154</f>
      </c>
      <c r="AC154" s="48">
        <f>CALCULO!CD154</f>
      </c>
    </row>
    <row r="155">
      <c r="A155" s="40">
        <f>IF(B155="","",ROW()-5)</f>
      </c>
      <c r="B155" s="41" t="n"/>
      <c r="C155" s="42" t="n"/>
      <c r="D155" s="43" t="n"/>
      <c r="E155" s="43" t="n"/>
      <c r="F155" s="44" t="n"/>
      <c r="G155" s="44" t="n"/>
      <c r="H155" s="44" t="n"/>
      <c r="I155" s="44" t="n"/>
      <c r="J155" s="45" t="n"/>
      <c r="K155" s="45" t="n"/>
      <c r="L155" s="46" t="n"/>
      <c r="M155" s="45" t="n"/>
      <c r="N155" s="46" t="n"/>
      <c r="O155" s="45" t="n"/>
      <c r="P155" s="45" t="n"/>
      <c r="Q155" s="45" t="n"/>
      <c r="R155" s="45" t="n"/>
      <c r="S155" s="45" t="n"/>
      <c r="T155" s="45" t="n"/>
      <c r="U155" s="45" t="n"/>
      <c r="V155" s="46" t="n"/>
      <c r="W155" s="41" t="n"/>
      <c r="X155" s="46" t="n"/>
      <c r="Y155" s="42" t="n"/>
      <c r="Z155" s="43" t="n"/>
      <c r="AA155" s="41" t="n"/>
      <c r="AB155" s="47">
        <f>CALCULO!CT155</f>
      </c>
      <c r="AC155" s="48">
        <f>CALCULO!CD155</f>
      </c>
    </row>
    <row r="156">
      <c r="A156" s="40">
        <f>IF(B156="","",ROW()-5)</f>
      </c>
      <c r="B156" s="41" t="n"/>
      <c r="C156" s="42" t="n"/>
      <c r="D156" s="43" t="n"/>
      <c r="E156" s="43" t="n"/>
      <c r="F156" s="44" t="n"/>
      <c r="G156" s="44" t="n"/>
      <c r="H156" s="44" t="n"/>
      <c r="I156" s="44" t="n"/>
      <c r="J156" s="45" t="n"/>
      <c r="K156" s="45" t="n"/>
      <c r="L156" s="46" t="n"/>
      <c r="M156" s="45" t="n"/>
      <c r="N156" s="46" t="n"/>
      <c r="O156" s="45" t="n"/>
      <c r="P156" s="45" t="n"/>
      <c r="Q156" s="45" t="n"/>
      <c r="R156" s="45" t="n"/>
      <c r="S156" s="45" t="n"/>
      <c r="T156" s="45" t="n"/>
      <c r="U156" s="45" t="n"/>
      <c r="V156" s="46" t="n"/>
      <c r="W156" s="41" t="n"/>
      <c r="X156" s="46" t="n"/>
      <c r="Y156" s="42" t="n"/>
      <c r="Z156" s="43" t="n"/>
      <c r="AA156" s="41" t="n"/>
      <c r="AB156" s="47">
        <f>CALCULO!CT156</f>
      </c>
      <c r="AC156" s="48">
        <f>CALCULO!CD156</f>
      </c>
    </row>
    <row r="157">
      <c r="A157" s="40">
        <f>IF(B157="","",ROW()-5)</f>
      </c>
      <c r="B157" s="41" t="n"/>
      <c r="C157" s="42" t="n"/>
      <c r="D157" s="43" t="n"/>
      <c r="E157" s="43" t="n"/>
      <c r="F157" s="44" t="n"/>
      <c r="G157" s="44" t="n"/>
      <c r="H157" s="44" t="n"/>
      <c r="I157" s="44" t="n"/>
      <c r="J157" s="45" t="n"/>
      <c r="K157" s="45" t="n"/>
      <c r="L157" s="46" t="n"/>
      <c r="M157" s="45" t="n"/>
      <c r="N157" s="46" t="n"/>
      <c r="O157" s="45" t="n"/>
      <c r="P157" s="45" t="n"/>
      <c r="Q157" s="45" t="n"/>
      <c r="R157" s="45" t="n"/>
      <c r="S157" s="45" t="n"/>
      <c r="T157" s="45" t="n"/>
      <c r="U157" s="45" t="n"/>
      <c r="V157" s="46" t="n"/>
      <c r="W157" s="41" t="n"/>
      <c r="X157" s="46" t="n"/>
      <c r="Y157" s="42" t="n"/>
      <c r="Z157" s="43" t="n"/>
      <c r="AA157" s="41" t="n"/>
      <c r="AB157" s="47">
        <f>CALCULO!CT157</f>
      </c>
      <c r="AC157" s="48">
        <f>CALCULO!CD157</f>
      </c>
    </row>
    <row r="158">
      <c r="A158" s="40">
        <f>IF(B158="","",ROW()-5)</f>
      </c>
      <c r="B158" s="41" t="n"/>
      <c r="C158" s="42" t="n"/>
      <c r="D158" s="43" t="n"/>
      <c r="E158" s="43" t="n"/>
      <c r="F158" s="44" t="n"/>
      <c r="G158" s="44" t="n"/>
      <c r="H158" s="44" t="n"/>
      <c r="I158" s="44" t="n"/>
      <c r="J158" s="45" t="n"/>
      <c r="K158" s="45" t="n"/>
      <c r="L158" s="46" t="n"/>
      <c r="M158" s="45" t="n"/>
      <c r="N158" s="46" t="n"/>
      <c r="O158" s="45" t="n"/>
      <c r="P158" s="45" t="n"/>
      <c r="Q158" s="45" t="n"/>
      <c r="R158" s="45" t="n"/>
      <c r="S158" s="45" t="n"/>
      <c r="T158" s="45" t="n"/>
      <c r="U158" s="45" t="n"/>
      <c r="V158" s="46" t="n"/>
      <c r="W158" s="41" t="n"/>
      <c r="X158" s="46" t="n"/>
      <c r="Y158" s="42" t="n"/>
      <c r="Z158" s="43" t="n"/>
      <c r="AA158" s="41" t="n"/>
      <c r="AB158" s="47">
        <f>CALCULO!CT158</f>
      </c>
      <c r="AC158" s="48">
        <f>CALCULO!CD158</f>
      </c>
    </row>
    <row r="159">
      <c r="A159" s="40">
        <f>IF(B159="","",ROW()-5)</f>
      </c>
      <c r="B159" s="41" t="n"/>
      <c r="C159" s="42" t="n"/>
      <c r="D159" s="43" t="n"/>
      <c r="E159" s="43" t="n"/>
      <c r="F159" s="44" t="n"/>
      <c r="G159" s="44" t="n"/>
      <c r="H159" s="44" t="n"/>
      <c r="I159" s="44" t="n"/>
      <c r="J159" s="45" t="n"/>
      <c r="K159" s="45" t="n"/>
      <c r="L159" s="46" t="n"/>
      <c r="M159" s="45" t="n"/>
      <c r="N159" s="46" t="n"/>
      <c r="O159" s="45" t="n"/>
      <c r="P159" s="45" t="n"/>
      <c r="Q159" s="45" t="n"/>
      <c r="R159" s="45" t="n"/>
      <c r="S159" s="45" t="n"/>
      <c r="T159" s="45" t="n"/>
      <c r="U159" s="45" t="n"/>
      <c r="V159" s="46" t="n"/>
      <c r="W159" s="41" t="n"/>
      <c r="X159" s="46" t="n"/>
      <c r="Y159" s="42" t="n"/>
      <c r="Z159" s="43" t="n"/>
      <c r="AA159" s="41" t="n"/>
      <c r="AB159" s="47">
        <f>CALCULO!CT159</f>
      </c>
      <c r="AC159" s="48">
        <f>CALCULO!CD159</f>
      </c>
    </row>
    <row r="160">
      <c r="A160" s="40">
        <f>IF(B160="","",ROW()-5)</f>
      </c>
      <c r="B160" s="41" t="n"/>
      <c r="C160" s="42" t="n"/>
      <c r="D160" s="43" t="n"/>
      <c r="E160" s="43" t="n"/>
      <c r="F160" s="44" t="n"/>
      <c r="G160" s="44" t="n"/>
      <c r="H160" s="44" t="n"/>
      <c r="I160" s="44" t="n"/>
      <c r="J160" s="45" t="n"/>
      <c r="K160" s="45" t="n"/>
      <c r="L160" s="46" t="n"/>
      <c r="M160" s="45" t="n"/>
      <c r="N160" s="46" t="n"/>
      <c r="O160" s="45" t="n"/>
      <c r="P160" s="45" t="n"/>
      <c r="Q160" s="45" t="n"/>
      <c r="R160" s="45" t="n"/>
      <c r="S160" s="45" t="n"/>
      <c r="T160" s="45" t="n"/>
      <c r="U160" s="45" t="n"/>
      <c r="V160" s="46" t="n"/>
      <c r="W160" s="41" t="n"/>
      <c r="X160" s="46" t="n"/>
      <c r="Y160" s="42" t="n"/>
      <c r="Z160" s="43" t="n"/>
      <c r="AA160" s="41" t="n"/>
      <c r="AB160" s="47">
        <f>CALCULO!CT160</f>
      </c>
      <c r="AC160" s="48">
        <f>CALCULO!CD160</f>
      </c>
    </row>
    <row r="161">
      <c r="A161" s="40">
        <f>IF(B161="","",ROW()-5)</f>
      </c>
      <c r="B161" s="41" t="n"/>
      <c r="C161" s="42" t="n"/>
      <c r="D161" s="43" t="n"/>
      <c r="E161" s="43" t="n"/>
      <c r="F161" s="44" t="n"/>
      <c r="G161" s="44" t="n"/>
      <c r="H161" s="44" t="n"/>
      <c r="I161" s="44" t="n"/>
      <c r="J161" s="45" t="n"/>
      <c r="K161" s="45" t="n"/>
      <c r="L161" s="46" t="n"/>
      <c r="M161" s="45" t="n"/>
      <c r="N161" s="46" t="n"/>
      <c r="O161" s="45" t="n"/>
      <c r="P161" s="45" t="n"/>
      <c r="Q161" s="45" t="n"/>
      <c r="R161" s="45" t="n"/>
      <c r="S161" s="45" t="n"/>
      <c r="T161" s="45" t="n"/>
      <c r="U161" s="45" t="n"/>
      <c r="V161" s="46" t="n"/>
      <c r="W161" s="41" t="n"/>
      <c r="X161" s="46" t="n"/>
      <c r="Y161" s="42" t="n"/>
      <c r="Z161" s="43" t="n"/>
      <c r="AA161" s="41" t="n"/>
      <c r="AB161" s="47">
        <f>CALCULO!CT161</f>
      </c>
      <c r="AC161" s="48">
        <f>CALCULO!CD161</f>
      </c>
    </row>
    <row r="162">
      <c r="A162" s="40">
        <f>IF(B162="","",ROW()-5)</f>
      </c>
      <c r="B162" s="41" t="n"/>
      <c r="C162" s="42" t="n"/>
      <c r="D162" s="43" t="n"/>
      <c r="E162" s="43" t="n"/>
      <c r="F162" s="44" t="n"/>
      <c r="G162" s="44" t="n"/>
      <c r="H162" s="44" t="n"/>
      <c r="I162" s="44" t="n"/>
      <c r="J162" s="45" t="n"/>
      <c r="K162" s="45" t="n"/>
      <c r="L162" s="46" t="n"/>
      <c r="M162" s="45" t="n"/>
      <c r="N162" s="46" t="n"/>
      <c r="O162" s="45" t="n"/>
      <c r="P162" s="45" t="n"/>
      <c r="Q162" s="45" t="n"/>
      <c r="R162" s="45" t="n"/>
      <c r="S162" s="45" t="n"/>
      <c r="T162" s="45" t="n"/>
      <c r="U162" s="45" t="n"/>
      <c r="V162" s="46" t="n"/>
      <c r="W162" s="41" t="n"/>
      <c r="X162" s="46" t="n"/>
      <c r="Y162" s="42" t="n"/>
      <c r="Z162" s="43" t="n"/>
      <c r="AA162" s="41" t="n"/>
      <c r="AB162" s="47">
        <f>CALCULO!CT162</f>
      </c>
      <c r="AC162" s="48">
        <f>CALCULO!CD162</f>
      </c>
    </row>
    <row r="163">
      <c r="A163" s="40">
        <f>IF(B163="","",ROW()-5)</f>
      </c>
      <c r="B163" s="41" t="n"/>
      <c r="C163" s="42" t="n"/>
      <c r="D163" s="43" t="n"/>
      <c r="E163" s="43" t="n"/>
      <c r="F163" s="44" t="n"/>
      <c r="G163" s="44" t="n"/>
      <c r="H163" s="44" t="n"/>
      <c r="I163" s="44" t="n"/>
      <c r="J163" s="45" t="n"/>
      <c r="K163" s="45" t="n"/>
      <c r="L163" s="46" t="n"/>
      <c r="M163" s="45" t="n"/>
      <c r="N163" s="46" t="n"/>
      <c r="O163" s="45" t="n"/>
      <c r="P163" s="45" t="n"/>
      <c r="Q163" s="45" t="n"/>
      <c r="R163" s="45" t="n"/>
      <c r="S163" s="45" t="n"/>
      <c r="T163" s="45" t="n"/>
      <c r="U163" s="45" t="n"/>
      <c r="V163" s="46" t="n"/>
      <c r="W163" s="41" t="n"/>
      <c r="X163" s="46" t="n"/>
      <c r="Y163" s="42" t="n"/>
      <c r="Z163" s="43" t="n"/>
      <c r="AA163" s="41" t="n"/>
      <c r="AB163" s="47">
        <f>CALCULO!CT163</f>
      </c>
      <c r="AC163" s="48">
        <f>CALCULO!CD163</f>
      </c>
    </row>
    <row r="164">
      <c r="A164" s="40">
        <f>IF(B164="","",ROW()-5)</f>
      </c>
      <c r="B164" s="41" t="n"/>
      <c r="C164" s="42" t="n"/>
      <c r="D164" s="43" t="n"/>
      <c r="E164" s="43" t="n"/>
      <c r="F164" s="44" t="n"/>
      <c r="G164" s="44" t="n"/>
      <c r="H164" s="44" t="n"/>
      <c r="I164" s="44" t="n"/>
      <c r="J164" s="45" t="n"/>
      <c r="K164" s="45" t="n"/>
      <c r="L164" s="46" t="n"/>
      <c r="M164" s="45" t="n"/>
      <c r="N164" s="46" t="n"/>
      <c r="O164" s="45" t="n"/>
      <c r="P164" s="45" t="n"/>
      <c r="Q164" s="45" t="n"/>
      <c r="R164" s="45" t="n"/>
      <c r="S164" s="45" t="n"/>
      <c r="T164" s="45" t="n"/>
      <c r="U164" s="45" t="n"/>
      <c r="V164" s="46" t="n"/>
      <c r="W164" s="41" t="n"/>
      <c r="X164" s="46" t="n"/>
      <c r="Y164" s="42" t="n"/>
      <c r="Z164" s="43" t="n"/>
      <c r="AA164" s="41" t="n"/>
      <c r="AB164" s="47">
        <f>CALCULO!CT164</f>
      </c>
      <c r="AC164" s="48">
        <f>CALCULO!CD164</f>
      </c>
    </row>
    <row r="165">
      <c r="A165" s="40">
        <f>IF(B165="","",ROW()-5)</f>
      </c>
      <c r="B165" s="41" t="n"/>
      <c r="C165" s="42" t="n"/>
      <c r="D165" s="43" t="n"/>
      <c r="E165" s="43" t="n"/>
      <c r="F165" s="44" t="n"/>
      <c r="G165" s="44" t="n"/>
      <c r="H165" s="44" t="n"/>
      <c r="I165" s="44" t="n"/>
      <c r="J165" s="45" t="n"/>
      <c r="K165" s="45" t="n"/>
      <c r="L165" s="46" t="n"/>
      <c r="M165" s="45" t="n"/>
      <c r="N165" s="46" t="n"/>
      <c r="O165" s="45" t="n"/>
      <c r="P165" s="45" t="n"/>
      <c r="Q165" s="45" t="n"/>
      <c r="R165" s="45" t="n"/>
      <c r="S165" s="45" t="n"/>
      <c r="T165" s="45" t="n"/>
      <c r="U165" s="45" t="n"/>
      <c r="V165" s="46" t="n"/>
      <c r="W165" s="41" t="n"/>
      <c r="X165" s="46" t="n"/>
      <c r="Y165" s="42" t="n"/>
      <c r="Z165" s="43" t="n"/>
      <c r="AA165" s="41" t="n"/>
      <c r="AB165" s="47">
        <f>CALCULO!CT165</f>
      </c>
      <c r="AC165" s="48">
        <f>CALCULO!CD165</f>
      </c>
    </row>
    <row r="166">
      <c r="A166" s="40">
        <f>IF(B166="","",ROW()-5)</f>
      </c>
      <c r="B166" s="41" t="n"/>
      <c r="C166" s="42" t="n"/>
      <c r="D166" s="43" t="n"/>
      <c r="E166" s="43" t="n"/>
      <c r="F166" s="44" t="n"/>
      <c r="G166" s="44" t="n"/>
      <c r="H166" s="44" t="n"/>
      <c r="I166" s="44" t="n"/>
      <c r="J166" s="45" t="n"/>
      <c r="K166" s="45" t="n"/>
      <c r="L166" s="46" t="n"/>
      <c r="M166" s="45" t="n"/>
      <c r="N166" s="46" t="n"/>
      <c r="O166" s="45" t="n"/>
      <c r="P166" s="45" t="n"/>
      <c r="Q166" s="45" t="n"/>
      <c r="R166" s="45" t="n"/>
      <c r="S166" s="45" t="n"/>
      <c r="T166" s="45" t="n"/>
      <c r="U166" s="45" t="n"/>
      <c r="V166" s="46" t="n"/>
      <c r="W166" s="41" t="n"/>
      <c r="X166" s="46" t="n"/>
      <c r="Y166" s="42" t="n"/>
      <c r="Z166" s="43" t="n"/>
      <c r="AA166" s="41" t="n"/>
      <c r="AB166" s="47">
        <f>CALCULO!CT166</f>
      </c>
      <c r="AC166" s="48">
        <f>CALCULO!CD166</f>
      </c>
    </row>
    <row r="167">
      <c r="A167" s="40">
        <f>IF(B167="","",ROW()-5)</f>
      </c>
      <c r="B167" s="41" t="n"/>
      <c r="C167" s="42" t="n"/>
      <c r="D167" s="43" t="n"/>
      <c r="E167" s="43" t="n"/>
      <c r="F167" s="44" t="n"/>
      <c r="G167" s="44" t="n"/>
      <c r="H167" s="44" t="n"/>
      <c r="I167" s="44" t="n"/>
      <c r="J167" s="45" t="n"/>
      <c r="K167" s="45" t="n"/>
      <c r="L167" s="46" t="n"/>
      <c r="M167" s="45" t="n"/>
      <c r="N167" s="46" t="n"/>
      <c r="O167" s="45" t="n"/>
      <c r="P167" s="45" t="n"/>
      <c r="Q167" s="45" t="n"/>
      <c r="R167" s="45" t="n"/>
      <c r="S167" s="45" t="n"/>
      <c r="T167" s="45" t="n"/>
      <c r="U167" s="45" t="n"/>
      <c r="V167" s="46" t="n"/>
      <c r="W167" s="41" t="n"/>
      <c r="X167" s="46" t="n"/>
      <c r="Y167" s="42" t="n"/>
      <c r="Z167" s="43" t="n"/>
      <c r="AA167" s="41" t="n"/>
      <c r="AB167" s="47">
        <f>CALCULO!CT167</f>
      </c>
      <c r="AC167" s="48">
        <f>CALCULO!CD167</f>
      </c>
    </row>
    <row r="168">
      <c r="A168" s="40">
        <f>IF(B168="","",ROW()-5)</f>
      </c>
      <c r="B168" s="41" t="n"/>
      <c r="C168" s="42" t="n"/>
      <c r="D168" s="43" t="n"/>
      <c r="E168" s="43" t="n"/>
      <c r="F168" s="44" t="n"/>
      <c r="G168" s="44" t="n"/>
      <c r="H168" s="44" t="n"/>
      <c r="I168" s="44" t="n"/>
      <c r="J168" s="45" t="n"/>
      <c r="K168" s="45" t="n"/>
      <c r="L168" s="46" t="n"/>
      <c r="M168" s="45" t="n"/>
      <c r="N168" s="46" t="n"/>
      <c r="O168" s="45" t="n"/>
      <c r="P168" s="45" t="n"/>
      <c r="Q168" s="45" t="n"/>
      <c r="R168" s="45" t="n"/>
      <c r="S168" s="45" t="n"/>
      <c r="T168" s="45" t="n"/>
      <c r="U168" s="45" t="n"/>
      <c r="V168" s="46" t="n"/>
      <c r="W168" s="41" t="n"/>
      <c r="X168" s="46" t="n"/>
      <c r="Y168" s="42" t="n"/>
      <c r="Z168" s="43" t="n"/>
      <c r="AA168" s="41" t="n"/>
      <c r="AB168" s="47">
        <f>CALCULO!CT168</f>
      </c>
      <c r="AC168" s="48">
        <f>CALCULO!CD168</f>
      </c>
    </row>
    <row r="169">
      <c r="A169" s="40">
        <f>IF(B169="","",ROW()-5)</f>
      </c>
      <c r="B169" s="41" t="n"/>
      <c r="C169" s="42" t="n"/>
      <c r="D169" s="43" t="n"/>
      <c r="E169" s="43" t="n"/>
      <c r="F169" s="44" t="n"/>
      <c r="G169" s="44" t="n"/>
      <c r="H169" s="44" t="n"/>
      <c r="I169" s="44" t="n"/>
      <c r="J169" s="45" t="n"/>
      <c r="K169" s="45" t="n"/>
      <c r="L169" s="46" t="n"/>
      <c r="M169" s="45" t="n"/>
      <c r="N169" s="46" t="n"/>
      <c r="O169" s="45" t="n"/>
      <c r="P169" s="45" t="n"/>
      <c r="Q169" s="45" t="n"/>
      <c r="R169" s="45" t="n"/>
      <c r="S169" s="45" t="n"/>
      <c r="T169" s="45" t="n"/>
      <c r="U169" s="45" t="n"/>
      <c r="V169" s="46" t="n"/>
      <c r="W169" s="41" t="n"/>
      <c r="X169" s="46" t="n"/>
      <c r="Y169" s="42" t="n"/>
      <c r="Z169" s="43" t="n"/>
      <c r="AA169" s="41" t="n"/>
      <c r="AB169" s="47">
        <f>CALCULO!CT169</f>
      </c>
      <c r="AC169" s="48">
        <f>CALCULO!CD169</f>
      </c>
    </row>
    <row r="170">
      <c r="A170" s="40">
        <f>IF(B170="","",ROW()-5)</f>
      </c>
      <c r="B170" s="41" t="n"/>
      <c r="C170" s="42" t="n"/>
      <c r="D170" s="43" t="n"/>
      <c r="E170" s="43" t="n"/>
      <c r="F170" s="44" t="n"/>
      <c r="G170" s="44" t="n"/>
      <c r="H170" s="44" t="n"/>
      <c r="I170" s="44" t="n"/>
      <c r="J170" s="45" t="n"/>
      <c r="K170" s="45" t="n"/>
      <c r="L170" s="46" t="n"/>
      <c r="M170" s="45" t="n"/>
      <c r="N170" s="46" t="n"/>
      <c r="O170" s="45" t="n"/>
      <c r="P170" s="45" t="n"/>
      <c r="Q170" s="45" t="n"/>
      <c r="R170" s="45" t="n"/>
      <c r="S170" s="45" t="n"/>
      <c r="T170" s="45" t="n"/>
      <c r="U170" s="45" t="n"/>
      <c r="V170" s="46" t="n"/>
      <c r="W170" s="41" t="n"/>
      <c r="X170" s="46" t="n"/>
      <c r="Y170" s="42" t="n"/>
      <c r="Z170" s="43" t="n"/>
      <c r="AA170" s="41" t="n"/>
      <c r="AB170" s="47">
        <f>CALCULO!CT170</f>
      </c>
      <c r="AC170" s="48">
        <f>CALCULO!CD170</f>
      </c>
    </row>
    <row r="171">
      <c r="A171" s="40">
        <f>IF(B171="","",ROW()-5)</f>
      </c>
      <c r="B171" s="41" t="n"/>
      <c r="C171" s="42" t="n"/>
      <c r="D171" s="43" t="n"/>
      <c r="E171" s="43" t="n"/>
      <c r="F171" s="44" t="n"/>
      <c r="G171" s="44" t="n"/>
      <c r="H171" s="44" t="n"/>
      <c r="I171" s="44" t="n"/>
      <c r="J171" s="45" t="n"/>
      <c r="K171" s="45" t="n"/>
      <c r="L171" s="46" t="n"/>
      <c r="M171" s="45" t="n"/>
      <c r="N171" s="46" t="n"/>
      <c r="O171" s="45" t="n"/>
      <c r="P171" s="45" t="n"/>
      <c r="Q171" s="45" t="n"/>
      <c r="R171" s="45" t="n"/>
      <c r="S171" s="45" t="n"/>
      <c r="T171" s="45" t="n"/>
      <c r="U171" s="45" t="n"/>
      <c r="V171" s="46" t="n"/>
      <c r="W171" s="41" t="n"/>
      <c r="X171" s="46" t="n"/>
      <c r="Y171" s="42" t="n"/>
      <c r="Z171" s="43" t="n"/>
      <c r="AA171" s="41" t="n"/>
      <c r="AB171" s="47">
        <f>CALCULO!CT171</f>
      </c>
      <c r="AC171" s="48">
        <f>CALCULO!CD171</f>
      </c>
    </row>
    <row r="172">
      <c r="A172" s="40">
        <f>IF(B172="","",ROW()-5)</f>
      </c>
      <c r="B172" s="41" t="n"/>
      <c r="C172" s="42" t="n"/>
      <c r="D172" s="43" t="n"/>
      <c r="E172" s="43" t="n"/>
      <c r="F172" s="44" t="n"/>
      <c r="G172" s="44" t="n"/>
      <c r="H172" s="44" t="n"/>
      <c r="I172" s="44" t="n"/>
      <c r="J172" s="45" t="n"/>
      <c r="K172" s="45" t="n"/>
      <c r="L172" s="46" t="n"/>
      <c r="M172" s="45" t="n"/>
      <c r="N172" s="46" t="n"/>
      <c r="O172" s="45" t="n"/>
      <c r="P172" s="45" t="n"/>
      <c r="Q172" s="45" t="n"/>
      <c r="R172" s="45" t="n"/>
      <c r="S172" s="45" t="n"/>
      <c r="T172" s="45" t="n"/>
      <c r="U172" s="45" t="n"/>
      <c r="V172" s="46" t="n"/>
      <c r="W172" s="41" t="n"/>
      <c r="X172" s="46" t="n"/>
      <c r="Y172" s="42" t="n"/>
      <c r="Z172" s="43" t="n"/>
      <c r="AA172" s="41" t="n"/>
      <c r="AB172" s="47">
        <f>CALCULO!CT172</f>
      </c>
      <c r="AC172" s="48">
        <f>CALCULO!CD172</f>
      </c>
    </row>
    <row r="173">
      <c r="A173" s="40">
        <f>IF(B173="","",ROW()-5)</f>
      </c>
      <c r="B173" s="41" t="n"/>
      <c r="C173" s="42" t="n"/>
      <c r="D173" s="43" t="n"/>
      <c r="E173" s="43" t="n"/>
      <c r="F173" s="44" t="n"/>
      <c r="G173" s="44" t="n"/>
      <c r="H173" s="44" t="n"/>
      <c r="I173" s="44" t="n"/>
      <c r="J173" s="45" t="n"/>
      <c r="K173" s="45" t="n"/>
      <c r="L173" s="46" t="n"/>
      <c r="M173" s="45" t="n"/>
      <c r="N173" s="46" t="n"/>
      <c r="O173" s="45" t="n"/>
      <c r="P173" s="45" t="n"/>
      <c r="Q173" s="45" t="n"/>
      <c r="R173" s="45" t="n"/>
      <c r="S173" s="45" t="n"/>
      <c r="T173" s="45" t="n"/>
      <c r="U173" s="45" t="n"/>
      <c r="V173" s="46" t="n"/>
      <c r="W173" s="41" t="n"/>
      <c r="X173" s="46" t="n"/>
      <c r="Y173" s="42" t="n"/>
      <c r="Z173" s="43" t="n"/>
      <c r="AA173" s="41" t="n"/>
      <c r="AB173" s="47">
        <f>CALCULO!CT173</f>
      </c>
      <c r="AC173" s="48">
        <f>CALCULO!CD173</f>
      </c>
    </row>
    <row r="174">
      <c r="A174" s="40">
        <f>IF(B174="","",ROW()-5)</f>
      </c>
      <c r="B174" s="41" t="n"/>
      <c r="C174" s="42" t="n"/>
      <c r="D174" s="43" t="n"/>
      <c r="E174" s="43" t="n"/>
      <c r="F174" s="44" t="n"/>
      <c r="G174" s="44" t="n"/>
      <c r="H174" s="44" t="n"/>
      <c r="I174" s="44" t="n"/>
      <c r="J174" s="45" t="n"/>
      <c r="K174" s="45" t="n"/>
      <c r="L174" s="46" t="n"/>
      <c r="M174" s="45" t="n"/>
      <c r="N174" s="46" t="n"/>
      <c r="O174" s="45" t="n"/>
      <c r="P174" s="45" t="n"/>
      <c r="Q174" s="45" t="n"/>
      <c r="R174" s="45" t="n"/>
      <c r="S174" s="45" t="n"/>
      <c r="T174" s="45" t="n"/>
      <c r="U174" s="45" t="n"/>
      <c r="V174" s="46" t="n"/>
      <c r="W174" s="41" t="n"/>
      <c r="X174" s="46" t="n"/>
      <c r="Y174" s="42" t="n"/>
      <c r="Z174" s="43" t="n"/>
      <c r="AA174" s="41" t="n"/>
      <c r="AB174" s="47">
        <f>CALCULO!CT174</f>
      </c>
      <c r="AC174" s="48">
        <f>CALCULO!CD174</f>
      </c>
    </row>
    <row r="175">
      <c r="A175" s="40">
        <f>IF(B175="","",ROW()-5)</f>
      </c>
      <c r="B175" s="41" t="n"/>
      <c r="C175" s="42" t="n"/>
      <c r="D175" s="43" t="n"/>
      <c r="E175" s="43" t="n"/>
      <c r="F175" s="44" t="n"/>
      <c r="G175" s="44" t="n"/>
      <c r="H175" s="44" t="n"/>
      <c r="I175" s="44" t="n"/>
      <c r="J175" s="45" t="n"/>
      <c r="K175" s="45" t="n"/>
      <c r="L175" s="46" t="n"/>
      <c r="M175" s="45" t="n"/>
      <c r="N175" s="46" t="n"/>
      <c r="O175" s="45" t="n"/>
      <c r="P175" s="45" t="n"/>
      <c r="Q175" s="45" t="n"/>
      <c r="R175" s="45" t="n"/>
      <c r="S175" s="45" t="n"/>
      <c r="T175" s="45" t="n"/>
      <c r="U175" s="45" t="n"/>
      <c r="V175" s="46" t="n"/>
      <c r="W175" s="41" t="n"/>
      <c r="X175" s="46" t="n"/>
      <c r="Y175" s="42" t="n"/>
      <c r="Z175" s="43" t="n"/>
      <c r="AA175" s="41" t="n"/>
      <c r="AB175" s="47">
        <f>CALCULO!CT175</f>
      </c>
      <c r="AC175" s="48">
        <f>CALCULO!CD175</f>
      </c>
    </row>
    <row r="176">
      <c r="A176" s="40">
        <f>IF(B176="","",ROW()-5)</f>
      </c>
      <c r="B176" s="41" t="n"/>
      <c r="C176" s="42" t="n"/>
      <c r="D176" s="43" t="n"/>
      <c r="E176" s="43" t="n"/>
      <c r="F176" s="44" t="n"/>
      <c r="G176" s="44" t="n"/>
      <c r="H176" s="44" t="n"/>
      <c r="I176" s="44" t="n"/>
      <c r="J176" s="45" t="n"/>
      <c r="K176" s="45" t="n"/>
      <c r="L176" s="46" t="n"/>
      <c r="M176" s="45" t="n"/>
      <c r="N176" s="46" t="n"/>
      <c r="O176" s="45" t="n"/>
      <c r="P176" s="45" t="n"/>
      <c r="Q176" s="45" t="n"/>
      <c r="R176" s="45" t="n"/>
      <c r="S176" s="45" t="n"/>
      <c r="T176" s="45" t="n"/>
      <c r="U176" s="45" t="n"/>
      <c r="V176" s="46" t="n"/>
      <c r="W176" s="41" t="n"/>
      <c r="X176" s="46" t="n"/>
      <c r="Y176" s="42" t="n"/>
      <c r="Z176" s="43" t="n"/>
      <c r="AA176" s="41" t="n"/>
      <c r="AB176" s="47">
        <f>CALCULO!CT176</f>
      </c>
      <c r="AC176" s="48">
        <f>CALCULO!CD176</f>
      </c>
    </row>
    <row r="177">
      <c r="A177" s="40">
        <f>IF(B177="","",ROW()-5)</f>
      </c>
      <c r="B177" s="41" t="n"/>
      <c r="C177" s="42" t="n"/>
      <c r="D177" s="43" t="n"/>
      <c r="E177" s="43" t="n"/>
      <c r="F177" s="44" t="n"/>
      <c r="G177" s="44" t="n"/>
      <c r="H177" s="44" t="n"/>
      <c r="I177" s="44" t="n"/>
      <c r="J177" s="45" t="n"/>
      <c r="K177" s="45" t="n"/>
      <c r="L177" s="46" t="n"/>
      <c r="M177" s="45" t="n"/>
      <c r="N177" s="46" t="n"/>
      <c r="O177" s="45" t="n"/>
      <c r="P177" s="45" t="n"/>
      <c r="Q177" s="45" t="n"/>
      <c r="R177" s="45" t="n"/>
      <c r="S177" s="45" t="n"/>
      <c r="T177" s="45" t="n"/>
      <c r="U177" s="45" t="n"/>
      <c r="V177" s="46" t="n"/>
      <c r="W177" s="41" t="n"/>
      <c r="X177" s="46" t="n"/>
      <c r="Y177" s="42" t="n"/>
      <c r="Z177" s="43" t="n"/>
      <c r="AA177" s="41" t="n"/>
      <c r="AB177" s="47">
        <f>CALCULO!CT177</f>
      </c>
      <c r="AC177" s="48">
        <f>CALCULO!CD177</f>
      </c>
    </row>
    <row r="178">
      <c r="A178" s="40">
        <f>IF(B178="","",ROW()-5)</f>
      </c>
      <c r="B178" s="41" t="n"/>
      <c r="C178" s="42" t="n"/>
      <c r="D178" s="43" t="n"/>
      <c r="E178" s="43" t="n"/>
      <c r="F178" s="44" t="n"/>
      <c r="G178" s="44" t="n"/>
      <c r="H178" s="44" t="n"/>
      <c r="I178" s="44" t="n"/>
      <c r="J178" s="45" t="n"/>
      <c r="K178" s="45" t="n"/>
      <c r="L178" s="46" t="n"/>
      <c r="M178" s="45" t="n"/>
      <c r="N178" s="46" t="n"/>
      <c r="O178" s="45" t="n"/>
      <c r="P178" s="45" t="n"/>
      <c r="Q178" s="45" t="n"/>
      <c r="R178" s="45" t="n"/>
      <c r="S178" s="45" t="n"/>
      <c r="T178" s="45" t="n"/>
      <c r="U178" s="45" t="n"/>
      <c r="V178" s="46" t="n"/>
      <c r="W178" s="41" t="n"/>
      <c r="X178" s="46" t="n"/>
      <c r="Y178" s="42" t="n"/>
      <c r="Z178" s="43" t="n"/>
      <c r="AA178" s="41" t="n"/>
      <c r="AB178" s="47">
        <f>CALCULO!CT178</f>
      </c>
      <c r="AC178" s="48">
        <f>CALCULO!CD178</f>
      </c>
    </row>
    <row r="179">
      <c r="A179" s="40">
        <f>IF(B179="","",ROW()-5)</f>
      </c>
      <c r="B179" s="41" t="n"/>
      <c r="C179" s="42" t="n"/>
      <c r="D179" s="43" t="n"/>
      <c r="E179" s="43" t="n"/>
      <c r="F179" s="44" t="n"/>
      <c r="G179" s="44" t="n"/>
      <c r="H179" s="44" t="n"/>
      <c r="I179" s="44" t="n"/>
      <c r="J179" s="45" t="n"/>
      <c r="K179" s="45" t="n"/>
      <c r="L179" s="46" t="n"/>
      <c r="M179" s="45" t="n"/>
      <c r="N179" s="46" t="n"/>
      <c r="O179" s="45" t="n"/>
      <c r="P179" s="45" t="n"/>
      <c r="Q179" s="45" t="n"/>
      <c r="R179" s="45" t="n"/>
      <c r="S179" s="45" t="n"/>
      <c r="T179" s="45" t="n"/>
      <c r="U179" s="45" t="n"/>
      <c r="V179" s="46" t="n"/>
      <c r="W179" s="41" t="n"/>
      <c r="X179" s="46" t="n"/>
      <c r="Y179" s="42" t="n"/>
      <c r="Z179" s="43" t="n"/>
      <c r="AA179" s="41" t="n"/>
      <c r="AB179" s="47">
        <f>CALCULO!CT179</f>
      </c>
      <c r="AC179" s="48">
        <f>CALCULO!CD179</f>
      </c>
    </row>
    <row r="180">
      <c r="A180" s="40">
        <f>IF(B180="","",ROW()-5)</f>
      </c>
      <c r="B180" s="41" t="n"/>
      <c r="C180" s="42" t="n"/>
      <c r="D180" s="43" t="n"/>
      <c r="E180" s="43" t="n"/>
      <c r="F180" s="44" t="n"/>
      <c r="G180" s="44" t="n"/>
      <c r="H180" s="44" t="n"/>
      <c r="I180" s="44" t="n"/>
      <c r="J180" s="45" t="n"/>
      <c r="K180" s="45" t="n"/>
      <c r="L180" s="46" t="n"/>
      <c r="M180" s="45" t="n"/>
      <c r="N180" s="46" t="n"/>
      <c r="O180" s="45" t="n"/>
      <c r="P180" s="45" t="n"/>
      <c r="Q180" s="45" t="n"/>
      <c r="R180" s="45" t="n"/>
      <c r="S180" s="45" t="n"/>
      <c r="T180" s="45" t="n"/>
      <c r="U180" s="45" t="n"/>
      <c r="V180" s="46" t="n"/>
      <c r="W180" s="41" t="n"/>
      <c r="X180" s="46" t="n"/>
      <c r="Y180" s="42" t="n"/>
      <c r="Z180" s="43" t="n"/>
      <c r="AA180" s="41" t="n"/>
      <c r="AB180" s="47">
        <f>CALCULO!CT180</f>
      </c>
      <c r="AC180" s="48">
        <f>CALCULO!CD180</f>
      </c>
    </row>
    <row r="181">
      <c r="A181" s="40">
        <f>IF(B181="","",ROW()-5)</f>
      </c>
      <c r="B181" s="41" t="n"/>
      <c r="C181" s="42" t="n"/>
      <c r="D181" s="43" t="n"/>
      <c r="E181" s="43" t="n"/>
      <c r="F181" s="44" t="n"/>
      <c r="G181" s="44" t="n"/>
      <c r="H181" s="44" t="n"/>
      <c r="I181" s="44" t="n"/>
      <c r="J181" s="45" t="n"/>
      <c r="K181" s="45" t="n"/>
      <c r="L181" s="46" t="n"/>
      <c r="M181" s="45" t="n"/>
      <c r="N181" s="46" t="n"/>
      <c r="O181" s="45" t="n"/>
      <c r="P181" s="45" t="n"/>
      <c r="Q181" s="45" t="n"/>
      <c r="R181" s="45" t="n"/>
      <c r="S181" s="45" t="n"/>
      <c r="T181" s="45" t="n"/>
      <c r="U181" s="45" t="n"/>
      <c r="V181" s="46" t="n"/>
      <c r="W181" s="41" t="n"/>
      <c r="X181" s="46" t="n"/>
      <c r="Y181" s="42" t="n"/>
      <c r="Z181" s="43" t="n"/>
      <c r="AA181" s="41" t="n"/>
      <c r="AB181" s="47">
        <f>CALCULO!CT181</f>
      </c>
      <c r="AC181" s="48">
        <f>CALCULO!CD181</f>
      </c>
    </row>
    <row r="182">
      <c r="A182" s="40">
        <f>IF(B182="","",ROW()-5)</f>
      </c>
      <c r="B182" s="41" t="n"/>
      <c r="C182" s="42" t="n"/>
      <c r="D182" s="43" t="n"/>
      <c r="E182" s="43" t="n"/>
      <c r="F182" s="44" t="n"/>
      <c r="G182" s="44" t="n"/>
      <c r="H182" s="44" t="n"/>
      <c r="I182" s="44" t="n"/>
      <c r="J182" s="45" t="n"/>
      <c r="K182" s="45" t="n"/>
      <c r="L182" s="46" t="n"/>
      <c r="M182" s="45" t="n"/>
      <c r="N182" s="46" t="n"/>
      <c r="O182" s="45" t="n"/>
      <c r="P182" s="45" t="n"/>
      <c r="Q182" s="45" t="n"/>
      <c r="R182" s="45" t="n"/>
      <c r="S182" s="45" t="n"/>
      <c r="T182" s="45" t="n"/>
      <c r="U182" s="45" t="n"/>
      <c r="V182" s="46" t="n"/>
      <c r="W182" s="41" t="n"/>
      <c r="X182" s="46" t="n"/>
      <c r="Y182" s="42" t="n"/>
      <c r="Z182" s="43" t="n"/>
      <c r="AA182" s="41" t="n"/>
      <c r="AB182" s="47">
        <f>CALCULO!CT182</f>
      </c>
      <c r="AC182" s="48">
        <f>CALCULO!CD182</f>
      </c>
    </row>
    <row r="183">
      <c r="A183" s="40">
        <f>IF(B183="","",ROW()-5)</f>
      </c>
      <c r="B183" s="41" t="n"/>
      <c r="C183" s="42" t="n"/>
      <c r="D183" s="43" t="n"/>
      <c r="E183" s="43" t="n"/>
      <c r="F183" s="44" t="n"/>
      <c r="G183" s="44" t="n"/>
      <c r="H183" s="44" t="n"/>
      <c r="I183" s="44" t="n"/>
      <c r="J183" s="45" t="n"/>
      <c r="K183" s="45" t="n"/>
      <c r="L183" s="46" t="n"/>
      <c r="M183" s="45" t="n"/>
      <c r="N183" s="46" t="n"/>
      <c r="O183" s="45" t="n"/>
      <c r="P183" s="45" t="n"/>
      <c r="Q183" s="45" t="n"/>
      <c r="R183" s="45" t="n"/>
      <c r="S183" s="45" t="n"/>
      <c r="T183" s="45" t="n"/>
      <c r="U183" s="45" t="n"/>
      <c r="V183" s="46" t="n"/>
      <c r="W183" s="41" t="n"/>
      <c r="X183" s="46" t="n"/>
      <c r="Y183" s="42" t="n"/>
      <c r="Z183" s="43" t="n"/>
      <c r="AA183" s="41" t="n"/>
      <c r="AB183" s="47">
        <f>CALCULO!CT183</f>
      </c>
      <c r="AC183" s="48">
        <f>CALCULO!CD183</f>
      </c>
    </row>
    <row r="184">
      <c r="A184" s="40">
        <f>IF(B184="","",ROW()-5)</f>
      </c>
      <c r="B184" s="41" t="n"/>
      <c r="C184" s="42" t="n"/>
      <c r="D184" s="43" t="n"/>
      <c r="E184" s="43" t="n"/>
      <c r="F184" s="44" t="n"/>
      <c r="G184" s="44" t="n"/>
      <c r="H184" s="44" t="n"/>
      <c r="I184" s="44" t="n"/>
      <c r="J184" s="45" t="n"/>
      <c r="K184" s="45" t="n"/>
      <c r="L184" s="46" t="n"/>
      <c r="M184" s="45" t="n"/>
      <c r="N184" s="46" t="n"/>
      <c r="O184" s="45" t="n"/>
      <c r="P184" s="45" t="n"/>
      <c r="Q184" s="45" t="n"/>
      <c r="R184" s="45" t="n"/>
      <c r="S184" s="45" t="n"/>
      <c r="T184" s="45" t="n"/>
      <c r="U184" s="45" t="n"/>
      <c r="V184" s="46" t="n"/>
      <c r="W184" s="41" t="n"/>
      <c r="X184" s="46" t="n"/>
      <c r="Y184" s="42" t="n"/>
      <c r="Z184" s="43" t="n"/>
      <c r="AA184" s="41" t="n"/>
      <c r="AB184" s="47">
        <f>CALCULO!CT184</f>
      </c>
      <c r="AC184" s="48">
        <f>CALCULO!CD184</f>
      </c>
    </row>
    <row r="185">
      <c r="A185" s="40">
        <f>IF(B185="","",ROW()-5)</f>
      </c>
      <c r="B185" s="41" t="n"/>
      <c r="C185" s="42" t="n"/>
      <c r="D185" s="43" t="n"/>
      <c r="E185" s="43" t="n"/>
      <c r="F185" s="44" t="n"/>
      <c r="G185" s="44" t="n"/>
      <c r="H185" s="44" t="n"/>
      <c r="I185" s="44" t="n"/>
      <c r="J185" s="45" t="n"/>
      <c r="K185" s="45" t="n"/>
      <c r="L185" s="46" t="n"/>
      <c r="M185" s="45" t="n"/>
      <c r="N185" s="46" t="n"/>
      <c r="O185" s="45" t="n"/>
      <c r="P185" s="45" t="n"/>
      <c r="Q185" s="45" t="n"/>
      <c r="R185" s="45" t="n"/>
      <c r="S185" s="45" t="n"/>
      <c r="T185" s="45" t="n"/>
      <c r="U185" s="45" t="n"/>
      <c r="V185" s="46" t="n"/>
      <c r="W185" s="41" t="n"/>
      <c r="X185" s="46" t="n"/>
      <c r="Y185" s="42" t="n"/>
      <c r="Z185" s="43" t="n"/>
      <c r="AA185" s="41" t="n"/>
      <c r="AB185" s="47">
        <f>CALCULO!CT185</f>
      </c>
      <c r="AC185" s="48">
        <f>CALCULO!CD185</f>
      </c>
    </row>
    <row r="186">
      <c r="A186" s="40">
        <f>IF(B186="","",ROW()-5)</f>
      </c>
      <c r="B186" s="41" t="n"/>
      <c r="C186" s="42" t="n"/>
      <c r="D186" s="43" t="n"/>
      <c r="E186" s="43" t="n"/>
      <c r="F186" s="44" t="n"/>
      <c r="G186" s="44" t="n"/>
      <c r="H186" s="44" t="n"/>
      <c r="I186" s="44" t="n"/>
      <c r="J186" s="45" t="n"/>
      <c r="K186" s="45" t="n"/>
      <c r="L186" s="46" t="n"/>
      <c r="M186" s="45" t="n"/>
      <c r="N186" s="46" t="n"/>
      <c r="O186" s="45" t="n"/>
      <c r="P186" s="45" t="n"/>
      <c r="Q186" s="45" t="n"/>
      <c r="R186" s="45" t="n"/>
      <c r="S186" s="45" t="n"/>
      <c r="T186" s="45" t="n"/>
      <c r="U186" s="45" t="n"/>
      <c r="V186" s="46" t="n"/>
      <c r="W186" s="41" t="n"/>
      <c r="X186" s="46" t="n"/>
      <c r="Y186" s="42" t="n"/>
      <c r="Z186" s="43" t="n"/>
      <c r="AA186" s="41" t="n"/>
      <c r="AB186" s="47">
        <f>CALCULO!CT186</f>
      </c>
      <c r="AC186" s="48">
        <f>CALCULO!CD186</f>
      </c>
    </row>
    <row r="187">
      <c r="A187" s="40">
        <f>IF(B187="","",ROW()-5)</f>
      </c>
      <c r="B187" s="41" t="n"/>
      <c r="C187" s="42" t="n"/>
      <c r="D187" s="43" t="n"/>
      <c r="E187" s="43" t="n"/>
      <c r="F187" s="44" t="n"/>
      <c r="G187" s="44" t="n"/>
      <c r="H187" s="44" t="n"/>
      <c r="I187" s="44" t="n"/>
      <c r="J187" s="45" t="n"/>
      <c r="K187" s="45" t="n"/>
      <c r="L187" s="46" t="n"/>
      <c r="M187" s="45" t="n"/>
      <c r="N187" s="46" t="n"/>
      <c r="O187" s="45" t="n"/>
      <c r="P187" s="45" t="n"/>
      <c r="Q187" s="45" t="n"/>
      <c r="R187" s="45" t="n"/>
      <c r="S187" s="45" t="n"/>
      <c r="T187" s="45" t="n"/>
      <c r="U187" s="45" t="n"/>
      <c r="V187" s="46" t="n"/>
      <c r="W187" s="41" t="n"/>
      <c r="X187" s="46" t="n"/>
      <c r="Y187" s="42" t="n"/>
      <c r="Z187" s="43" t="n"/>
      <c r="AA187" s="41" t="n"/>
      <c r="AB187" s="47">
        <f>CALCULO!CT187</f>
      </c>
      <c r="AC187" s="48">
        <f>CALCULO!CD187</f>
      </c>
    </row>
    <row r="188">
      <c r="A188" s="40">
        <f>IF(B188="","",ROW()-5)</f>
      </c>
      <c r="B188" s="41" t="n"/>
      <c r="C188" s="42" t="n"/>
      <c r="D188" s="43" t="n"/>
      <c r="E188" s="43" t="n"/>
      <c r="F188" s="44" t="n"/>
      <c r="G188" s="44" t="n"/>
      <c r="H188" s="44" t="n"/>
      <c r="I188" s="44" t="n"/>
      <c r="J188" s="45" t="n"/>
      <c r="K188" s="45" t="n"/>
      <c r="L188" s="46" t="n"/>
      <c r="M188" s="45" t="n"/>
      <c r="N188" s="46" t="n"/>
      <c r="O188" s="45" t="n"/>
      <c r="P188" s="45" t="n"/>
      <c r="Q188" s="45" t="n"/>
      <c r="R188" s="45" t="n"/>
      <c r="S188" s="45" t="n"/>
      <c r="T188" s="45" t="n"/>
      <c r="U188" s="45" t="n"/>
      <c r="V188" s="46" t="n"/>
      <c r="W188" s="41" t="n"/>
      <c r="X188" s="46" t="n"/>
      <c r="Y188" s="42" t="n"/>
      <c r="Z188" s="43" t="n"/>
      <c r="AA188" s="41" t="n"/>
      <c r="AB188" s="47">
        <f>CALCULO!CT188</f>
      </c>
      <c r="AC188" s="48">
        <f>CALCULO!CD188</f>
      </c>
    </row>
    <row r="189">
      <c r="A189" s="40">
        <f>IF(B189="","",ROW()-5)</f>
      </c>
      <c r="B189" s="41" t="n"/>
      <c r="C189" s="42" t="n"/>
      <c r="D189" s="43" t="n"/>
      <c r="E189" s="43" t="n"/>
      <c r="F189" s="44" t="n"/>
      <c r="G189" s="44" t="n"/>
      <c r="H189" s="44" t="n"/>
      <c r="I189" s="44" t="n"/>
      <c r="J189" s="45" t="n"/>
      <c r="K189" s="45" t="n"/>
      <c r="L189" s="46" t="n"/>
      <c r="M189" s="45" t="n"/>
      <c r="N189" s="46" t="n"/>
      <c r="O189" s="45" t="n"/>
      <c r="P189" s="45" t="n"/>
      <c r="Q189" s="45" t="n"/>
      <c r="R189" s="45" t="n"/>
      <c r="S189" s="45" t="n"/>
      <c r="T189" s="45" t="n"/>
      <c r="U189" s="45" t="n"/>
      <c r="V189" s="46" t="n"/>
      <c r="W189" s="41" t="n"/>
      <c r="X189" s="46" t="n"/>
      <c r="Y189" s="42" t="n"/>
      <c r="Z189" s="43" t="n"/>
      <c r="AA189" s="41" t="n"/>
      <c r="AB189" s="47">
        <f>CALCULO!CT189</f>
      </c>
      <c r="AC189" s="48">
        <f>CALCULO!CD189</f>
      </c>
    </row>
    <row r="190">
      <c r="A190" s="40">
        <f>IF(B190="","",ROW()-5)</f>
      </c>
      <c r="B190" s="41" t="n"/>
      <c r="C190" s="42" t="n"/>
      <c r="D190" s="43" t="n"/>
      <c r="E190" s="43" t="n"/>
      <c r="F190" s="44" t="n"/>
      <c r="G190" s="44" t="n"/>
      <c r="H190" s="44" t="n"/>
      <c r="I190" s="44" t="n"/>
      <c r="J190" s="45" t="n"/>
      <c r="K190" s="45" t="n"/>
      <c r="L190" s="46" t="n"/>
      <c r="M190" s="45" t="n"/>
      <c r="N190" s="46" t="n"/>
      <c r="O190" s="45" t="n"/>
      <c r="P190" s="45" t="n"/>
      <c r="Q190" s="45" t="n"/>
      <c r="R190" s="45" t="n"/>
      <c r="S190" s="45" t="n"/>
      <c r="T190" s="45" t="n"/>
      <c r="U190" s="45" t="n"/>
      <c r="V190" s="46" t="n"/>
      <c r="W190" s="41" t="n"/>
      <c r="X190" s="46" t="n"/>
      <c r="Y190" s="42" t="n"/>
      <c r="Z190" s="43" t="n"/>
      <c r="AA190" s="41" t="n"/>
      <c r="AB190" s="47">
        <f>CALCULO!CT190</f>
      </c>
      <c r="AC190" s="48">
        <f>CALCULO!CD190</f>
      </c>
    </row>
    <row r="191">
      <c r="A191" s="40">
        <f>IF(B191="","",ROW()-5)</f>
      </c>
      <c r="B191" s="41" t="n"/>
      <c r="C191" s="42" t="n"/>
      <c r="D191" s="43" t="n"/>
      <c r="E191" s="43" t="n"/>
      <c r="F191" s="44" t="n"/>
      <c r="G191" s="44" t="n"/>
      <c r="H191" s="44" t="n"/>
      <c r="I191" s="44" t="n"/>
      <c r="J191" s="45" t="n"/>
      <c r="K191" s="45" t="n"/>
      <c r="L191" s="46" t="n"/>
      <c r="M191" s="45" t="n"/>
      <c r="N191" s="46" t="n"/>
      <c r="O191" s="45" t="n"/>
      <c r="P191" s="45" t="n"/>
      <c r="Q191" s="45" t="n"/>
      <c r="R191" s="45" t="n"/>
      <c r="S191" s="45" t="n"/>
      <c r="T191" s="45" t="n"/>
      <c r="U191" s="45" t="n"/>
      <c r="V191" s="46" t="n"/>
      <c r="W191" s="41" t="n"/>
      <c r="X191" s="46" t="n"/>
      <c r="Y191" s="42" t="n"/>
      <c r="Z191" s="43" t="n"/>
      <c r="AA191" s="41" t="n"/>
      <c r="AB191" s="47">
        <f>CALCULO!CT191</f>
      </c>
      <c r="AC191" s="48">
        <f>CALCULO!CD191</f>
      </c>
    </row>
    <row r="192">
      <c r="A192" s="40">
        <f>IF(B192="","",ROW()-5)</f>
      </c>
      <c r="B192" s="41" t="n"/>
      <c r="C192" s="42" t="n"/>
      <c r="D192" s="43" t="n"/>
      <c r="E192" s="43" t="n"/>
      <c r="F192" s="44" t="n"/>
      <c r="G192" s="44" t="n"/>
      <c r="H192" s="44" t="n"/>
      <c r="I192" s="44" t="n"/>
      <c r="J192" s="45" t="n"/>
      <c r="K192" s="45" t="n"/>
      <c r="L192" s="46" t="n"/>
      <c r="M192" s="45" t="n"/>
      <c r="N192" s="46" t="n"/>
      <c r="O192" s="45" t="n"/>
      <c r="P192" s="45" t="n"/>
      <c r="Q192" s="45" t="n"/>
      <c r="R192" s="45" t="n"/>
      <c r="S192" s="45" t="n"/>
      <c r="T192" s="45" t="n"/>
      <c r="U192" s="45" t="n"/>
      <c r="V192" s="46" t="n"/>
      <c r="W192" s="41" t="n"/>
      <c r="X192" s="46" t="n"/>
      <c r="Y192" s="42" t="n"/>
      <c r="Z192" s="43" t="n"/>
      <c r="AA192" s="41" t="n"/>
      <c r="AB192" s="47">
        <f>CALCULO!CT192</f>
      </c>
      <c r="AC192" s="48">
        <f>CALCULO!CD192</f>
      </c>
    </row>
    <row r="193">
      <c r="A193" s="40">
        <f>IF(B193="","",ROW()-5)</f>
      </c>
      <c r="B193" s="41" t="n"/>
      <c r="C193" s="42" t="n"/>
      <c r="D193" s="43" t="n"/>
      <c r="E193" s="43" t="n"/>
      <c r="F193" s="44" t="n"/>
      <c r="G193" s="44" t="n"/>
      <c r="H193" s="44" t="n"/>
      <c r="I193" s="44" t="n"/>
      <c r="J193" s="45" t="n"/>
      <c r="K193" s="45" t="n"/>
      <c r="L193" s="46" t="n"/>
      <c r="M193" s="45" t="n"/>
      <c r="N193" s="46" t="n"/>
      <c r="O193" s="45" t="n"/>
      <c r="P193" s="45" t="n"/>
      <c r="Q193" s="45" t="n"/>
      <c r="R193" s="45" t="n"/>
      <c r="S193" s="45" t="n"/>
      <c r="T193" s="45" t="n"/>
      <c r="U193" s="45" t="n"/>
      <c r="V193" s="46" t="n"/>
      <c r="W193" s="41" t="n"/>
      <c r="X193" s="46" t="n"/>
      <c r="Y193" s="42" t="n"/>
      <c r="Z193" s="43" t="n"/>
      <c r="AA193" s="41" t="n"/>
      <c r="AB193" s="47">
        <f>CALCULO!CT193</f>
      </c>
      <c r="AC193" s="48">
        <f>CALCULO!CD193</f>
      </c>
    </row>
    <row r="194">
      <c r="A194" s="40">
        <f>IF(B194="","",ROW()-5)</f>
      </c>
      <c r="B194" s="41" t="n"/>
      <c r="C194" s="42" t="n"/>
      <c r="D194" s="43" t="n"/>
      <c r="E194" s="43" t="n"/>
      <c r="F194" s="44" t="n"/>
      <c r="G194" s="44" t="n"/>
      <c r="H194" s="44" t="n"/>
      <c r="I194" s="44" t="n"/>
      <c r="J194" s="45" t="n"/>
      <c r="K194" s="45" t="n"/>
      <c r="L194" s="46" t="n"/>
      <c r="M194" s="45" t="n"/>
      <c r="N194" s="46" t="n"/>
      <c r="O194" s="45" t="n"/>
      <c r="P194" s="45" t="n"/>
      <c r="Q194" s="45" t="n"/>
      <c r="R194" s="45" t="n"/>
      <c r="S194" s="45" t="n"/>
      <c r="T194" s="45" t="n"/>
      <c r="U194" s="45" t="n"/>
      <c r="V194" s="46" t="n"/>
      <c r="W194" s="41" t="n"/>
      <c r="X194" s="46" t="n"/>
      <c r="Y194" s="42" t="n"/>
      <c r="Z194" s="43" t="n"/>
      <c r="AA194" s="41" t="n"/>
      <c r="AB194" s="47">
        <f>CALCULO!CT194</f>
      </c>
      <c r="AC194" s="48">
        <f>CALCULO!CD194</f>
      </c>
    </row>
    <row r="195">
      <c r="A195" s="40">
        <f>IF(B195="","",ROW()-5)</f>
      </c>
      <c r="B195" s="41" t="n"/>
      <c r="C195" s="42" t="n"/>
      <c r="D195" s="43" t="n"/>
      <c r="E195" s="43" t="n"/>
      <c r="F195" s="44" t="n"/>
      <c r="G195" s="44" t="n"/>
      <c r="H195" s="44" t="n"/>
      <c r="I195" s="44" t="n"/>
      <c r="J195" s="45" t="n"/>
      <c r="K195" s="45" t="n"/>
      <c r="L195" s="46" t="n"/>
      <c r="M195" s="45" t="n"/>
      <c r="N195" s="46" t="n"/>
      <c r="O195" s="45" t="n"/>
      <c r="P195" s="45" t="n"/>
      <c r="Q195" s="45" t="n"/>
      <c r="R195" s="45" t="n"/>
      <c r="S195" s="45" t="n"/>
      <c r="T195" s="45" t="n"/>
      <c r="U195" s="45" t="n"/>
      <c r="V195" s="46" t="n"/>
      <c r="W195" s="41" t="n"/>
      <c r="X195" s="46" t="n"/>
      <c r="Y195" s="42" t="n"/>
      <c r="Z195" s="43" t="n"/>
      <c r="AA195" s="41" t="n"/>
      <c r="AB195" s="47">
        <f>CALCULO!CT195</f>
      </c>
      <c r="AC195" s="48">
        <f>CALCULO!CD195</f>
      </c>
    </row>
    <row r="196">
      <c r="A196" s="40">
        <f>IF(B196="","",ROW()-5)</f>
      </c>
      <c r="B196" s="41" t="n"/>
      <c r="C196" s="42" t="n"/>
      <c r="D196" s="43" t="n"/>
      <c r="E196" s="43" t="n"/>
      <c r="F196" s="44" t="n"/>
      <c r="G196" s="44" t="n"/>
      <c r="H196" s="44" t="n"/>
      <c r="I196" s="44" t="n"/>
      <c r="J196" s="45" t="n"/>
      <c r="K196" s="45" t="n"/>
      <c r="L196" s="46" t="n"/>
      <c r="M196" s="45" t="n"/>
      <c r="N196" s="46" t="n"/>
      <c r="O196" s="45" t="n"/>
      <c r="P196" s="45" t="n"/>
      <c r="Q196" s="45" t="n"/>
      <c r="R196" s="45" t="n"/>
      <c r="S196" s="45" t="n"/>
      <c r="T196" s="45" t="n"/>
      <c r="U196" s="45" t="n"/>
      <c r="V196" s="46" t="n"/>
      <c r="W196" s="41" t="n"/>
      <c r="X196" s="46" t="n"/>
      <c r="Y196" s="42" t="n"/>
      <c r="Z196" s="43" t="n"/>
      <c r="AA196" s="41" t="n"/>
      <c r="AB196" s="47">
        <f>CALCULO!CT196</f>
      </c>
      <c r="AC196" s="48">
        <f>CALCULO!CD196</f>
      </c>
    </row>
    <row r="197">
      <c r="A197" s="40">
        <f>IF(B197="","",ROW()-5)</f>
      </c>
      <c r="B197" s="41" t="n"/>
      <c r="C197" s="42" t="n"/>
      <c r="D197" s="43" t="n"/>
      <c r="E197" s="43" t="n"/>
      <c r="F197" s="44" t="n"/>
      <c r="G197" s="44" t="n"/>
      <c r="H197" s="44" t="n"/>
      <c r="I197" s="44" t="n"/>
      <c r="J197" s="45" t="n"/>
      <c r="K197" s="45" t="n"/>
      <c r="L197" s="46" t="n"/>
      <c r="M197" s="45" t="n"/>
      <c r="N197" s="46" t="n"/>
      <c r="O197" s="45" t="n"/>
      <c r="P197" s="45" t="n"/>
      <c r="Q197" s="45" t="n"/>
      <c r="R197" s="45" t="n"/>
      <c r="S197" s="45" t="n"/>
      <c r="T197" s="45" t="n"/>
      <c r="U197" s="45" t="n"/>
      <c r="V197" s="46" t="n"/>
      <c r="W197" s="41" t="n"/>
      <c r="X197" s="46" t="n"/>
      <c r="Y197" s="42" t="n"/>
      <c r="Z197" s="43" t="n"/>
      <c r="AA197" s="41" t="n"/>
      <c r="AB197" s="47">
        <f>CALCULO!CT197</f>
      </c>
      <c r="AC197" s="48">
        <f>CALCULO!CD197</f>
      </c>
    </row>
    <row r="198">
      <c r="A198" s="40">
        <f>IF(B198="","",ROW()-5)</f>
      </c>
      <c r="B198" s="41" t="n"/>
      <c r="C198" s="42" t="n"/>
      <c r="D198" s="43" t="n"/>
      <c r="E198" s="43" t="n"/>
      <c r="F198" s="44" t="n"/>
      <c r="G198" s="44" t="n"/>
      <c r="H198" s="44" t="n"/>
      <c r="I198" s="44" t="n"/>
      <c r="J198" s="45" t="n"/>
      <c r="K198" s="45" t="n"/>
      <c r="L198" s="46" t="n"/>
      <c r="M198" s="45" t="n"/>
      <c r="N198" s="46" t="n"/>
      <c r="O198" s="45" t="n"/>
      <c r="P198" s="45" t="n"/>
      <c r="Q198" s="45" t="n"/>
      <c r="R198" s="45" t="n"/>
      <c r="S198" s="45" t="n"/>
      <c r="T198" s="45" t="n"/>
      <c r="U198" s="45" t="n"/>
      <c r="V198" s="46" t="n"/>
      <c r="W198" s="41" t="n"/>
      <c r="X198" s="46" t="n"/>
      <c r="Y198" s="42" t="n"/>
      <c r="Z198" s="43" t="n"/>
      <c r="AA198" s="41" t="n"/>
      <c r="AB198" s="47">
        <f>CALCULO!CT198</f>
      </c>
      <c r="AC198" s="48">
        <f>CALCULO!CD198</f>
      </c>
    </row>
    <row r="199">
      <c r="A199" s="40">
        <f>IF(B199="","",ROW()-5)</f>
      </c>
      <c r="B199" s="41" t="n"/>
      <c r="C199" s="42" t="n"/>
      <c r="D199" s="43" t="n"/>
      <c r="E199" s="43" t="n"/>
      <c r="F199" s="44" t="n"/>
      <c r="G199" s="44" t="n"/>
      <c r="H199" s="44" t="n"/>
      <c r="I199" s="44" t="n"/>
      <c r="J199" s="45" t="n"/>
      <c r="K199" s="45" t="n"/>
      <c r="L199" s="46" t="n"/>
      <c r="M199" s="45" t="n"/>
      <c r="N199" s="46" t="n"/>
      <c r="O199" s="45" t="n"/>
      <c r="P199" s="45" t="n"/>
      <c r="Q199" s="45" t="n"/>
      <c r="R199" s="45" t="n"/>
      <c r="S199" s="45" t="n"/>
      <c r="T199" s="45" t="n"/>
      <c r="U199" s="45" t="n"/>
      <c r="V199" s="46" t="n"/>
      <c r="W199" s="41" t="n"/>
      <c r="X199" s="46" t="n"/>
      <c r="Y199" s="42" t="n"/>
      <c r="Z199" s="43" t="n"/>
      <c r="AA199" s="41" t="n"/>
      <c r="AB199" s="47">
        <f>CALCULO!CT199</f>
      </c>
      <c r="AC199" s="48">
        <f>CALCULO!CD199</f>
      </c>
    </row>
    <row r="200">
      <c r="A200" s="40">
        <f>IF(B200="","",ROW()-5)</f>
      </c>
      <c r="B200" s="41" t="n"/>
      <c r="C200" s="42" t="n"/>
      <c r="D200" s="43" t="n"/>
      <c r="E200" s="43" t="n"/>
      <c r="F200" s="44" t="n"/>
      <c r="G200" s="44" t="n"/>
      <c r="H200" s="44" t="n"/>
      <c r="I200" s="44" t="n"/>
      <c r="J200" s="45" t="n"/>
      <c r="K200" s="45" t="n"/>
      <c r="L200" s="46" t="n"/>
      <c r="M200" s="45" t="n"/>
      <c r="N200" s="46" t="n"/>
      <c r="O200" s="45" t="n"/>
      <c r="P200" s="45" t="n"/>
      <c r="Q200" s="45" t="n"/>
      <c r="R200" s="45" t="n"/>
      <c r="S200" s="45" t="n"/>
      <c r="T200" s="45" t="n"/>
      <c r="U200" s="45" t="n"/>
      <c r="V200" s="46" t="n"/>
      <c r="W200" s="41" t="n"/>
      <c r="X200" s="46" t="n"/>
      <c r="Y200" s="42" t="n"/>
      <c r="Z200" s="43" t="n"/>
      <c r="AA200" s="41" t="n"/>
      <c r="AB200" s="47">
        <f>CALCULO!CT200</f>
      </c>
      <c r="AC200" s="48">
        <f>CALCULO!CD200</f>
      </c>
    </row>
    <row r="201">
      <c r="A201" s="40">
        <f>IF(B201="","",ROW()-5)</f>
      </c>
      <c r="B201" s="41" t="n"/>
      <c r="C201" s="42" t="n"/>
      <c r="D201" s="43" t="n"/>
      <c r="E201" s="43" t="n"/>
      <c r="F201" s="44" t="n"/>
      <c r="G201" s="44" t="n"/>
      <c r="H201" s="44" t="n"/>
      <c r="I201" s="44" t="n"/>
      <c r="J201" s="45" t="n"/>
      <c r="K201" s="45" t="n"/>
      <c r="L201" s="46" t="n"/>
      <c r="M201" s="45" t="n"/>
      <c r="N201" s="46" t="n"/>
      <c r="O201" s="45" t="n"/>
      <c r="P201" s="45" t="n"/>
      <c r="Q201" s="45" t="n"/>
      <c r="R201" s="45" t="n"/>
      <c r="S201" s="45" t="n"/>
      <c r="T201" s="45" t="n"/>
      <c r="U201" s="45" t="n"/>
      <c r="V201" s="46" t="n"/>
      <c r="W201" s="41" t="n"/>
      <c r="X201" s="46" t="n"/>
      <c r="Y201" s="42" t="n"/>
      <c r="Z201" s="43" t="n"/>
      <c r="AA201" s="41" t="n"/>
      <c r="AB201" s="47">
        <f>CALCULO!CT201</f>
      </c>
      <c r="AC201" s="48">
        <f>CALCULO!CD201</f>
      </c>
    </row>
    <row r="202">
      <c r="A202" s="40">
        <f>IF(B202="","",ROW()-5)</f>
      </c>
      <c r="B202" s="41" t="n"/>
      <c r="C202" s="42" t="n"/>
      <c r="D202" s="43" t="n"/>
      <c r="E202" s="43" t="n"/>
      <c r="F202" s="44" t="n"/>
      <c r="G202" s="44" t="n"/>
      <c r="H202" s="44" t="n"/>
      <c r="I202" s="44" t="n"/>
      <c r="J202" s="45" t="n"/>
      <c r="K202" s="45" t="n"/>
      <c r="L202" s="46" t="n"/>
      <c r="M202" s="45" t="n"/>
      <c r="N202" s="46" t="n"/>
      <c r="O202" s="45" t="n"/>
      <c r="P202" s="45" t="n"/>
      <c r="Q202" s="45" t="n"/>
      <c r="R202" s="45" t="n"/>
      <c r="S202" s="45" t="n"/>
      <c r="T202" s="45" t="n"/>
      <c r="U202" s="45" t="n"/>
      <c r="V202" s="46" t="n"/>
      <c r="W202" s="41" t="n"/>
      <c r="X202" s="46" t="n"/>
      <c r="Y202" s="42" t="n"/>
      <c r="Z202" s="43" t="n"/>
      <c r="AA202" s="41" t="n"/>
      <c r="AB202" s="47">
        <f>CALCULO!CT202</f>
      </c>
      <c r="AC202" s="48">
        <f>CALCULO!CD202</f>
      </c>
    </row>
    <row r="203">
      <c r="A203" s="40">
        <f>IF(B203="","",ROW()-5)</f>
      </c>
      <c r="B203" s="41" t="n"/>
      <c r="C203" s="42" t="n"/>
      <c r="D203" s="43" t="n"/>
      <c r="E203" s="43" t="n"/>
      <c r="F203" s="44" t="n"/>
      <c r="G203" s="44" t="n"/>
      <c r="H203" s="44" t="n"/>
      <c r="I203" s="44" t="n"/>
      <c r="J203" s="45" t="n"/>
      <c r="K203" s="45" t="n"/>
      <c r="L203" s="46" t="n"/>
      <c r="M203" s="45" t="n"/>
      <c r="N203" s="46" t="n"/>
      <c r="O203" s="45" t="n"/>
      <c r="P203" s="45" t="n"/>
      <c r="Q203" s="45" t="n"/>
      <c r="R203" s="45" t="n"/>
      <c r="S203" s="45" t="n"/>
      <c r="T203" s="45" t="n"/>
      <c r="U203" s="45" t="n"/>
      <c r="V203" s="46" t="n"/>
      <c r="W203" s="41" t="n"/>
      <c r="X203" s="46" t="n"/>
      <c r="Y203" s="42" t="n"/>
      <c r="Z203" s="43" t="n"/>
      <c r="AA203" s="41" t="n"/>
      <c r="AB203" s="47">
        <f>CALCULO!CT203</f>
      </c>
      <c r="AC203" s="48">
        <f>CALCULO!CD203</f>
      </c>
    </row>
    <row r="204">
      <c r="A204" s="40">
        <f>IF(B204="","",ROW()-5)</f>
      </c>
      <c r="B204" s="41" t="n"/>
      <c r="C204" s="42" t="n"/>
      <c r="D204" s="43" t="n"/>
      <c r="E204" s="43" t="n"/>
      <c r="F204" s="44" t="n"/>
      <c r="G204" s="44" t="n"/>
      <c r="H204" s="44" t="n"/>
      <c r="I204" s="44" t="n"/>
      <c r="J204" s="45" t="n"/>
      <c r="K204" s="45" t="n"/>
      <c r="L204" s="46" t="n"/>
      <c r="M204" s="45" t="n"/>
      <c r="N204" s="46" t="n"/>
      <c r="O204" s="45" t="n"/>
      <c r="P204" s="45" t="n"/>
      <c r="Q204" s="45" t="n"/>
      <c r="R204" s="45" t="n"/>
      <c r="S204" s="45" t="n"/>
      <c r="T204" s="45" t="n"/>
      <c r="U204" s="45" t="n"/>
      <c r="V204" s="46" t="n"/>
      <c r="W204" s="41" t="n"/>
      <c r="X204" s="46" t="n"/>
      <c r="Y204" s="42" t="n"/>
      <c r="Z204" s="43" t="n"/>
      <c r="AA204" s="41" t="n"/>
      <c r="AB204" s="47">
        <f>CALCULO!CT204</f>
      </c>
      <c r="AC204" s="48">
        <f>CALCULO!CD204</f>
      </c>
    </row>
    <row r="205">
      <c r="A205" s="40">
        <f>IF(B205="","",ROW()-5)</f>
      </c>
      <c r="B205" s="41" t="n"/>
      <c r="C205" s="42" t="n"/>
      <c r="D205" s="43" t="n"/>
      <c r="E205" s="43" t="n"/>
      <c r="F205" s="44" t="n"/>
      <c r="G205" s="44" t="n"/>
      <c r="H205" s="44" t="n"/>
      <c r="I205" s="44" t="n"/>
      <c r="J205" s="45" t="n"/>
      <c r="K205" s="45" t="n"/>
      <c r="L205" s="46" t="n"/>
      <c r="M205" s="45" t="n"/>
      <c r="N205" s="46" t="n"/>
      <c r="O205" s="45" t="n"/>
      <c r="P205" s="45" t="n"/>
      <c r="Q205" s="45" t="n"/>
      <c r="R205" s="45" t="n"/>
      <c r="S205" s="45" t="n"/>
      <c r="T205" s="45" t="n"/>
      <c r="U205" s="45" t="n"/>
      <c r="V205" s="46" t="n"/>
      <c r="W205" s="41" t="n"/>
      <c r="X205" s="46" t="n"/>
      <c r="Y205" s="42" t="n"/>
      <c r="Z205" s="43" t="n"/>
      <c r="AA205" s="41" t="n"/>
      <c r="AB205" s="47">
        <f>CALCULO!CT205</f>
      </c>
      <c r="AC205" s="48">
        <f>CALCULO!CD205</f>
      </c>
    </row>
    <row r="206">
      <c r="A206" s="40">
        <f>IF(B206="","",ROW()-5)</f>
      </c>
      <c r="B206" s="41" t="n"/>
      <c r="C206" s="42" t="n"/>
      <c r="D206" s="43" t="n"/>
      <c r="E206" s="43" t="n"/>
      <c r="F206" s="44" t="n"/>
      <c r="G206" s="44" t="n"/>
      <c r="H206" s="44" t="n"/>
      <c r="I206" s="44" t="n"/>
      <c r="J206" s="45" t="n"/>
      <c r="K206" s="45" t="n"/>
      <c r="L206" s="46" t="n"/>
      <c r="M206" s="45" t="n"/>
      <c r="N206" s="46" t="n"/>
      <c r="O206" s="45" t="n"/>
      <c r="P206" s="45" t="n"/>
      <c r="Q206" s="45" t="n"/>
      <c r="R206" s="45" t="n"/>
      <c r="S206" s="45" t="n"/>
      <c r="T206" s="45" t="n"/>
      <c r="U206" s="45" t="n"/>
      <c r="V206" s="46" t="n"/>
      <c r="W206" s="41" t="n"/>
      <c r="X206" s="46" t="n"/>
      <c r="Y206" s="42" t="n"/>
      <c r="Z206" s="43" t="n"/>
      <c r="AA206" s="41" t="n"/>
      <c r="AB206" s="47">
        <f>CALCULO!CT206</f>
      </c>
      <c r="AC206" s="48">
        <f>CALCULO!CD206</f>
      </c>
    </row>
    <row r="207">
      <c r="A207" s="40">
        <f>IF(B207="","",ROW()-5)</f>
      </c>
      <c r="B207" s="41" t="n"/>
      <c r="C207" s="42" t="n"/>
      <c r="D207" s="43" t="n"/>
      <c r="E207" s="43" t="n"/>
      <c r="F207" s="44" t="n"/>
      <c r="G207" s="44" t="n"/>
      <c r="H207" s="44" t="n"/>
      <c r="I207" s="44" t="n"/>
      <c r="J207" s="45" t="n"/>
      <c r="K207" s="45" t="n"/>
      <c r="L207" s="46" t="n"/>
      <c r="M207" s="45" t="n"/>
      <c r="N207" s="46" t="n"/>
      <c r="O207" s="45" t="n"/>
      <c r="P207" s="45" t="n"/>
      <c r="Q207" s="45" t="n"/>
      <c r="R207" s="45" t="n"/>
      <c r="S207" s="45" t="n"/>
      <c r="T207" s="45" t="n"/>
      <c r="U207" s="45" t="n"/>
      <c r="V207" s="46" t="n"/>
      <c r="W207" s="41" t="n"/>
      <c r="X207" s="46" t="n"/>
      <c r="Y207" s="42" t="n"/>
      <c r="Z207" s="43" t="n"/>
      <c r="AA207" s="41" t="n"/>
      <c r="AB207" s="47">
        <f>CALCULO!CT207</f>
      </c>
      <c r="AC207" s="48">
        <f>CALCULO!CD207</f>
      </c>
    </row>
    <row r="208">
      <c r="A208" s="40">
        <f>IF(B208="","",ROW()-5)</f>
      </c>
      <c r="B208" s="41" t="n"/>
      <c r="C208" s="42" t="n"/>
      <c r="D208" s="43" t="n"/>
      <c r="E208" s="43" t="n"/>
      <c r="F208" s="44" t="n"/>
      <c r="G208" s="44" t="n"/>
      <c r="H208" s="44" t="n"/>
      <c r="I208" s="44" t="n"/>
      <c r="J208" s="45" t="n"/>
      <c r="K208" s="45" t="n"/>
      <c r="L208" s="46" t="n"/>
      <c r="M208" s="45" t="n"/>
      <c r="N208" s="46" t="n"/>
      <c r="O208" s="45" t="n"/>
      <c r="P208" s="45" t="n"/>
      <c r="Q208" s="45" t="n"/>
      <c r="R208" s="45" t="n"/>
      <c r="S208" s="45" t="n"/>
      <c r="T208" s="45" t="n"/>
      <c r="U208" s="45" t="n"/>
      <c r="V208" s="46" t="n"/>
      <c r="W208" s="41" t="n"/>
      <c r="X208" s="46" t="n"/>
      <c r="Y208" s="42" t="n"/>
      <c r="Z208" s="43" t="n"/>
      <c r="AA208" s="41" t="n"/>
      <c r="AB208" s="47">
        <f>CALCULO!CT208</f>
      </c>
      <c r="AC208" s="48">
        <f>CALCULO!CD208</f>
      </c>
    </row>
    <row r="209">
      <c r="A209" s="40">
        <f>IF(B209="","",ROW()-5)</f>
      </c>
      <c r="B209" s="41" t="n"/>
      <c r="C209" s="42" t="n"/>
      <c r="D209" s="43" t="n"/>
      <c r="E209" s="43" t="n"/>
      <c r="F209" s="44" t="n"/>
      <c r="G209" s="44" t="n"/>
      <c r="H209" s="44" t="n"/>
      <c r="I209" s="44" t="n"/>
      <c r="J209" s="45" t="n"/>
      <c r="K209" s="45" t="n"/>
      <c r="L209" s="46" t="n"/>
      <c r="M209" s="45" t="n"/>
      <c r="N209" s="46" t="n"/>
      <c r="O209" s="45" t="n"/>
      <c r="P209" s="45" t="n"/>
      <c r="Q209" s="45" t="n"/>
      <c r="R209" s="45" t="n"/>
      <c r="S209" s="45" t="n"/>
      <c r="T209" s="45" t="n"/>
      <c r="U209" s="45" t="n"/>
      <c r="V209" s="46" t="n"/>
      <c r="W209" s="41" t="n"/>
      <c r="X209" s="46" t="n"/>
      <c r="Y209" s="42" t="n"/>
      <c r="Z209" s="43" t="n"/>
      <c r="AA209" s="41" t="n"/>
      <c r="AB209" s="47">
        <f>CALCULO!CT209</f>
      </c>
      <c r="AC209" s="48">
        <f>CALCULO!CD209</f>
      </c>
    </row>
    <row r="210">
      <c r="A210" s="40">
        <f>IF(B210="","",ROW()-5)</f>
      </c>
      <c r="B210" s="41" t="n"/>
      <c r="C210" s="42" t="n"/>
      <c r="D210" s="43" t="n"/>
      <c r="E210" s="43" t="n"/>
      <c r="F210" s="44" t="n"/>
      <c r="G210" s="44" t="n"/>
      <c r="H210" s="44" t="n"/>
      <c r="I210" s="44" t="n"/>
      <c r="J210" s="45" t="n"/>
      <c r="K210" s="45" t="n"/>
      <c r="L210" s="46" t="n"/>
      <c r="M210" s="45" t="n"/>
      <c r="N210" s="46" t="n"/>
      <c r="O210" s="45" t="n"/>
      <c r="P210" s="45" t="n"/>
      <c r="Q210" s="45" t="n"/>
      <c r="R210" s="45" t="n"/>
      <c r="S210" s="45" t="n"/>
      <c r="T210" s="45" t="n"/>
      <c r="U210" s="45" t="n"/>
      <c r="V210" s="46" t="n"/>
      <c r="W210" s="41" t="n"/>
      <c r="X210" s="46" t="n"/>
      <c r="Y210" s="42" t="n"/>
      <c r="Z210" s="43" t="n"/>
      <c r="AA210" s="41" t="n"/>
      <c r="AB210" s="47">
        <f>CALCULO!CT210</f>
      </c>
      <c r="AC210" s="48">
        <f>CALCULO!CD210</f>
      </c>
    </row>
    <row r="211">
      <c r="A211" s="40">
        <f>IF(B211="","",ROW()-5)</f>
      </c>
      <c r="B211" s="41" t="n"/>
      <c r="C211" s="42" t="n"/>
      <c r="D211" s="43" t="n"/>
      <c r="E211" s="43" t="n"/>
      <c r="F211" s="44" t="n"/>
      <c r="G211" s="44" t="n"/>
      <c r="H211" s="44" t="n"/>
      <c r="I211" s="44" t="n"/>
      <c r="J211" s="45" t="n"/>
      <c r="K211" s="45" t="n"/>
      <c r="L211" s="46" t="n"/>
      <c r="M211" s="45" t="n"/>
      <c r="N211" s="46" t="n"/>
      <c r="O211" s="45" t="n"/>
      <c r="P211" s="45" t="n"/>
      <c r="Q211" s="45" t="n"/>
      <c r="R211" s="45" t="n"/>
      <c r="S211" s="45" t="n"/>
      <c r="T211" s="45" t="n"/>
      <c r="U211" s="45" t="n"/>
      <c r="V211" s="46" t="n"/>
      <c r="W211" s="41" t="n"/>
      <c r="X211" s="46" t="n"/>
      <c r="Y211" s="42" t="n"/>
      <c r="Z211" s="43" t="n"/>
      <c r="AA211" s="41" t="n"/>
      <c r="AB211" s="47">
        <f>CALCULO!CT211</f>
      </c>
      <c r="AC211" s="48">
        <f>CALCULO!CD211</f>
      </c>
    </row>
    <row r="212">
      <c r="A212" s="40">
        <f>IF(B212="","",ROW()-5)</f>
      </c>
      <c r="B212" s="41" t="n"/>
      <c r="C212" s="42" t="n"/>
      <c r="D212" s="43" t="n"/>
      <c r="E212" s="43" t="n"/>
      <c r="F212" s="44" t="n"/>
      <c r="G212" s="44" t="n"/>
      <c r="H212" s="44" t="n"/>
      <c r="I212" s="44" t="n"/>
      <c r="J212" s="45" t="n"/>
      <c r="K212" s="45" t="n"/>
      <c r="L212" s="46" t="n"/>
      <c r="M212" s="45" t="n"/>
      <c r="N212" s="46" t="n"/>
      <c r="O212" s="45" t="n"/>
      <c r="P212" s="45" t="n"/>
      <c r="Q212" s="45" t="n"/>
      <c r="R212" s="45" t="n"/>
      <c r="S212" s="45" t="n"/>
      <c r="T212" s="45" t="n"/>
      <c r="U212" s="45" t="n"/>
      <c r="V212" s="46" t="n"/>
      <c r="W212" s="41" t="n"/>
      <c r="X212" s="46" t="n"/>
      <c r="Y212" s="42" t="n"/>
      <c r="Z212" s="43" t="n"/>
      <c r="AA212" s="41" t="n"/>
      <c r="AB212" s="47">
        <f>CALCULO!CT212</f>
      </c>
      <c r="AC212" s="48">
        <f>CALCULO!CD212</f>
      </c>
    </row>
    <row r="213">
      <c r="A213" s="40">
        <f>IF(B213="","",ROW()-5)</f>
      </c>
      <c r="B213" s="41" t="n"/>
      <c r="C213" s="42" t="n"/>
      <c r="D213" s="43" t="n"/>
      <c r="E213" s="43" t="n"/>
      <c r="F213" s="44" t="n"/>
      <c r="G213" s="44" t="n"/>
      <c r="H213" s="44" t="n"/>
      <c r="I213" s="44" t="n"/>
      <c r="J213" s="45" t="n"/>
      <c r="K213" s="45" t="n"/>
      <c r="L213" s="46" t="n"/>
      <c r="M213" s="45" t="n"/>
      <c r="N213" s="46" t="n"/>
      <c r="O213" s="45" t="n"/>
      <c r="P213" s="45" t="n"/>
      <c r="Q213" s="45" t="n"/>
      <c r="R213" s="45" t="n"/>
      <c r="S213" s="45" t="n"/>
      <c r="T213" s="45" t="n"/>
      <c r="U213" s="45" t="n"/>
      <c r="V213" s="46" t="n"/>
      <c r="W213" s="41" t="n"/>
      <c r="X213" s="46" t="n"/>
      <c r="Y213" s="42" t="n"/>
      <c r="Z213" s="43" t="n"/>
      <c r="AA213" s="41" t="n"/>
      <c r="AB213" s="47">
        <f>CALCULO!CT213</f>
      </c>
      <c r="AC213" s="48">
        <f>CALCULO!CD213</f>
      </c>
    </row>
    <row r="214">
      <c r="A214" s="40">
        <f>IF(B214="","",ROW()-5)</f>
      </c>
      <c r="B214" s="41" t="n"/>
      <c r="C214" s="42" t="n"/>
      <c r="D214" s="43" t="n"/>
      <c r="E214" s="43" t="n"/>
      <c r="F214" s="44" t="n"/>
      <c r="G214" s="44" t="n"/>
      <c r="H214" s="44" t="n"/>
      <c r="I214" s="44" t="n"/>
      <c r="J214" s="45" t="n"/>
      <c r="K214" s="45" t="n"/>
      <c r="L214" s="46" t="n"/>
      <c r="M214" s="45" t="n"/>
      <c r="N214" s="46" t="n"/>
      <c r="O214" s="45" t="n"/>
      <c r="P214" s="45" t="n"/>
      <c r="Q214" s="45" t="n"/>
      <c r="R214" s="45" t="n"/>
      <c r="S214" s="45" t="n"/>
      <c r="T214" s="45" t="n"/>
      <c r="U214" s="45" t="n"/>
      <c r="V214" s="46" t="n"/>
      <c r="W214" s="41" t="n"/>
      <c r="X214" s="46" t="n"/>
      <c r="Y214" s="42" t="n"/>
      <c r="Z214" s="43" t="n"/>
      <c r="AA214" s="41" t="n"/>
      <c r="AB214" s="47">
        <f>CALCULO!CT214</f>
      </c>
      <c r="AC214" s="48">
        <f>CALCULO!CD214</f>
      </c>
    </row>
    <row r="215">
      <c r="A215" s="40">
        <f>IF(B215="","",ROW()-5)</f>
      </c>
      <c r="B215" s="41" t="n"/>
      <c r="C215" s="42" t="n"/>
      <c r="D215" s="43" t="n"/>
      <c r="E215" s="43" t="n"/>
      <c r="F215" s="44" t="n"/>
      <c r="G215" s="44" t="n"/>
      <c r="H215" s="44" t="n"/>
      <c r="I215" s="44" t="n"/>
      <c r="J215" s="45" t="n"/>
      <c r="K215" s="45" t="n"/>
      <c r="L215" s="46" t="n"/>
      <c r="M215" s="45" t="n"/>
      <c r="N215" s="46" t="n"/>
      <c r="O215" s="45" t="n"/>
      <c r="P215" s="45" t="n"/>
      <c r="Q215" s="45" t="n"/>
      <c r="R215" s="45" t="n"/>
      <c r="S215" s="45" t="n"/>
      <c r="T215" s="45" t="n"/>
      <c r="U215" s="45" t="n"/>
      <c r="V215" s="46" t="n"/>
      <c r="W215" s="41" t="n"/>
      <c r="X215" s="46" t="n"/>
      <c r="Y215" s="42" t="n"/>
      <c r="Z215" s="43" t="n"/>
      <c r="AA215" s="41" t="n"/>
      <c r="AB215" s="47">
        <f>CALCULO!CT215</f>
      </c>
      <c r="AC215" s="48">
        <f>CALCULO!CD215</f>
      </c>
    </row>
    <row r="216">
      <c r="A216" s="40">
        <f>IF(B216="","",ROW()-5)</f>
      </c>
      <c r="B216" s="41" t="n"/>
      <c r="C216" s="42" t="n"/>
      <c r="D216" s="43" t="n"/>
      <c r="E216" s="43" t="n"/>
      <c r="F216" s="44" t="n"/>
      <c r="G216" s="44" t="n"/>
      <c r="H216" s="44" t="n"/>
      <c r="I216" s="44" t="n"/>
      <c r="J216" s="45" t="n"/>
      <c r="K216" s="45" t="n"/>
      <c r="L216" s="46" t="n"/>
      <c r="M216" s="45" t="n"/>
      <c r="N216" s="46" t="n"/>
      <c r="O216" s="45" t="n"/>
      <c r="P216" s="45" t="n"/>
      <c r="Q216" s="45" t="n"/>
      <c r="R216" s="45" t="n"/>
      <c r="S216" s="45" t="n"/>
      <c r="T216" s="45" t="n"/>
      <c r="U216" s="45" t="n"/>
      <c r="V216" s="46" t="n"/>
      <c r="W216" s="41" t="n"/>
      <c r="X216" s="46" t="n"/>
      <c r="Y216" s="42" t="n"/>
      <c r="Z216" s="43" t="n"/>
      <c r="AA216" s="41" t="n"/>
      <c r="AB216" s="47">
        <f>CALCULO!CT216</f>
      </c>
      <c r="AC216" s="48">
        <f>CALCULO!CD216</f>
      </c>
    </row>
    <row r="217">
      <c r="A217" s="40">
        <f>IF(B217="","",ROW()-5)</f>
      </c>
      <c r="B217" s="41" t="n"/>
      <c r="C217" s="42" t="n"/>
      <c r="D217" s="43" t="n"/>
      <c r="E217" s="43" t="n"/>
      <c r="F217" s="44" t="n"/>
      <c r="G217" s="44" t="n"/>
      <c r="H217" s="44" t="n"/>
      <c r="I217" s="44" t="n"/>
      <c r="J217" s="45" t="n"/>
      <c r="K217" s="45" t="n"/>
      <c r="L217" s="46" t="n"/>
      <c r="M217" s="45" t="n"/>
      <c r="N217" s="46" t="n"/>
      <c r="O217" s="45" t="n"/>
      <c r="P217" s="45" t="n"/>
      <c r="Q217" s="45" t="n"/>
      <c r="R217" s="45" t="n"/>
      <c r="S217" s="45" t="n"/>
      <c r="T217" s="45" t="n"/>
      <c r="U217" s="45" t="n"/>
      <c r="V217" s="46" t="n"/>
      <c r="W217" s="41" t="n"/>
      <c r="X217" s="46" t="n"/>
      <c r="Y217" s="42" t="n"/>
      <c r="Z217" s="43" t="n"/>
      <c r="AA217" s="41" t="n"/>
      <c r="AB217" s="47">
        <f>CALCULO!CT217</f>
      </c>
      <c r="AC217" s="48">
        <f>CALCULO!CD217</f>
      </c>
    </row>
    <row r="218">
      <c r="A218" s="40">
        <f>IF(B218="","",ROW()-5)</f>
      </c>
      <c r="B218" s="41" t="n"/>
      <c r="C218" s="42" t="n"/>
      <c r="D218" s="43" t="n"/>
      <c r="E218" s="43" t="n"/>
      <c r="F218" s="44" t="n"/>
      <c r="G218" s="44" t="n"/>
      <c r="H218" s="44" t="n"/>
      <c r="I218" s="44" t="n"/>
      <c r="J218" s="45" t="n"/>
      <c r="K218" s="45" t="n"/>
      <c r="L218" s="46" t="n"/>
      <c r="M218" s="45" t="n"/>
      <c r="N218" s="46" t="n"/>
      <c r="O218" s="45" t="n"/>
      <c r="P218" s="45" t="n"/>
      <c r="Q218" s="45" t="n"/>
      <c r="R218" s="45" t="n"/>
      <c r="S218" s="45" t="n"/>
      <c r="T218" s="45" t="n"/>
      <c r="U218" s="45" t="n"/>
      <c r="V218" s="46" t="n"/>
      <c r="W218" s="41" t="n"/>
      <c r="X218" s="46" t="n"/>
      <c r="Y218" s="42" t="n"/>
      <c r="Z218" s="43" t="n"/>
      <c r="AA218" s="41" t="n"/>
      <c r="AB218" s="47">
        <f>CALCULO!CT218</f>
      </c>
      <c r="AC218" s="48">
        <f>CALCULO!CD218</f>
      </c>
    </row>
    <row r="219">
      <c r="A219" s="40">
        <f>IF(B219="","",ROW()-5)</f>
      </c>
      <c r="B219" s="41" t="n"/>
      <c r="C219" s="42" t="n"/>
      <c r="D219" s="43" t="n"/>
      <c r="E219" s="43" t="n"/>
      <c r="F219" s="44" t="n"/>
      <c r="G219" s="44" t="n"/>
      <c r="H219" s="44" t="n"/>
      <c r="I219" s="44" t="n"/>
      <c r="J219" s="45" t="n"/>
      <c r="K219" s="45" t="n"/>
      <c r="L219" s="46" t="n"/>
      <c r="M219" s="45" t="n"/>
      <c r="N219" s="46" t="n"/>
      <c r="O219" s="45" t="n"/>
      <c r="P219" s="45" t="n"/>
      <c r="Q219" s="45" t="n"/>
      <c r="R219" s="45" t="n"/>
      <c r="S219" s="45" t="n"/>
      <c r="T219" s="45" t="n"/>
      <c r="U219" s="45" t="n"/>
      <c r="V219" s="46" t="n"/>
      <c r="W219" s="41" t="n"/>
      <c r="X219" s="46" t="n"/>
      <c r="Y219" s="42" t="n"/>
      <c r="Z219" s="43" t="n"/>
      <c r="AA219" s="41" t="n"/>
      <c r="AB219" s="47">
        <f>CALCULO!CT219</f>
      </c>
      <c r="AC219" s="48">
        <f>CALCULO!CD219</f>
      </c>
    </row>
    <row r="220">
      <c r="A220" s="40">
        <f>IF(B220="","",ROW()-5)</f>
      </c>
      <c r="B220" s="41" t="n"/>
      <c r="C220" s="42" t="n"/>
      <c r="D220" s="43" t="n"/>
      <c r="E220" s="43" t="n"/>
      <c r="F220" s="44" t="n"/>
      <c r="G220" s="44" t="n"/>
      <c r="H220" s="44" t="n"/>
      <c r="I220" s="44" t="n"/>
      <c r="J220" s="45" t="n"/>
      <c r="K220" s="45" t="n"/>
      <c r="L220" s="46" t="n"/>
      <c r="M220" s="45" t="n"/>
      <c r="N220" s="46" t="n"/>
      <c r="O220" s="45" t="n"/>
      <c r="P220" s="45" t="n"/>
      <c r="Q220" s="45" t="n"/>
      <c r="R220" s="45" t="n"/>
      <c r="S220" s="45" t="n"/>
      <c r="T220" s="45" t="n"/>
      <c r="U220" s="45" t="n"/>
      <c r="V220" s="46" t="n"/>
      <c r="W220" s="41" t="n"/>
      <c r="X220" s="46" t="n"/>
      <c r="Y220" s="42" t="n"/>
      <c r="Z220" s="43" t="n"/>
      <c r="AA220" s="41" t="n"/>
      <c r="AB220" s="47">
        <f>CALCULO!CT220</f>
      </c>
      <c r="AC220" s="48">
        <f>CALCULO!CD220</f>
      </c>
    </row>
    <row r="221">
      <c r="A221" s="40">
        <f>IF(B221="","",ROW()-5)</f>
      </c>
      <c r="B221" s="41" t="n"/>
      <c r="C221" s="42" t="n"/>
      <c r="D221" s="43" t="n"/>
      <c r="E221" s="43" t="n"/>
      <c r="F221" s="44" t="n"/>
      <c r="G221" s="44" t="n"/>
      <c r="H221" s="44" t="n"/>
      <c r="I221" s="44" t="n"/>
      <c r="J221" s="45" t="n"/>
      <c r="K221" s="45" t="n"/>
      <c r="L221" s="46" t="n"/>
      <c r="M221" s="45" t="n"/>
      <c r="N221" s="46" t="n"/>
      <c r="O221" s="45" t="n"/>
      <c r="P221" s="45" t="n"/>
      <c r="Q221" s="45" t="n"/>
      <c r="R221" s="45" t="n"/>
      <c r="S221" s="45" t="n"/>
      <c r="T221" s="45" t="n"/>
      <c r="U221" s="45" t="n"/>
      <c r="V221" s="46" t="n"/>
      <c r="W221" s="41" t="n"/>
      <c r="X221" s="46" t="n"/>
      <c r="Y221" s="42" t="n"/>
      <c r="Z221" s="43" t="n"/>
      <c r="AA221" s="41" t="n"/>
      <c r="AB221" s="47">
        <f>CALCULO!CT221</f>
      </c>
      <c r="AC221" s="48">
        <f>CALCULO!CD221</f>
      </c>
    </row>
    <row r="222">
      <c r="A222" s="40">
        <f>IF(B222="","",ROW()-5)</f>
      </c>
      <c r="B222" s="41" t="n"/>
      <c r="C222" s="42" t="n"/>
      <c r="D222" s="43" t="n"/>
      <c r="E222" s="43" t="n"/>
      <c r="F222" s="44" t="n"/>
      <c r="G222" s="44" t="n"/>
      <c r="H222" s="44" t="n"/>
      <c r="I222" s="44" t="n"/>
      <c r="J222" s="45" t="n"/>
      <c r="K222" s="45" t="n"/>
      <c r="L222" s="46" t="n"/>
      <c r="M222" s="45" t="n"/>
      <c r="N222" s="46" t="n"/>
      <c r="O222" s="45" t="n"/>
      <c r="P222" s="45" t="n"/>
      <c r="Q222" s="45" t="n"/>
      <c r="R222" s="45" t="n"/>
      <c r="S222" s="45" t="n"/>
      <c r="T222" s="45" t="n"/>
      <c r="U222" s="45" t="n"/>
      <c r="V222" s="46" t="n"/>
      <c r="W222" s="41" t="n"/>
      <c r="X222" s="46" t="n"/>
      <c r="Y222" s="42" t="n"/>
      <c r="Z222" s="43" t="n"/>
      <c r="AA222" s="41" t="n"/>
      <c r="AB222" s="47">
        <f>CALCULO!CT222</f>
      </c>
      <c r="AC222" s="48">
        <f>CALCULO!CD222</f>
      </c>
    </row>
    <row r="223">
      <c r="A223" s="40">
        <f>IF(B223="","",ROW()-5)</f>
      </c>
      <c r="B223" s="41" t="n"/>
      <c r="C223" s="42" t="n"/>
      <c r="D223" s="43" t="n"/>
      <c r="E223" s="43" t="n"/>
      <c r="F223" s="44" t="n"/>
      <c r="G223" s="44" t="n"/>
      <c r="H223" s="44" t="n"/>
      <c r="I223" s="44" t="n"/>
      <c r="J223" s="45" t="n"/>
      <c r="K223" s="45" t="n"/>
      <c r="L223" s="46" t="n"/>
      <c r="M223" s="45" t="n"/>
      <c r="N223" s="46" t="n"/>
      <c r="O223" s="45" t="n"/>
      <c r="P223" s="45" t="n"/>
      <c r="Q223" s="45" t="n"/>
      <c r="R223" s="45" t="n"/>
      <c r="S223" s="45" t="n"/>
      <c r="T223" s="45" t="n"/>
      <c r="U223" s="45" t="n"/>
      <c r="V223" s="46" t="n"/>
      <c r="W223" s="41" t="n"/>
      <c r="X223" s="46" t="n"/>
      <c r="Y223" s="42" t="n"/>
      <c r="Z223" s="43" t="n"/>
      <c r="AA223" s="41" t="n"/>
      <c r="AB223" s="47">
        <f>CALCULO!CT223</f>
      </c>
      <c r="AC223" s="48">
        <f>CALCULO!CD223</f>
      </c>
    </row>
    <row r="224">
      <c r="A224" s="40">
        <f>IF(B224="","",ROW()-5)</f>
      </c>
      <c r="B224" s="41" t="n"/>
      <c r="C224" s="42" t="n"/>
      <c r="D224" s="43" t="n"/>
      <c r="E224" s="43" t="n"/>
      <c r="F224" s="44" t="n"/>
      <c r="G224" s="44" t="n"/>
      <c r="H224" s="44" t="n"/>
      <c r="I224" s="44" t="n"/>
      <c r="J224" s="45" t="n"/>
      <c r="K224" s="45" t="n"/>
      <c r="L224" s="46" t="n"/>
      <c r="M224" s="45" t="n"/>
      <c r="N224" s="46" t="n"/>
      <c r="O224" s="45" t="n"/>
      <c r="P224" s="45" t="n"/>
      <c r="Q224" s="45" t="n"/>
      <c r="R224" s="45" t="n"/>
      <c r="S224" s="45" t="n"/>
      <c r="T224" s="45" t="n"/>
      <c r="U224" s="45" t="n"/>
      <c r="V224" s="46" t="n"/>
      <c r="W224" s="41" t="n"/>
      <c r="X224" s="46" t="n"/>
      <c r="Y224" s="42" t="n"/>
      <c r="Z224" s="43" t="n"/>
      <c r="AA224" s="41" t="n"/>
      <c r="AB224" s="47">
        <f>CALCULO!CT224</f>
      </c>
      <c r="AC224" s="48">
        <f>CALCULO!CD224</f>
      </c>
    </row>
    <row r="225">
      <c r="A225" s="40">
        <f>IF(B225="","",ROW()-5)</f>
      </c>
      <c r="B225" s="41" t="n"/>
      <c r="C225" s="42" t="n"/>
      <c r="D225" s="43" t="n"/>
      <c r="E225" s="43" t="n"/>
      <c r="F225" s="44" t="n"/>
      <c r="G225" s="44" t="n"/>
      <c r="H225" s="44" t="n"/>
      <c r="I225" s="44" t="n"/>
      <c r="J225" s="45" t="n"/>
      <c r="K225" s="45" t="n"/>
      <c r="L225" s="46" t="n"/>
      <c r="M225" s="45" t="n"/>
      <c r="N225" s="46" t="n"/>
      <c r="O225" s="45" t="n"/>
      <c r="P225" s="45" t="n"/>
      <c r="Q225" s="45" t="n"/>
      <c r="R225" s="45" t="n"/>
      <c r="S225" s="45" t="n"/>
      <c r="T225" s="45" t="n"/>
      <c r="U225" s="45" t="n"/>
      <c r="V225" s="46" t="n"/>
      <c r="W225" s="41" t="n"/>
      <c r="X225" s="46" t="n"/>
      <c r="Y225" s="42" t="n"/>
      <c r="Z225" s="43" t="n"/>
      <c r="AA225" s="41" t="n"/>
      <c r="AB225" s="47">
        <f>CALCULO!CT225</f>
      </c>
      <c r="AC225" s="48">
        <f>CALCULO!CD225</f>
      </c>
    </row>
    <row r="226">
      <c r="A226" s="40">
        <f>IF(B226="","",ROW()-5)</f>
      </c>
      <c r="B226" s="41" t="n"/>
      <c r="C226" s="42" t="n"/>
      <c r="D226" s="43" t="n"/>
      <c r="E226" s="43" t="n"/>
      <c r="F226" s="44" t="n"/>
      <c r="G226" s="44" t="n"/>
      <c r="H226" s="44" t="n"/>
      <c r="I226" s="44" t="n"/>
      <c r="J226" s="45" t="n"/>
      <c r="K226" s="45" t="n"/>
      <c r="L226" s="46" t="n"/>
      <c r="M226" s="45" t="n"/>
      <c r="N226" s="46" t="n"/>
      <c r="O226" s="45" t="n"/>
      <c r="P226" s="45" t="n"/>
      <c r="Q226" s="45" t="n"/>
      <c r="R226" s="45" t="n"/>
      <c r="S226" s="45" t="n"/>
      <c r="T226" s="45" t="n"/>
      <c r="U226" s="45" t="n"/>
      <c r="V226" s="46" t="n"/>
      <c r="W226" s="41" t="n"/>
      <c r="X226" s="46" t="n"/>
      <c r="Y226" s="42" t="n"/>
      <c r="Z226" s="43" t="n"/>
      <c r="AA226" s="41" t="n"/>
      <c r="AB226" s="47">
        <f>CALCULO!CT226</f>
      </c>
      <c r="AC226" s="48">
        <f>CALCULO!CD226</f>
      </c>
    </row>
    <row r="227">
      <c r="A227" s="40">
        <f>IF(B227="","",ROW()-5)</f>
      </c>
      <c r="B227" s="41" t="n"/>
      <c r="C227" s="42" t="n"/>
      <c r="D227" s="43" t="n"/>
      <c r="E227" s="43" t="n"/>
      <c r="F227" s="44" t="n"/>
      <c r="G227" s="44" t="n"/>
      <c r="H227" s="44" t="n"/>
      <c r="I227" s="44" t="n"/>
      <c r="J227" s="45" t="n"/>
      <c r="K227" s="45" t="n"/>
      <c r="L227" s="46" t="n"/>
      <c r="M227" s="45" t="n"/>
      <c r="N227" s="46" t="n"/>
      <c r="O227" s="45" t="n"/>
      <c r="P227" s="45" t="n"/>
      <c r="Q227" s="45" t="n"/>
      <c r="R227" s="45" t="n"/>
      <c r="S227" s="45" t="n"/>
      <c r="T227" s="45" t="n"/>
      <c r="U227" s="45" t="n"/>
      <c r="V227" s="46" t="n"/>
      <c r="W227" s="41" t="n"/>
      <c r="X227" s="46" t="n"/>
      <c r="Y227" s="42" t="n"/>
      <c r="Z227" s="43" t="n"/>
      <c r="AA227" s="41" t="n"/>
      <c r="AB227" s="47">
        <f>CALCULO!CT227</f>
      </c>
      <c r="AC227" s="48">
        <f>CALCULO!CD227</f>
      </c>
    </row>
    <row r="228">
      <c r="A228" s="40">
        <f>IF(B228="","",ROW()-5)</f>
      </c>
      <c r="B228" s="41" t="n"/>
      <c r="C228" s="42" t="n"/>
      <c r="D228" s="43" t="n"/>
      <c r="E228" s="43" t="n"/>
      <c r="F228" s="44" t="n"/>
      <c r="G228" s="44" t="n"/>
      <c r="H228" s="44" t="n"/>
      <c r="I228" s="44" t="n"/>
      <c r="J228" s="45" t="n"/>
      <c r="K228" s="45" t="n"/>
      <c r="L228" s="46" t="n"/>
      <c r="M228" s="45" t="n"/>
      <c r="N228" s="46" t="n"/>
      <c r="O228" s="45" t="n"/>
      <c r="P228" s="45" t="n"/>
      <c r="Q228" s="45" t="n"/>
      <c r="R228" s="45" t="n"/>
      <c r="S228" s="45" t="n"/>
      <c r="T228" s="45" t="n"/>
      <c r="U228" s="45" t="n"/>
      <c r="V228" s="46" t="n"/>
      <c r="W228" s="41" t="n"/>
      <c r="X228" s="46" t="n"/>
      <c r="Y228" s="42" t="n"/>
      <c r="Z228" s="43" t="n"/>
      <c r="AA228" s="41" t="n"/>
      <c r="AB228" s="47">
        <f>CALCULO!CT228</f>
      </c>
      <c r="AC228" s="48">
        <f>CALCULO!CD228</f>
      </c>
    </row>
    <row r="229">
      <c r="A229" s="40">
        <f>IF(B229="","",ROW()-5)</f>
      </c>
      <c r="B229" s="41" t="n"/>
      <c r="C229" s="42" t="n"/>
      <c r="D229" s="43" t="n"/>
      <c r="E229" s="43" t="n"/>
      <c r="F229" s="44" t="n"/>
      <c r="G229" s="44" t="n"/>
      <c r="H229" s="44" t="n"/>
      <c r="I229" s="44" t="n"/>
      <c r="J229" s="45" t="n"/>
      <c r="K229" s="45" t="n"/>
      <c r="L229" s="46" t="n"/>
      <c r="M229" s="45" t="n"/>
      <c r="N229" s="46" t="n"/>
      <c r="O229" s="45" t="n"/>
      <c r="P229" s="45" t="n"/>
      <c r="Q229" s="45" t="n"/>
      <c r="R229" s="45" t="n"/>
      <c r="S229" s="45" t="n"/>
      <c r="T229" s="45" t="n"/>
      <c r="U229" s="45" t="n"/>
      <c r="V229" s="46" t="n"/>
      <c r="W229" s="41" t="n"/>
      <c r="X229" s="46" t="n"/>
      <c r="Y229" s="42" t="n"/>
      <c r="Z229" s="43" t="n"/>
      <c r="AA229" s="41" t="n"/>
      <c r="AB229" s="47">
        <f>CALCULO!CT229</f>
      </c>
      <c r="AC229" s="48">
        <f>CALCULO!CD229</f>
      </c>
    </row>
    <row r="230">
      <c r="A230" s="40">
        <f>IF(B230="","",ROW()-5)</f>
      </c>
      <c r="B230" s="41" t="n"/>
      <c r="C230" s="42" t="n"/>
      <c r="D230" s="43" t="n"/>
      <c r="E230" s="43" t="n"/>
      <c r="F230" s="44" t="n"/>
      <c r="G230" s="44" t="n"/>
      <c r="H230" s="44" t="n"/>
      <c r="I230" s="44" t="n"/>
      <c r="J230" s="45" t="n"/>
      <c r="K230" s="45" t="n"/>
      <c r="L230" s="46" t="n"/>
      <c r="M230" s="45" t="n"/>
      <c r="N230" s="46" t="n"/>
      <c r="O230" s="45" t="n"/>
      <c r="P230" s="45" t="n"/>
      <c r="Q230" s="45" t="n"/>
      <c r="R230" s="45" t="n"/>
      <c r="S230" s="45" t="n"/>
      <c r="T230" s="45" t="n"/>
      <c r="U230" s="45" t="n"/>
      <c r="V230" s="46" t="n"/>
      <c r="W230" s="41" t="n"/>
      <c r="X230" s="46" t="n"/>
      <c r="Y230" s="42" t="n"/>
      <c r="Z230" s="43" t="n"/>
      <c r="AA230" s="41" t="n"/>
      <c r="AB230" s="47">
        <f>CALCULO!CT230</f>
      </c>
      <c r="AC230" s="48">
        <f>CALCULO!CD230</f>
      </c>
    </row>
    <row r="231">
      <c r="A231" s="40">
        <f>IF(B231="","",ROW()-5)</f>
      </c>
      <c r="B231" s="41" t="n"/>
      <c r="C231" s="42" t="n"/>
      <c r="D231" s="43" t="n"/>
      <c r="E231" s="43" t="n"/>
      <c r="F231" s="44" t="n"/>
      <c r="G231" s="44" t="n"/>
      <c r="H231" s="44" t="n"/>
      <c r="I231" s="44" t="n"/>
      <c r="J231" s="45" t="n"/>
      <c r="K231" s="45" t="n"/>
      <c r="L231" s="46" t="n"/>
      <c r="M231" s="45" t="n"/>
      <c r="N231" s="46" t="n"/>
      <c r="O231" s="45" t="n"/>
      <c r="P231" s="45" t="n"/>
      <c r="Q231" s="45" t="n"/>
      <c r="R231" s="45" t="n"/>
      <c r="S231" s="45" t="n"/>
      <c r="T231" s="45" t="n"/>
      <c r="U231" s="45" t="n"/>
      <c r="V231" s="46" t="n"/>
      <c r="W231" s="41" t="n"/>
      <c r="X231" s="46" t="n"/>
      <c r="Y231" s="42" t="n"/>
      <c r="Z231" s="43" t="n"/>
      <c r="AA231" s="41" t="n"/>
      <c r="AB231" s="47">
        <f>CALCULO!CT231</f>
      </c>
      <c r="AC231" s="48">
        <f>CALCULO!CD231</f>
      </c>
    </row>
    <row r="232">
      <c r="A232" s="40">
        <f>IF(B232="","",ROW()-5)</f>
      </c>
      <c r="B232" s="41" t="n"/>
      <c r="C232" s="42" t="n"/>
      <c r="D232" s="43" t="n"/>
      <c r="E232" s="43" t="n"/>
      <c r="F232" s="44" t="n"/>
      <c r="G232" s="44" t="n"/>
      <c r="H232" s="44" t="n"/>
      <c r="I232" s="44" t="n"/>
      <c r="J232" s="45" t="n"/>
      <c r="K232" s="45" t="n"/>
      <c r="L232" s="46" t="n"/>
      <c r="M232" s="45" t="n"/>
      <c r="N232" s="46" t="n"/>
      <c r="O232" s="45" t="n"/>
      <c r="P232" s="45" t="n"/>
      <c r="Q232" s="45" t="n"/>
      <c r="R232" s="45" t="n"/>
      <c r="S232" s="45" t="n"/>
      <c r="T232" s="45" t="n"/>
      <c r="U232" s="45" t="n"/>
      <c r="V232" s="46" t="n"/>
      <c r="W232" s="41" t="n"/>
      <c r="X232" s="46" t="n"/>
      <c r="Y232" s="42" t="n"/>
      <c r="Z232" s="43" t="n"/>
      <c r="AA232" s="41" t="n"/>
      <c r="AB232" s="47">
        <f>CALCULO!CT232</f>
      </c>
      <c r="AC232" s="48">
        <f>CALCULO!CD232</f>
      </c>
    </row>
    <row r="233">
      <c r="A233" s="40">
        <f>IF(B233="","",ROW()-5)</f>
      </c>
      <c r="B233" s="41" t="n"/>
      <c r="C233" s="42" t="n"/>
      <c r="D233" s="43" t="n"/>
      <c r="E233" s="43" t="n"/>
      <c r="F233" s="44" t="n"/>
      <c r="G233" s="44" t="n"/>
      <c r="H233" s="44" t="n"/>
      <c r="I233" s="44" t="n"/>
      <c r="J233" s="45" t="n"/>
      <c r="K233" s="45" t="n"/>
      <c r="L233" s="46" t="n"/>
      <c r="M233" s="45" t="n"/>
      <c r="N233" s="46" t="n"/>
      <c r="O233" s="45" t="n"/>
      <c r="P233" s="45" t="n"/>
      <c r="Q233" s="45" t="n"/>
      <c r="R233" s="45" t="n"/>
      <c r="S233" s="45" t="n"/>
      <c r="T233" s="45" t="n"/>
      <c r="U233" s="45" t="n"/>
      <c r="V233" s="46" t="n"/>
      <c r="W233" s="41" t="n"/>
      <c r="X233" s="46" t="n"/>
      <c r="Y233" s="42" t="n"/>
      <c r="Z233" s="43" t="n"/>
      <c r="AA233" s="41" t="n"/>
      <c r="AB233" s="47">
        <f>CALCULO!CT233</f>
      </c>
      <c r="AC233" s="48">
        <f>CALCULO!CD233</f>
      </c>
    </row>
    <row r="234">
      <c r="A234" s="40">
        <f>IF(B234="","",ROW()-5)</f>
      </c>
      <c r="B234" s="41" t="n"/>
      <c r="C234" s="42" t="n"/>
      <c r="D234" s="43" t="n"/>
      <c r="E234" s="43" t="n"/>
      <c r="F234" s="44" t="n"/>
      <c r="G234" s="44" t="n"/>
      <c r="H234" s="44" t="n"/>
      <c r="I234" s="44" t="n"/>
      <c r="J234" s="45" t="n"/>
      <c r="K234" s="45" t="n"/>
      <c r="L234" s="46" t="n"/>
      <c r="M234" s="45" t="n"/>
      <c r="N234" s="46" t="n"/>
      <c r="O234" s="45" t="n"/>
      <c r="P234" s="45" t="n"/>
      <c r="Q234" s="45" t="n"/>
      <c r="R234" s="45" t="n"/>
      <c r="S234" s="45" t="n"/>
      <c r="T234" s="45" t="n"/>
      <c r="U234" s="45" t="n"/>
      <c r="V234" s="46" t="n"/>
      <c r="W234" s="41" t="n"/>
      <c r="X234" s="46" t="n"/>
      <c r="Y234" s="42" t="n"/>
      <c r="Z234" s="43" t="n"/>
      <c r="AA234" s="41" t="n"/>
      <c r="AB234" s="47">
        <f>CALCULO!CT234</f>
      </c>
      <c r="AC234" s="48">
        <f>CALCULO!CD234</f>
      </c>
    </row>
    <row r="235">
      <c r="A235" s="40">
        <f>IF(B235="","",ROW()-5)</f>
      </c>
      <c r="B235" s="41" t="n"/>
      <c r="C235" s="42" t="n"/>
      <c r="D235" s="43" t="n"/>
      <c r="E235" s="43" t="n"/>
      <c r="F235" s="44" t="n"/>
      <c r="G235" s="44" t="n"/>
      <c r="H235" s="44" t="n"/>
      <c r="I235" s="44" t="n"/>
      <c r="J235" s="45" t="n"/>
      <c r="K235" s="45" t="n"/>
      <c r="L235" s="46" t="n"/>
      <c r="M235" s="45" t="n"/>
      <c r="N235" s="46" t="n"/>
      <c r="O235" s="45" t="n"/>
      <c r="P235" s="45" t="n"/>
      <c r="Q235" s="45" t="n"/>
      <c r="R235" s="45" t="n"/>
      <c r="S235" s="45" t="n"/>
      <c r="T235" s="45" t="n"/>
      <c r="U235" s="45" t="n"/>
      <c r="V235" s="46" t="n"/>
      <c r="W235" s="41" t="n"/>
      <c r="X235" s="46" t="n"/>
      <c r="Y235" s="42" t="n"/>
      <c r="Z235" s="43" t="n"/>
      <c r="AA235" s="41" t="n"/>
      <c r="AB235" s="47">
        <f>CALCULO!CT235</f>
      </c>
      <c r="AC235" s="48">
        <f>CALCULO!CD235</f>
      </c>
    </row>
    <row r="236">
      <c r="A236" s="40">
        <f>IF(B236="","",ROW()-5)</f>
      </c>
      <c r="B236" s="41" t="n"/>
      <c r="C236" s="42" t="n"/>
      <c r="D236" s="43" t="n"/>
      <c r="E236" s="43" t="n"/>
      <c r="F236" s="44" t="n"/>
      <c r="G236" s="44" t="n"/>
      <c r="H236" s="44" t="n"/>
      <c r="I236" s="44" t="n"/>
      <c r="J236" s="45" t="n"/>
      <c r="K236" s="45" t="n"/>
      <c r="L236" s="46" t="n"/>
      <c r="M236" s="45" t="n"/>
      <c r="N236" s="46" t="n"/>
      <c r="O236" s="45" t="n"/>
      <c r="P236" s="45" t="n"/>
      <c r="Q236" s="45" t="n"/>
      <c r="R236" s="45" t="n"/>
      <c r="S236" s="45" t="n"/>
      <c r="T236" s="45" t="n"/>
      <c r="U236" s="45" t="n"/>
      <c r="V236" s="46" t="n"/>
      <c r="W236" s="41" t="n"/>
      <c r="X236" s="46" t="n"/>
      <c r="Y236" s="42" t="n"/>
      <c r="Z236" s="43" t="n"/>
      <c r="AA236" s="41" t="n"/>
      <c r="AB236" s="47">
        <f>CALCULO!CT236</f>
      </c>
      <c r="AC236" s="48">
        <f>CALCULO!CD236</f>
      </c>
    </row>
    <row r="237">
      <c r="A237" s="40">
        <f>IF(B237="","",ROW()-5)</f>
      </c>
      <c r="B237" s="41" t="n"/>
      <c r="C237" s="42" t="n"/>
      <c r="D237" s="43" t="n"/>
      <c r="E237" s="43" t="n"/>
      <c r="F237" s="44" t="n"/>
      <c r="G237" s="44" t="n"/>
      <c r="H237" s="44" t="n"/>
      <c r="I237" s="44" t="n"/>
      <c r="J237" s="45" t="n"/>
      <c r="K237" s="45" t="n"/>
      <c r="L237" s="46" t="n"/>
      <c r="M237" s="45" t="n"/>
      <c r="N237" s="46" t="n"/>
      <c r="O237" s="45" t="n"/>
      <c r="P237" s="45" t="n"/>
      <c r="Q237" s="45" t="n"/>
      <c r="R237" s="45" t="n"/>
      <c r="S237" s="45" t="n"/>
      <c r="T237" s="45" t="n"/>
      <c r="U237" s="45" t="n"/>
      <c r="V237" s="46" t="n"/>
      <c r="W237" s="41" t="n"/>
      <c r="X237" s="46" t="n"/>
      <c r="Y237" s="42" t="n"/>
      <c r="Z237" s="43" t="n"/>
      <c r="AA237" s="41" t="n"/>
      <c r="AB237" s="47">
        <f>CALCULO!CT237</f>
      </c>
      <c r="AC237" s="48">
        <f>CALCULO!CD237</f>
      </c>
    </row>
    <row r="238">
      <c r="A238" s="40">
        <f>IF(B238="","",ROW()-5)</f>
      </c>
      <c r="B238" s="41" t="n"/>
      <c r="C238" s="42" t="n"/>
      <c r="D238" s="43" t="n"/>
      <c r="E238" s="43" t="n"/>
      <c r="F238" s="44" t="n"/>
      <c r="G238" s="44" t="n"/>
      <c r="H238" s="44" t="n"/>
      <c r="I238" s="44" t="n"/>
      <c r="J238" s="45" t="n"/>
      <c r="K238" s="45" t="n"/>
      <c r="L238" s="46" t="n"/>
      <c r="M238" s="45" t="n"/>
      <c r="N238" s="46" t="n"/>
      <c r="O238" s="45" t="n"/>
      <c r="P238" s="45" t="n"/>
      <c r="Q238" s="45" t="n"/>
      <c r="R238" s="45" t="n"/>
      <c r="S238" s="45" t="n"/>
      <c r="T238" s="45" t="n"/>
      <c r="U238" s="45" t="n"/>
      <c r="V238" s="46" t="n"/>
      <c r="W238" s="41" t="n"/>
      <c r="X238" s="46" t="n"/>
      <c r="Y238" s="42" t="n"/>
      <c r="Z238" s="43" t="n"/>
      <c r="AA238" s="41" t="n"/>
      <c r="AB238" s="47">
        <f>CALCULO!CT238</f>
      </c>
      <c r="AC238" s="48">
        <f>CALCULO!CD238</f>
      </c>
    </row>
    <row r="239">
      <c r="A239" s="40">
        <f>IF(B239="","",ROW()-5)</f>
      </c>
      <c r="B239" s="41" t="n"/>
      <c r="C239" s="42" t="n"/>
      <c r="D239" s="43" t="n"/>
      <c r="E239" s="43" t="n"/>
      <c r="F239" s="44" t="n"/>
      <c r="G239" s="44" t="n"/>
      <c r="H239" s="44" t="n"/>
      <c r="I239" s="44" t="n"/>
      <c r="J239" s="45" t="n"/>
      <c r="K239" s="45" t="n"/>
      <c r="L239" s="46" t="n"/>
      <c r="M239" s="45" t="n"/>
      <c r="N239" s="46" t="n"/>
      <c r="O239" s="45" t="n"/>
      <c r="P239" s="45" t="n"/>
      <c r="Q239" s="45" t="n"/>
      <c r="R239" s="45" t="n"/>
      <c r="S239" s="45" t="n"/>
      <c r="T239" s="45" t="n"/>
      <c r="U239" s="45" t="n"/>
      <c r="V239" s="46" t="n"/>
      <c r="W239" s="41" t="n"/>
      <c r="X239" s="46" t="n"/>
      <c r="Y239" s="42" t="n"/>
      <c r="Z239" s="43" t="n"/>
      <c r="AA239" s="41" t="n"/>
      <c r="AB239" s="47">
        <f>CALCULO!CT239</f>
      </c>
      <c r="AC239" s="48">
        <f>CALCULO!CD239</f>
      </c>
    </row>
    <row r="240">
      <c r="A240" s="40">
        <f>IF(B240="","",ROW()-5)</f>
      </c>
      <c r="B240" s="41" t="n"/>
      <c r="C240" s="42" t="n"/>
      <c r="D240" s="43" t="n"/>
      <c r="E240" s="43" t="n"/>
      <c r="F240" s="44" t="n"/>
      <c r="G240" s="44" t="n"/>
      <c r="H240" s="44" t="n"/>
      <c r="I240" s="44" t="n"/>
      <c r="J240" s="45" t="n"/>
      <c r="K240" s="45" t="n"/>
      <c r="L240" s="46" t="n"/>
      <c r="M240" s="45" t="n"/>
      <c r="N240" s="46" t="n"/>
      <c r="O240" s="45" t="n"/>
      <c r="P240" s="45" t="n"/>
      <c r="Q240" s="45" t="n"/>
      <c r="R240" s="45" t="n"/>
      <c r="S240" s="45" t="n"/>
      <c r="T240" s="45" t="n"/>
      <c r="U240" s="45" t="n"/>
      <c r="V240" s="46" t="n"/>
      <c r="W240" s="41" t="n"/>
      <c r="X240" s="46" t="n"/>
      <c r="Y240" s="42" t="n"/>
      <c r="Z240" s="43" t="n"/>
      <c r="AA240" s="41" t="n"/>
      <c r="AB240" s="47">
        <f>CALCULO!CT240</f>
      </c>
      <c r="AC240" s="48">
        <f>CALCULO!CD240</f>
      </c>
    </row>
    <row r="241">
      <c r="A241" s="40">
        <f>IF(B241="","",ROW()-5)</f>
      </c>
      <c r="B241" s="41" t="n"/>
      <c r="C241" s="42" t="n"/>
      <c r="D241" s="43" t="n"/>
      <c r="E241" s="43" t="n"/>
      <c r="F241" s="44" t="n"/>
      <c r="G241" s="44" t="n"/>
      <c r="H241" s="44" t="n"/>
      <c r="I241" s="44" t="n"/>
      <c r="J241" s="45" t="n"/>
      <c r="K241" s="45" t="n"/>
      <c r="L241" s="46" t="n"/>
      <c r="M241" s="45" t="n"/>
      <c r="N241" s="46" t="n"/>
      <c r="O241" s="45" t="n"/>
      <c r="P241" s="45" t="n"/>
      <c r="Q241" s="45" t="n"/>
      <c r="R241" s="45" t="n"/>
      <c r="S241" s="45" t="n"/>
      <c r="T241" s="45" t="n"/>
      <c r="U241" s="45" t="n"/>
      <c r="V241" s="46" t="n"/>
      <c r="W241" s="41" t="n"/>
      <c r="X241" s="46" t="n"/>
      <c r="Y241" s="42" t="n"/>
      <c r="Z241" s="43" t="n"/>
      <c r="AA241" s="41" t="n"/>
      <c r="AB241" s="47">
        <f>CALCULO!CT241</f>
      </c>
      <c r="AC241" s="48">
        <f>CALCULO!CD241</f>
      </c>
    </row>
    <row r="242">
      <c r="A242" s="40">
        <f>IF(B242="","",ROW()-5)</f>
      </c>
      <c r="B242" s="41" t="n"/>
      <c r="C242" s="42" t="n"/>
      <c r="D242" s="43" t="n"/>
      <c r="E242" s="43" t="n"/>
      <c r="F242" s="44" t="n"/>
      <c r="G242" s="44" t="n"/>
      <c r="H242" s="44" t="n"/>
      <c r="I242" s="44" t="n"/>
      <c r="J242" s="45" t="n"/>
      <c r="K242" s="45" t="n"/>
      <c r="L242" s="46" t="n"/>
      <c r="M242" s="45" t="n"/>
      <c r="N242" s="46" t="n"/>
      <c r="O242" s="45" t="n"/>
      <c r="P242" s="45" t="n"/>
      <c r="Q242" s="45" t="n"/>
      <c r="R242" s="45" t="n"/>
      <c r="S242" s="45" t="n"/>
      <c r="T242" s="45" t="n"/>
      <c r="U242" s="45" t="n"/>
      <c r="V242" s="46" t="n"/>
      <c r="W242" s="41" t="n"/>
      <c r="X242" s="46" t="n"/>
      <c r="Y242" s="42" t="n"/>
      <c r="Z242" s="43" t="n"/>
      <c r="AA242" s="41" t="n"/>
      <c r="AB242" s="47">
        <f>CALCULO!CT242</f>
      </c>
      <c r="AC242" s="48">
        <f>CALCULO!CD242</f>
      </c>
    </row>
    <row r="243">
      <c r="A243" s="40">
        <f>IF(B243="","",ROW()-5)</f>
      </c>
      <c r="B243" s="41" t="n"/>
      <c r="C243" s="42" t="n"/>
      <c r="D243" s="43" t="n"/>
      <c r="E243" s="43" t="n"/>
      <c r="F243" s="44" t="n"/>
      <c r="G243" s="44" t="n"/>
      <c r="H243" s="44" t="n"/>
      <c r="I243" s="44" t="n"/>
      <c r="J243" s="45" t="n"/>
      <c r="K243" s="45" t="n"/>
      <c r="L243" s="46" t="n"/>
      <c r="M243" s="45" t="n"/>
      <c r="N243" s="46" t="n"/>
      <c r="O243" s="45" t="n"/>
      <c r="P243" s="45" t="n"/>
      <c r="Q243" s="45" t="n"/>
      <c r="R243" s="45" t="n"/>
      <c r="S243" s="45" t="n"/>
      <c r="T243" s="45" t="n"/>
      <c r="U243" s="45" t="n"/>
      <c r="V243" s="46" t="n"/>
      <c r="W243" s="41" t="n"/>
      <c r="X243" s="46" t="n"/>
      <c r="Y243" s="42" t="n"/>
      <c r="Z243" s="43" t="n"/>
      <c r="AA243" s="41" t="n"/>
      <c r="AB243" s="47">
        <f>CALCULO!CT243</f>
      </c>
      <c r="AC243" s="48">
        <f>CALCULO!CD243</f>
      </c>
    </row>
    <row r="244">
      <c r="A244" s="40">
        <f>IF(B244="","",ROW()-5)</f>
      </c>
      <c r="B244" s="41" t="n"/>
      <c r="C244" s="42" t="n"/>
      <c r="D244" s="43" t="n"/>
      <c r="E244" s="43" t="n"/>
      <c r="F244" s="44" t="n"/>
      <c r="G244" s="44" t="n"/>
      <c r="H244" s="44" t="n"/>
      <c r="I244" s="44" t="n"/>
      <c r="J244" s="45" t="n"/>
      <c r="K244" s="45" t="n"/>
      <c r="L244" s="46" t="n"/>
      <c r="M244" s="45" t="n"/>
      <c r="N244" s="46" t="n"/>
      <c r="O244" s="45" t="n"/>
      <c r="P244" s="45" t="n"/>
      <c r="Q244" s="45" t="n"/>
      <c r="R244" s="45" t="n"/>
      <c r="S244" s="45" t="n"/>
      <c r="T244" s="45" t="n"/>
      <c r="U244" s="45" t="n"/>
      <c r="V244" s="46" t="n"/>
      <c r="W244" s="41" t="n"/>
      <c r="X244" s="46" t="n"/>
      <c r="Y244" s="42" t="n"/>
      <c r="Z244" s="43" t="n"/>
      <c r="AA244" s="41" t="n"/>
      <c r="AB244" s="47">
        <f>CALCULO!CT244</f>
      </c>
      <c r="AC244" s="48">
        <f>CALCULO!CD244</f>
      </c>
    </row>
    <row r="245">
      <c r="A245" s="40">
        <f>IF(B245="","",ROW()-5)</f>
      </c>
      <c r="B245" s="41" t="n"/>
      <c r="C245" s="42" t="n"/>
      <c r="D245" s="43" t="n"/>
      <c r="E245" s="43" t="n"/>
      <c r="F245" s="44" t="n"/>
      <c r="G245" s="44" t="n"/>
      <c r="H245" s="44" t="n"/>
      <c r="I245" s="44" t="n"/>
      <c r="J245" s="45" t="n"/>
      <c r="K245" s="45" t="n"/>
      <c r="L245" s="46" t="n"/>
      <c r="M245" s="45" t="n"/>
      <c r="N245" s="46" t="n"/>
      <c r="O245" s="45" t="n"/>
      <c r="P245" s="45" t="n"/>
      <c r="Q245" s="45" t="n"/>
      <c r="R245" s="45" t="n"/>
      <c r="S245" s="45" t="n"/>
      <c r="T245" s="45" t="n"/>
      <c r="U245" s="45" t="n"/>
      <c r="V245" s="46" t="n"/>
      <c r="W245" s="41" t="n"/>
      <c r="X245" s="46" t="n"/>
      <c r="Y245" s="42" t="n"/>
      <c r="Z245" s="43" t="n"/>
      <c r="AA245" s="41" t="n"/>
      <c r="AB245" s="47">
        <f>CALCULO!CT245</f>
      </c>
      <c r="AC245" s="48">
        <f>CALCULO!CD245</f>
      </c>
    </row>
    <row r="246">
      <c r="A246" s="40">
        <f>IF(B246="","",ROW()-5)</f>
      </c>
      <c r="B246" s="41" t="n"/>
      <c r="C246" s="42" t="n"/>
      <c r="D246" s="43" t="n"/>
      <c r="E246" s="43" t="n"/>
      <c r="F246" s="44" t="n"/>
      <c r="G246" s="44" t="n"/>
      <c r="H246" s="44" t="n"/>
      <c r="I246" s="44" t="n"/>
      <c r="J246" s="45" t="n"/>
      <c r="K246" s="45" t="n"/>
      <c r="L246" s="46" t="n"/>
      <c r="M246" s="45" t="n"/>
      <c r="N246" s="46" t="n"/>
      <c r="O246" s="45" t="n"/>
      <c r="P246" s="45" t="n"/>
      <c r="Q246" s="45" t="n"/>
      <c r="R246" s="45" t="n"/>
      <c r="S246" s="45" t="n"/>
      <c r="T246" s="45" t="n"/>
      <c r="U246" s="45" t="n"/>
      <c r="V246" s="46" t="n"/>
      <c r="W246" s="41" t="n"/>
      <c r="X246" s="46" t="n"/>
      <c r="Y246" s="42" t="n"/>
      <c r="Z246" s="43" t="n"/>
      <c r="AA246" s="41" t="n"/>
      <c r="AB246" s="47">
        <f>CALCULO!CT246</f>
      </c>
      <c r="AC246" s="48">
        <f>CALCULO!CD246</f>
      </c>
    </row>
    <row r="247">
      <c r="A247" s="40">
        <f>IF(B247="","",ROW()-5)</f>
      </c>
      <c r="B247" s="41" t="n"/>
      <c r="C247" s="42" t="n"/>
      <c r="D247" s="43" t="n"/>
      <c r="E247" s="43" t="n"/>
      <c r="F247" s="44" t="n"/>
      <c r="G247" s="44" t="n"/>
      <c r="H247" s="44" t="n"/>
      <c r="I247" s="44" t="n"/>
      <c r="J247" s="45" t="n"/>
      <c r="K247" s="45" t="n"/>
      <c r="L247" s="46" t="n"/>
      <c r="M247" s="45" t="n"/>
      <c r="N247" s="46" t="n"/>
      <c r="O247" s="45" t="n"/>
      <c r="P247" s="45" t="n"/>
      <c r="Q247" s="45" t="n"/>
      <c r="R247" s="45" t="n"/>
      <c r="S247" s="45" t="n"/>
      <c r="T247" s="45" t="n"/>
      <c r="U247" s="45" t="n"/>
      <c r="V247" s="46" t="n"/>
      <c r="W247" s="41" t="n"/>
      <c r="X247" s="46" t="n"/>
      <c r="Y247" s="42" t="n"/>
      <c r="Z247" s="43" t="n"/>
      <c r="AA247" s="41" t="n"/>
      <c r="AB247" s="47">
        <f>CALCULO!CT247</f>
      </c>
      <c r="AC247" s="48">
        <f>CALCULO!CD247</f>
      </c>
    </row>
    <row r="248">
      <c r="A248" s="40">
        <f>IF(B248="","",ROW()-5)</f>
      </c>
      <c r="B248" s="41" t="n"/>
      <c r="C248" s="42" t="n"/>
      <c r="D248" s="43" t="n"/>
      <c r="E248" s="43" t="n"/>
      <c r="F248" s="44" t="n"/>
      <c r="G248" s="44" t="n"/>
      <c r="H248" s="44" t="n"/>
      <c r="I248" s="44" t="n"/>
      <c r="J248" s="45" t="n"/>
      <c r="K248" s="45" t="n"/>
      <c r="L248" s="46" t="n"/>
      <c r="M248" s="45" t="n"/>
      <c r="N248" s="46" t="n"/>
      <c r="O248" s="45" t="n"/>
      <c r="P248" s="45" t="n"/>
      <c r="Q248" s="45" t="n"/>
      <c r="R248" s="45" t="n"/>
      <c r="S248" s="45" t="n"/>
      <c r="T248" s="45" t="n"/>
      <c r="U248" s="45" t="n"/>
      <c r="V248" s="46" t="n"/>
      <c r="W248" s="41" t="n"/>
      <c r="X248" s="46" t="n"/>
      <c r="Y248" s="42" t="n"/>
      <c r="Z248" s="43" t="n"/>
      <c r="AA248" s="41" t="n"/>
      <c r="AB248" s="47">
        <f>CALCULO!CT248</f>
      </c>
      <c r="AC248" s="48">
        <f>CALCULO!CD248</f>
      </c>
    </row>
    <row r="249">
      <c r="A249" s="40">
        <f>IF(B249="","",ROW()-5)</f>
      </c>
      <c r="B249" s="41" t="n"/>
      <c r="C249" s="42" t="n"/>
      <c r="D249" s="43" t="n"/>
      <c r="E249" s="43" t="n"/>
      <c r="F249" s="44" t="n"/>
      <c r="G249" s="44" t="n"/>
      <c r="H249" s="44" t="n"/>
      <c r="I249" s="44" t="n"/>
      <c r="J249" s="45" t="n"/>
      <c r="K249" s="45" t="n"/>
      <c r="L249" s="46" t="n"/>
      <c r="M249" s="45" t="n"/>
      <c r="N249" s="46" t="n"/>
      <c r="O249" s="45" t="n"/>
      <c r="P249" s="45" t="n"/>
      <c r="Q249" s="45" t="n"/>
      <c r="R249" s="45" t="n"/>
      <c r="S249" s="45" t="n"/>
      <c r="T249" s="45" t="n"/>
      <c r="U249" s="45" t="n"/>
      <c r="V249" s="46" t="n"/>
      <c r="W249" s="41" t="n"/>
      <c r="X249" s="46" t="n"/>
      <c r="Y249" s="42" t="n"/>
      <c r="Z249" s="43" t="n"/>
      <c r="AA249" s="41" t="n"/>
      <c r="AB249" s="47">
        <f>CALCULO!CT249</f>
      </c>
      <c r="AC249" s="48">
        <f>CALCULO!CD249</f>
      </c>
    </row>
    <row r="250">
      <c r="A250" s="40">
        <f>IF(B250="","",ROW()-5)</f>
      </c>
      <c r="B250" s="41" t="n"/>
      <c r="C250" s="42" t="n"/>
      <c r="D250" s="43" t="n"/>
      <c r="E250" s="43" t="n"/>
      <c r="F250" s="44" t="n"/>
      <c r="G250" s="44" t="n"/>
      <c r="H250" s="44" t="n"/>
      <c r="I250" s="44" t="n"/>
      <c r="J250" s="45" t="n"/>
      <c r="K250" s="45" t="n"/>
      <c r="L250" s="46" t="n"/>
      <c r="M250" s="45" t="n"/>
      <c r="N250" s="46" t="n"/>
      <c r="O250" s="45" t="n"/>
      <c r="P250" s="45" t="n"/>
      <c r="Q250" s="45" t="n"/>
      <c r="R250" s="45" t="n"/>
      <c r="S250" s="45" t="n"/>
      <c r="T250" s="45" t="n"/>
      <c r="U250" s="45" t="n"/>
      <c r="V250" s="46" t="n"/>
      <c r="W250" s="41" t="n"/>
      <c r="X250" s="46" t="n"/>
      <c r="Y250" s="42" t="n"/>
      <c r="Z250" s="43" t="n"/>
      <c r="AA250" s="41" t="n"/>
      <c r="AB250" s="47">
        <f>CALCULO!CT250</f>
      </c>
      <c r="AC250" s="48">
        <f>CALCULO!CD250</f>
      </c>
    </row>
    <row r="251">
      <c r="A251" s="40">
        <f>IF(B251="","",ROW()-5)</f>
      </c>
      <c r="B251" s="41" t="n"/>
      <c r="C251" s="42" t="n"/>
      <c r="D251" s="43" t="n"/>
      <c r="E251" s="43" t="n"/>
      <c r="F251" s="44" t="n"/>
      <c r="G251" s="44" t="n"/>
      <c r="H251" s="44" t="n"/>
      <c r="I251" s="44" t="n"/>
      <c r="J251" s="45" t="n"/>
      <c r="K251" s="45" t="n"/>
      <c r="L251" s="46" t="n"/>
      <c r="M251" s="45" t="n"/>
      <c r="N251" s="46" t="n"/>
      <c r="O251" s="45" t="n"/>
      <c r="P251" s="45" t="n"/>
      <c r="Q251" s="45" t="n"/>
      <c r="R251" s="45" t="n"/>
      <c r="S251" s="45" t="n"/>
      <c r="T251" s="45" t="n"/>
      <c r="U251" s="45" t="n"/>
      <c r="V251" s="46" t="n"/>
      <c r="W251" s="41" t="n"/>
      <c r="X251" s="46" t="n"/>
      <c r="Y251" s="42" t="n"/>
      <c r="Z251" s="43" t="n"/>
      <c r="AA251" s="41" t="n"/>
      <c r="AB251" s="47">
        <f>CALCULO!CT251</f>
      </c>
      <c r="AC251" s="48">
        <f>CALCULO!CD251</f>
      </c>
    </row>
    <row r="252">
      <c r="A252" s="40">
        <f>IF(B252="","",ROW()-5)</f>
      </c>
      <c r="B252" s="41" t="n"/>
      <c r="C252" s="42" t="n"/>
      <c r="D252" s="43" t="n"/>
      <c r="E252" s="43" t="n"/>
      <c r="F252" s="44" t="n"/>
      <c r="G252" s="44" t="n"/>
      <c r="H252" s="44" t="n"/>
      <c r="I252" s="44" t="n"/>
      <c r="J252" s="45" t="n"/>
      <c r="K252" s="45" t="n"/>
      <c r="L252" s="46" t="n"/>
      <c r="M252" s="45" t="n"/>
      <c r="N252" s="46" t="n"/>
      <c r="O252" s="45" t="n"/>
      <c r="P252" s="45" t="n"/>
      <c r="Q252" s="45" t="n"/>
      <c r="R252" s="45" t="n"/>
      <c r="S252" s="45" t="n"/>
      <c r="T252" s="45" t="n"/>
      <c r="U252" s="45" t="n"/>
      <c r="V252" s="46" t="n"/>
      <c r="W252" s="41" t="n"/>
      <c r="X252" s="46" t="n"/>
      <c r="Y252" s="42" t="n"/>
      <c r="Z252" s="43" t="n"/>
      <c r="AA252" s="41" t="n"/>
      <c r="AB252" s="47">
        <f>CALCULO!CT252</f>
      </c>
      <c r="AC252" s="48">
        <f>CALCULO!CD252</f>
      </c>
    </row>
    <row r="253">
      <c r="A253" s="40">
        <f>IF(B253="","",ROW()-5)</f>
      </c>
      <c r="B253" s="41" t="n"/>
      <c r="C253" s="42" t="n"/>
      <c r="D253" s="43" t="n"/>
      <c r="E253" s="43" t="n"/>
      <c r="F253" s="44" t="n"/>
      <c r="G253" s="44" t="n"/>
      <c r="H253" s="44" t="n"/>
      <c r="I253" s="44" t="n"/>
      <c r="J253" s="45" t="n"/>
      <c r="K253" s="45" t="n"/>
      <c r="L253" s="46" t="n"/>
      <c r="M253" s="45" t="n"/>
      <c r="N253" s="46" t="n"/>
      <c r="O253" s="45" t="n"/>
      <c r="P253" s="45" t="n"/>
      <c r="Q253" s="45" t="n"/>
      <c r="R253" s="45" t="n"/>
      <c r="S253" s="45" t="n"/>
      <c r="T253" s="45" t="n"/>
      <c r="U253" s="45" t="n"/>
      <c r="V253" s="46" t="n"/>
      <c r="W253" s="41" t="n"/>
      <c r="X253" s="46" t="n"/>
      <c r="Y253" s="42" t="n"/>
      <c r="Z253" s="43" t="n"/>
      <c r="AA253" s="41" t="n"/>
      <c r="AB253" s="47">
        <f>CALCULO!CT253</f>
      </c>
      <c r="AC253" s="48">
        <f>CALCULO!CD253</f>
      </c>
    </row>
    <row r="254">
      <c r="A254" s="40">
        <f>IF(B254="","",ROW()-5)</f>
      </c>
      <c r="B254" s="41" t="n"/>
      <c r="C254" s="42" t="n"/>
      <c r="D254" s="43" t="n"/>
      <c r="E254" s="43" t="n"/>
      <c r="F254" s="44" t="n"/>
      <c r="G254" s="44" t="n"/>
      <c r="H254" s="44" t="n"/>
      <c r="I254" s="44" t="n"/>
      <c r="J254" s="45" t="n"/>
      <c r="K254" s="45" t="n"/>
      <c r="L254" s="46" t="n"/>
      <c r="M254" s="45" t="n"/>
      <c r="N254" s="46" t="n"/>
      <c r="O254" s="45" t="n"/>
      <c r="P254" s="45" t="n"/>
      <c r="Q254" s="45" t="n"/>
      <c r="R254" s="45" t="n"/>
      <c r="S254" s="45" t="n"/>
      <c r="T254" s="45" t="n"/>
      <c r="U254" s="45" t="n"/>
      <c r="V254" s="46" t="n"/>
      <c r="W254" s="41" t="n"/>
      <c r="X254" s="46" t="n"/>
      <c r="Y254" s="42" t="n"/>
      <c r="Z254" s="43" t="n"/>
      <c r="AA254" s="41" t="n"/>
      <c r="AB254" s="47">
        <f>CALCULO!CT254</f>
      </c>
      <c r="AC254" s="48">
        <f>CALCULO!CD254</f>
      </c>
    </row>
    <row r="255">
      <c r="A255" s="40">
        <f>IF(B255="","",ROW()-5)</f>
      </c>
      <c r="B255" s="41" t="n"/>
      <c r="C255" s="42" t="n"/>
      <c r="D255" s="43" t="n"/>
      <c r="E255" s="43" t="n"/>
      <c r="F255" s="44" t="n"/>
      <c r="G255" s="44" t="n"/>
      <c r="H255" s="44" t="n"/>
      <c r="I255" s="44" t="n"/>
      <c r="J255" s="45" t="n"/>
      <c r="K255" s="45" t="n"/>
      <c r="L255" s="46" t="n"/>
      <c r="M255" s="45" t="n"/>
      <c r="N255" s="46" t="n"/>
      <c r="O255" s="45" t="n"/>
      <c r="P255" s="45" t="n"/>
      <c r="Q255" s="45" t="n"/>
      <c r="R255" s="45" t="n"/>
      <c r="S255" s="45" t="n"/>
      <c r="T255" s="45" t="n"/>
      <c r="U255" s="45" t="n"/>
      <c r="V255" s="46" t="n"/>
      <c r="W255" s="41" t="n"/>
      <c r="X255" s="46" t="n"/>
      <c r="Y255" s="42" t="n"/>
      <c r="Z255" s="43" t="n"/>
      <c r="AA255" s="41" t="n"/>
      <c r="AB255" s="47">
        <f>CALCULO!CT255</f>
      </c>
      <c r="AC255" s="48">
        <f>CALCULO!CD255</f>
      </c>
    </row>
    <row r="256">
      <c r="A256" s="40">
        <f>IF(B256="","",ROW()-5)</f>
      </c>
      <c r="B256" s="41" t="n"/>
      <c r="C256" s="42" t="n"/>
      <c r="D256" s="43" t="n"/>
      <c r="E256" s="43" t="n"/>
      <c r="F256" s="44" t="n"/>
      <c r="G256" s="44" t="n"/>
      <c r="H256" s="44" t="n"/>
      <c r="I256" s="44" t="n"/>
      <c r="J256" s="45" t="n"/>
      <c r="K256" s="45" t="n"/>
      <c r="L256" s="46" t="n"/>
      <c r="M256" s="45" t="n"/>
      <c r="N256" s="46" t="n"/>
      <c r="O256" s="45" t="n"/>
      <c r="P256" s="45" t="n"/>
      <c r="Q256" s="45" t="n"/>
      <c r="R256" s="45" t="n"/>
      <c r="S256" s="45" t="n"/>
      <c r="T256" s="45" t="n"/>
      <c r="U256" s="45" t="n"/>
      <c r="V256" s="46" t="n"/>
      <c r="W256" s="41" t="n"/>
      <c r="X256" s="46" t="n"/>
      <c r="Y256" s="42" t="n"/>
      <c r="Z256" s="43" t="n"/>
      <c r="AA256" s="41" t="n"/>
      <c r="AB256" s="47">
        <f>CALCULO!CT256</f>
      </c>
      <c r="AC256" s="48">
        <f>CALCULO!CD256</f>
      </c>
    </row>
    <row r="257">
      <c r="A257" s="40">
        <f>IF(B257="","",ROW()-5)</f>
      </c>
      <c r="B257" s="41" t="n"/>
      <c r="C257" s="42" t="n"/>
      <c r="D257" s="43" t="n"/>
      <c r="E257" s="43" t="n"/>
      <c r="F257" s="44" t="n"/>
      <c r="G257" s="44" t="n"/>
      <c r="H257" s="44" t="n"/>
      <c r="I257" s="44" t="n"/>
      <c r="J257" s="45" t="n"/>
      <c r="K257" s="45" t="n"/>
      <c r="L257" s="46" t="n"/>
      <c r="M257" s="45" t="n"/>
      <c r="N257" s="46" t="n"/>
      <c r="O257" s="45" t="n"/>
      <c r="P257" s="45" t="n"/>
      <c r="Q257" s="45" t="n"/>
      <c r="R257" s="45" t="n"/>
      <c r="S257" s="45" t="n"/>
      <c r="T257" s="45" t="n"/>
      <c r="U257" s="45" t="n"/>
      <c r="V257" s="46" t="n"/>
      <c r="W257" s="41" t="n"/>
      <c r="X257" s="46" t="n"/>
      <c r="Y257" s="42" t="n"/>
      <c r="Z257" s="43" t="n"/>
      <c r="AA257" s="41" t="n"/>
      <c r="AB257" s="47">
        <f>CALCULO!CT257</f>
      </c>
      <c r="AC257" s="48">
        <f>CALCULO!CD257</f>
      </c>
    </row>
    <row r="258">
      <c r="A258" s="40">
        <f>IF(B258="","",ROW()-5)</f>
      </c>
      <c r="B258" s="41" t="n"/>
      <c r="C258" s="42" t="n"/>
      <c r="D258" s="43" t="n"/>
      <c r="E258" s="43" t="n"/>
      <c r="F258" s="44" t="n"/>
      <c r="G258" s="44" t="n"/>
      <c r="H258" s="44" t="n"/>
      <c r="I258" s="44" t="n"/>
      <c r="J258" s="45" t="n"/>
      <c r="K258" s="45" t="n"/>
      <c r="L258" s="46" t="n"/>
      <c r="M258" s="45" t="n"/>
      <c r="N258" s="46" t="n"/>
      <c r="O258" s="45" t="n"/>
      <c r="P258" s="45" t="n"/>
      <c r="Q258" s="45" t="n"/>
      <c r="R258" s="45" t="n"/>
      <c r="S258" s="45" t="n"/>
      <c r="T258" s="45" t="n"/>
      <c r="U258" s="45" t="n"/>
      <c r="V258" s="46" t="n"/>
      <c r="W258" s="41" t="n"/>
      <c r="X258" s="46" t="n"/>
      <c r="Y258" s="42" t="n"/>
      <c r="Z258" s="43" t="n"/>
      <c r="AA258" s="41" t="n"/>
      <c r="AB258" s="47">
        <f>CALCULO!CT258</f>
      </c>
      <c r="AC258" s="48">
        <f>CALCULO!CD258</f>
      </c>
    </row>
    <row r="259">
      <c r="A259" s="40">
        <f>IF(B259="","",ROW()-5)</f>
      </c>
      <c r="B259" s="41" t="n"/>
      <c r="C259" s="42" t="n"/>
      <c r="D259" s="43" t="n"/>
      <c r="E259" s="43" t="n"/>
      <c r="F259" s="44" t="n"/>
      <c r="G259" s="44" t="n"/>
      <c r="H259" s="44" t="n"/>
      <c r="I259" s="44" t="n"/>
      <c r="J259" s="45" t="n"/>
      <c r="K259" s="45" t="n"/>
      <c r="L259" s="46" t="n"/>
      <c r="M259" s="45" t="n"/>
      <c r="N259" s="46" t="n"/>
      <c r="O259" s="45" t="n"/>
      <c r="P259" s="45" t="n"/>
      <c r="Q259" s="45" t="n"/>
      <c r="R259" s="45" t="n"/>
      <c r="S259" s="45" t="n"/>
      <c r="T259" s="45" t="n"/>
      <c r="U259" s="45" t="n"/>
      <c r="V259" s="46" t="n"/>
      <c r="W259" s="41" t="n"/>
      <c r="X259" s="46" t="n"/>
      <c r="Y259" s="42" t="n"/>
      <c r="Z259" s="43" t="n"/>
      <c r="AA259" s="41" t="n"/>
      <c r="AB259" s="47">
        <f>CALCULO!CT259</f>
      </c>
      <c r="AC259" s="48">
        <f>CALCULO!CD259</f>
      </c>
    </row>
    <row r="260">
      <c r="A260" s="40">
        <f>IF(B260="","",ROW()-5)</f>
      </c>
      <c r="B260" s="41" t="n"/>
      <c r="C260" s="42" t="n"/>
      <c r="D260" s="43" t="n"/>
      <c r="E260" s="43" t="n"/>
      <c r="F260" s="44" t="n"/>
      <c r="G260" s="44" t="n"/>
      <c r="H260" s="44" t="n"/>
      <c r="I260" s="44" t="n"/>
      <c r="J260" s="45" t="n"/>
      <c r="K260" s="45" t="n"/>
      <c r="L260" s="46" t="n"/>
      <c r="M260" s="45" t="n"/>
      <c r="N260" s="46" t="n"/>
      <c r="O260" s="45" t="n"/>
      <c r="P260" s="45" t="n"/>
      <c r="Q260" s="45" t="n"/>
      <c r="R260" s="45" t="n"/>
      <c r="S260" s="45" t="n"/>
      <c r="T260" s="45" t="n"/>
      <c r="U260" s="45" t="n"/>
      <c r="V260" s="46" t="n"/>
      <c r="W260" s="41" t="n"/>
      <c r="X260" s="46" t="n"/>
      <c r="Y260" s="42" t="n"/>
      <c r="Z260" s="43" t="n"/>
      <c r="AA260" s="41" t="n"/>
      <c r="AB260" s="47">
        <f>CALCULO!CT260</f>
      </c>
      <c r="AC260" s="48">
        <f>CALCULO!CD260</f>
      </c>
    </row>
    <row r="261">
      <c r="A261" s="40">
        <f>IF(B261="","",ROW()-5)</f>
      </c>
      <c r="B261" s="41" t="n"/>
      <c r="C261" s="42" t="n"/>
      <c r="D261" s="43" t="n"/>
      <c r="E261" s="43" t="n"/>
      <c r="F261" s="44" t="n"/>
      <c r="G261" s="44" t="n"/>
      <c r="H261" s="44" t="n"/>
      <c r="I261" s="44" t="n"/>
      <c r="J261" s="45" t="n"/>
      <c r="K261" s="45" t="n"/>
      <c r="L261" s="46" t="n"/>
      <c r="M261" s="45" t="n"/>
      <c r="N261" s="46" t="n"/>
      <c r="O261" s="45" t="n"/>
      <c r="P261" s="45" t="n"/>
      <c r="Q261" s="45" t="n"/>
      <c r="R261" s="45" t="n"/>
      <c r="S261" s="45" t="n"/>
      <c r="T261" s="45" t="n"/>
      <c r="U261" s="45" t="n"/>
      <c r="V261" s="46" t="n"/>
      <c r="W261" s="41" t="n"/>
      <c r="X261" s="46" t="n"/>
      <c r="Y261" s="42" t="n"/>
      <c r="Z261" s="43" t="n"/>
      <c r="AA261" s="41" t="n"/>
      <c r="AB261" s="47">
        <f>CALCULO!CT261</f>
      </c>
      <c r="AC261" s="48">
        <f>CALCULO!CD261</f>
      </c>
    </row>
    <row r="262">
      <c r="A262" s="40">
        <f>IF(B262="","",ROW()-5)</f>
      </c>
      <c r="B262" s="41" t="n"/>
      <c r="C262" s="42" t="n"/>
      <c r="D262" s="43" t="n"/>
      <c r="E262" s="43" t="n"/>
      <c r="F262" s="44" t="n"/>
      <c r="G262" s="44" t="n"/>
      <c r="H262" s="44" t="n"/>
      <c r="I262" s="44" t="n"/>
      <c r="J262" s="45" t="n"/>
      <c r="K262" s="45" t="n"/>
      <c r="L262" s="46" t="n"/>
      <c r="M262" s="45" t="n"/>
      <c r="N262" s="46" t="n"/>
      <c r="O262" s="45" t="n"/>
      <c r="P262" s="45" t="n"/>
      <c r="Q262" s="45" t="n"/>
      <c r="R262" s="45" t="n"/>
      <c r="S262" s="45" t="n"/>
      <c r="T262" s="45" t="n"/>
      <c r="U262" s="45" t="n"/>
      <c r="V262" s="46" t="n"/>
      <c r="W262" s="41" t="n"/>
      <c r="X262" s="46" t="n"/>
      <c r="Y262" s="42" t="n"/>
      <c r="Z262" s="43" t="n"/>
      <c r="AA262" s="41" t="n"/>
      <c r="AB262" s="47">
        <f>CALCULO!CT262</f>
      </c>
      <c r="AC262" s="48">
        <f>CALCULO!CD262</f>
      </c>
    </row>
    <row r="263">
      <c r="A263" s="40">
        <f>IF(B263="","",ROW()-5)</f>
      </c>
      <c r="B263" s="41" t="n"/>
      <c r="C263" s="42" t="n"/>
      <c r="D263" s="43" t="n"/>
      <c r="E263" s="43" t="n"/>
      <c r="F263" s="44" t="n"/>
      <c r="G263" s="44" t="n"/>
      <c r="H263" s="44" t="n"/>
      <c r="I263" s="44" t="n"/>
      <c r="J263" s="45" t="n"/>
      <c r="K263" s="45" t="n"/>
      <c r="L263" s="46" t="n"/>
      <c r="M263" s="45" t="n"/>
      <c r="N263" s="46" t="n"/>
      <c r="O263" s="45" t="n"/>
      <c r="P263" s="45" t="n"/>
      <c r="Q263" s="45" t="n"/>
      <c r="R263" s="45" t="n"/>
      <c r="S263" s="45" t="n"/>
      <c r="T263" s="45" t="n"/>
      <c r="U263" s="45" t="n"/>
      <c r="V263" s="46" t="n"/>
      <c r="W263" s="41" t="n"/>
      <c r="X263" s="46" t="n"/>
      <c r="Y263" s="42" t="n"/>
      <c r="Z263" s="43" t="n"/>
      <c r="AA263" s="41" t="n"/>
      <c r="AB263" s="47">
        <f>CALCULO!CT263</f>
      </c>
      <c r="AC263" s="48">
        <f>CALCULO!CD263</f>
      </c>
    </row>
    <row r="264">
      <c r="A264" s="40">
        <f>IF(B264="","",ROW()-5)</f>
      </c>
      <c r="B264" s="41" t="n"/>
      <c r="C264" s="42" t="n"/>
      <c r="D264" s="43" t="n"/>
      <c r="E264" s="43" t="n"/>
      <c r="F264" s="44" t="n"/>
      <c r="G264" s="44" t="n"/>
      <c r="H264" s="44" t="n"/>
      <c r="I264" s="44" t="n"/>
      <c r="J264" s="45" t="n"/>
      <c r="K264" s="45" t="n"/>
      <c r="L264" s="46" t="n"/>
      <c r="M264" s="45" t="n"/>
      <c r="N264" s="46" t="n"/>
      <c r="O264" s="45" t="n"/>
      <c r="P264" s="45" t="n"/>
      <c r="Q264" s="45" t="n"/>
      <c r="R264" s="45" t="n"/>
      <c r="S264" s="45" t="n"/>
      <c r="T264" s="45" t="n"/>
      <c r="U264" s="45" t="n"/>
      <c r="V264" s="46" t="n"/>
      <c r="W264" s="41" t="n"/>
      <c r="X264" s="46" t="n"/>
      <c r="Y264" s="42" t="n"/>
      <c r="Z264" s="43" t="n"/>
      <c r="AA264" s="41" t="n"/>
      <c r="AB264" s="47">
        <f>CALCULO!CT264</f>
      </c>
      <c r="AC264" s="48">
        <f>CALCULO!CD264</f>
      </c>
    </row>
    <row r="265">
      <c r="A265" s="40">
        <f>IF(B265="","",ROW()-5)</f>
      </c>
      <c r="B265" s="41" t="n"/>
      <c r="C265" s="42" t="n"/>
      <c r="D265" s="43" t="n"/>
      <c r="E265" s="43" t="n"/>
      <c r="F265" s="44" t="n"/>
      <c r="G265" s="44" t="n"/>
      <c r="H265" s="44" t="n"/>
      <c r="I265" s="44" t="n"/>
      <c r="J265" s="45" t="n"/>
      <c r="K265" s="45" t="n"/>
      <c r="L265" s="46" t="n"/>
      <c r="M265" s="45" t="n"/>
      <c r="N265" s="46" t="n"/>
      <c r="O265" s="45" t="n"/>
      <c r="P265" s="45" t="n"/>
      <c r="Q265" s="45" t="n"/>
      <c r="R265" s="45" t="n"/>
      <c r="S265" s="45" t="n"/>
      <c r="T265" s="45" t="n"/>
      <c r="U265" s="45" t="n"/>
      <c r="V265" s="46" t="n"/>
      <c r="W265" s="41" t="n"/>
      <c r="X265" s="46" t="n"/>
      <c r="Y265" s="42" t="n"/>
      <c r="Z265" s="43" t="n"/>
      <c r="AA265" s="41" t="n"/>
      <c r="AB265" s="47">
        <f>CALCULO!CT265</f>
      </c>
      <c r="AC265" s="48">
        <f>CALCULO!CD265</f>
      </c>
    </row>
    <row r="266">
      <c r="A266" s="40">
        <f>IF(B266="","",ROW()-5)</f>
      </c>
      <c r="B266" s="41" t="n"/>
      <c r="C266" s="42" t="n"/>
      <c r="D266" s="43" t="n"/>
      <c r="E266" s="43" t="n"/>
      <c r="F266" s="44" t="n"/>
      <c r="G266" s="44" t="n"/>
      <c r="H266" s="44" t="n"/>
      <c r="I266" s="44" t="n"/>
      <c r="J266" s="45" t="n"/>
      <c r="K266" s="45" t="n"/>
      <c r="L266" s="46" t="n"/>
      <c r="M266" s="45" t="n"/>
      <c r="N266" s="46" t="n"/>
      <c r="O266" s="45" t="n"/>
      <c r="P266" s="45" t="n"/>
      <c r="Q266" s="45" t="n"/>
      <c r="R266" s="45" t="n"/>
      <c r="S266" s="45" t="n"/>
      <c r="T266" s="45" t="n"/>
      <c r="U266" s="45" t="n"/>
      <c r="V266" s="46" t="n"/>
      <c r="W266" s="41" t="n"/>
      <c r="X266" s="46" t="n"/>
      <c r="Y266" s="42" t="n"/>
      <c r="Z266" s="43" t="n"/>
      <c r="AA266" s="41" t="n"/>
      <c r="AB266" s="47">
        <f>CALCULO!CT266</f>
      </c>
      <c r="AC266" s="48">
        <f>CALCULO!CD266</f>
      </c>
    </row>
    <row r="267">
      <c r="A267" s="40">
        <f>IF(B267="","",ROW()-5)</f>
      </c>
      <c r="B267" s="41" t="n"/>
      <c r="C267" s="42" t="n"/>
      <c r="D267" s="43" t="n"/>
      <c r="E267" s="43" t="n"/>
      <c r="F267" s="44" t="n"/>
      <c r="G267" s="44" t="n"/>
      <c r="H267" s="44" t="n"/>
      <c r="I267" s="44" t="n"/>
      <c r="J267" s="45" t="n"/>
      <c r="K267" s="45" t="n"/>
      <c r="L267" s="46" t="n"/>
      <c r="M267" s="45" t="n"/>
      <c r="N267" s="46" t="n"/>
      <c r="O267" s="45" t="n"/>
      <c r="P267" s="45" t="n"/>
      <c r="Q267" s="45" t="n"/>
      <c r="R267" s="45" t="n"/>
      <c r="S267" s="45" t="n"/>
      <c r="T267" s="45" t="n"/>
      <c r="U267" s="45" t="n"/>
      <c r="V267" s="46" t="n"/>
      <c r="W267" s="41" t="n"/>
      <c r="X267" s="46" t="n"/>
      <c r="Y267" s="42" t="n"/>
      <c r="Z267" s="43" t="n"/>
      <c r="AA267" s="41" t="n"/>
      <c r="AB267" s="47">
        <f>CALCULO!CT267</f>
      </c>
      <c r="AC267" s="48">
        <f>CALCULO!CD267</f>
      </c>
    </row>
    <row r="268">
      <c r="A268" s="40">
        <f>IF(B268="","",ROW()-5)</f>
      </c>
      <c r="B268" s="41" t="n"/>
      <c r="C268" s="42" t="n"/>
      <c r="D268" s="43" t="n"/>
      <c r="E268" s="43" t="n"/>
      <c r="F268" s="44" t="n"/>
      <c r="G268" s="44" t="n"/>
      <c r="H268" s="44" t="n"/>
      <c r="I268" s="44" t="n"/>
      <c r="J268" s="45" t="n"/>
      <c r="K268" s="45" t="n"/>
      <c r="L268" s="46" t="n"/>
      <c r="M268" s="45" t="n"/>
      <c r="N268" s="46" t="n"/>
      <c r="O268" s="45" t="n"/>
      <c r="P268" s="45" t="n"/>
      <c r="Q268" s="45" t="n"/>
      <c r="R268" s="45" t="n"/>
      <c r="S268" s="45" t="n"/>
      <c r="T268" s="45" t="n"/>
      <c r="U268" s="45" t="n"/>
      <c r="V268" s="46" t="n"/>
      <c r="W268" s="41" t="n"/>
      <c r="X268" s="46" t="n"/>
      <c r="Y268" s="42" t="n"/>
      <c r="Z268" s="43" t="n"/>
      <c r="AA268" s="41" t="n"/>
      <c r="AB268" s="47">
        <f>CALCULO!CT268</f>
      </c>
      <c r="AC268" s="48">
        <f>CALCULO!CD268</f>
      </c>
    </row>
    <row r="269">
      <c r="A269" s="40">
        <f>IF(B269="","",ROW()-5)</f>
      </c>
      <c r="B269" s="41" t="n"/>
      <c r="C269" s="42" t="n"/>
      <c r="D269" s="43" t="n"/>
      <c r="E269" s="43" t="n"/>
      <c r="F269" s="44" t="n"/>
      <c r="G269" s="44" t="n"/>
      <c r="H269" s="44" t="n"/>
      <c r="I269" s="44" t="n"/>
      <c r="J269" s="45" t="n"/>
      <c r="K269" s="45" t="n"/>
      <c r="L269" s="46" t="n"/>
      <c r="M269" s="45" t="n"/>
      <c r="N269" s="46" t="n"/>
      <c r="O269" s="45" t="n"/>
      <c r="P269" s="45" t="n"/>
      <c r="Q269" s="45" t="n"/>
      <c r="R269" s="45" t="n"/>
      <c r="S269" s="45" t="n"/>
      <c r="T269" s="45" t="n"/>
      <c r="U269" s="45" t="n"/>
      <c r="V269" s="46" t="n"/>
      <c r="W269" s="41" t="n"/>
      <c r="X269" s="46" t="n"/>
      <c r="Y269" s="42" t="n"/>
      <c r="Z269" s="43" t="n"/>
      <c r="AA269" s="41" t="n"/>
      <c r="AB269" s="47">
        <f>CALCULO!CT269</f>
      </c>
      <c r="AC269" s="48">
        <f>CALCULO!CD269</f>
      </c>
    </row>
    <row r="270">
      <c r="A270" s="40">
        <f>IF(B270="","",ROW()-5)</f>
      </c>
      <c r="B270" s="41" t="n"/>
      <c r="C270" s="42" t="n"/>
      <c r="D270" s="43" t="n"/>
      <c r="E270" s="43" t="n"/>
      <c r="F270" s="44" t="n"/>
      <c r="G270" s="44" t="n"/>
      <c r="H270" s="44" t="n"/>
      <c r="I270" s="44" t="n"/>
      <c r="J270" s="45" t="n"/>
      <c r="K270" s="45" t="n"/>
      <c r="L270" s="46" t="n"/>
      <c r="M270" s="45" t="n"/>
      <c r="N270" s="46" t="n"/>
      <c r="O270" s="45" t="n"/>
      <c r="P270" s="45" t="n"/>
      <c r="Q270" s="45" t="n"/>
      <c r="R270" s="45" t="n"/>
      <c r="S270" s="45" t="n"/>
      <c r="T270" s="45" t="n"/>
      <c r="U270" s="45" t="n"/>
      <c r="V270" s="46" t="n"/>
      <c r="W270" s="41" t="n"/>
      <c r="X270" s="46" t="n"/>
      <c r="Y270" s="42" t="n"/>
      <c r="Z270" s="43" t="n"/>
      <c r="AA270" s="41" t="n"/>
      <c r="AB270" s="47">
        <f>CALCULO!CT270</f>
      </c>
      <c r="AC270" s="48">
        <f>CALCULO!CD270</f>
      </c>
    </row>
    <row r="271">
      <c r="A271" s="40">
        <f>IF(B271="","",ROW()-5)</f>
      </c>
      <c r="B271" s="41" t="n"/>
      <c r="C271" s="42" t="n"/>
      <c r="D271" s="43" t="n"/>
      <c r="E271" s="43" t="n"/>
      <c r="F271" s="44" t="n"/>
      <c r="G271" s="44" t="n"/>
      <c r="H271" s="44" t="n"/>
      <c r="I271" s="44" t="n"/>
      <c r="J271" s="45" t="n"/>
      <c r="K271" s="45" t="n"/>
      <c r="L271" s="46" t="n"/>
      <c r="M271" s="45" t="n"/>
      <c r="N271" s="46" t="n"/>
      <c r="O271" s="45" t="n"/>
      <c r="P271" s="45" t="n"/>
      <c r="Q271" s="45" t="n"/>
      <c r="R271" s="45" t="n"/>
      <c r="S271" s="45" t="n"/>
      <c r="T271" s="45" t="n"/>
      <c r="U271" s="45" t="n"/>
      <c r="V271" s="46" t="n"/>
      <c r="W271" s="41" t="n"/>
      <c r="X271" s="46" t="n"/>
      <c r="Y271" s="42" t="n"/>
      <c r="Z271" s="43" t="n"/>
      <c r="AA271" s="41" t="n"/>
      <c r="AB271" s="47">
        <f>CALCULO!CT271</f>
      </c>
      <c r="AC271" s="48">
        <f>CALCULO!CD271</f>
      </c>
    </row>
    <row r="272">
      <c r="A272" s="40">
        <f>IF(B272="","",ROW()-5)</f>
      </c>
      <c r="B272" s="41" t="n"/>
      <c r="C272" s="42" t="n"/>
      <c r="D272" s="43" t="n"/>
      <c r="E272" s="43" t="n"/>
      <c r="F272" s="44" t="n"/>
      <c r="G272" s="44" t="n"/>
      <c r="H272" s="44" t="n"/>
      <c r="I272" s="44" t="n"/>
      <c r="J272" s="45" t="n"/>
      <c r="K272" s="45" t="n"/>
      <c r="L272" s="46" t="n"/>
      <c r="M272" s="45" t="n"/>
      <c r="N272" s="46" t="n"/>
      <c r="O272" s="45" t="n"/>
      <c r="P272" s="45" t="n"/>
      <c r="Q272" s="45" t="n"/>
      <c r="R272" s="45" t="n"/>
      <c r="S272" s="45" t="n"/>
      <c r="T272" s="45" t="n"/>
      <c r="U272" s="45" t="n"/>
      <c r="V272" s="46" t="n"/>
      <c r="W272" s="41" t="n"/>
      <c r="X272" s="46" t="n"/>
      <c r="Y272" s="42" t="n"/>
      <c r="Z272" s="43" t="n"/>
      <c r="AA272" s="41" t="n"/>
      <c r="AB272" s="47">
        <f>CALCULO!CT272</f>
      </c>
      <c r="AC272" s="48">
        <f>CALCULO!CD272</f>
      </c>
    </row>
    <row r="273">
      <c r="A273" s="40">
        <f>IF(B273="","",ROW()-5)</f>
      </c>
      <c r="B273" s="41" t="n"/>
      <c r="C273" s="42" t="n"/>
      <c r="D273" s="43" t="n"/>
      <c r="E273" s="43" t="n"/>
      <c r="F273" s="44" t="n"/>
      <c r="G273" s="44" t="n"/>
      <c r="H273" s="44" t="n"/>
      <c r="I273" s="44" t="n"/>
      <c r="J273" s="45" t="n"/>
      <c r="K273" s="45" t="n"/>
      <c r="L273" s="46" t="n"/>
      <c r="M273" s="45" t="n"/>
      <c r="N273" s="46" t="n"/>
      <c r="O273" s="45" t="n"/>
      <c r="P273" s="45" t="n"/>
      <c r="Q273" s="45" t="n"/>
      <c r="R273" s="45" t="n"/>
      <c r="S273" s="45" t="n"/>
      <c r="T273" s="45" t="n"/>
      <c r="U273" s="45" t="n"/>
      <c r="V273" s="46" t="n"/>
      <c r="W273" s="41" t="n"/>
      <c r="X273" s="46" t="n"/>
      <c r="Y273" s="42" t="n"/>
      <c r="Z273" s="43" t="n"/>
      <c r="AA273" s="41" t="n"/>
      <c r="AB273" s="47">
        <f>CALCULO!CT273</f>
      </c>
      <c r="AC273" s="48">
        <f>CALCULO!CD273</f>
      </c>
    </row>
    <row r="274">
      <c r="A274" s="40">
        <f>IF(B274="","",ROW()-5)</f>
      </c>
      <c r="B274" s="41" t="n"/>
      <c r="C274" s="42" t="n"/>
      <c r="D274" s="43" t="n"/>
      <c r="E274" s="43" t="n"/>
      <c r="F274" s="44" t="n"/>
      <c r="G274" s="44" t="n"/>
      <c r="H274" s="44" t="n"/>
      <c r="I274" s="44" t="n"/>
      <c r="J274" s="45" t="n"/>
      <c r="K274" s="45" t="n"/>
      <c r="L274" s="46" t="n"/>
      <c r="M274" s="45" t="n"/>
      <c r="N274" s="46" t="n"/>
      <c r="O274" s="45" t="n"/>
      <c r="P274" s="45" t="n"/>
      <c r="Q274" s="45" t="n"/>
      <c r="R274" s="45" t="n"/>
      <c r="S274" s="45" t="n"/>
      <c r="T274" s="45" t="n"/>
      <c r="U274" s="45" t="n"/>
      <c r="V274" s="46" t="n"/>
      <c r="W274" s="41" t="n"/>
      <c r="X274" s="46" t="n"/>
      <c r="Y274" s="42" t="n"/>
      <c r="Z274" s="43" t="n"/>
      <c r="AA274" s="41" t="n"/>
      <c r="AB274" s="47">
        <f>CALCULO!CT274</f>
      </c>
      <c r="AC274" s="48">
        <f>CALCULO!CD274</f>
      </c>
    </row>
    <row r="275">
      <c r="A275" s="40">
        <f>IF(B275="","",ROW()-5)</f>
      </c>
      <c r="B275" s="41" t="n"/>
      <c r="C275" s="42" t="n"/>
      <c r="D275" s="43" t="n"/>
      <c r="E275" s="43" t="n"/>
      <c r="F275" s="44" t="n"/>
      <c r="G275" s="44" t="n"/>
      <c r="H275" s="44" t="n"/>
      <c r="I275" s="44" t="n"/>
      <c r="J275" s="45" t="n"/>
      <c r="K275" s="45" t="n"/>
      <c r="L275" s="46" t="n"/>
      <c r="M275" s="45" t="n"/>
      <c r="N275" s="46" t="n"/>
      <c r="O275" s="45" t="n"/>
      <c r="P275" s="45" t="n"/>
      <c r="Q275" s="45" t="n"/>
      <c r="R275" s="45" t="n"/>
      <c r="S275" s="45" t="n"/>
      <c r="T275" s="45" t="n"/>
      <c r="U275" s="45" t="n"/>
      <c r="V275" s="46" t="n"/>
      <c r="W275" s="41" t="n"/>
      <c r="X275" s="46" t="n"/>
      <c r="Y275" s="42" t="n"/>
      <c r="Z275" s="43" t="n"/>
      <c r="AA275" s="41" t="n"/>
      <c r="AB275" s="47">
        <f>CALCULO!CT275</f>
      </c>
      <c r="AC275" s="48">
        <f>CALCULO!CD275</f>
      </c>
    </row>
    <row r="276">
      <c r="A276" s="40">
        <f>IF(B276="","",ROW()-5)</f>
      </c>
      <c r="B276" s="41" t="n"/>
      <c r="C276" s="42" t="n"/>
      <c r="D276" s="43" t="n"/>
      <c r="E276" s="43" t="n"/>
      <c r="F276" s="44" t="n"/>
      <c r="G276" s="44" t="n"/>
      <c r="H276" s="44" t="n"/>
      <c r="I276" s="44" t="n"/>
      <c r="J276" s="45" t="n"/>
      <c r="K276" s="45" t="n"/>
      <c r="L276" s="46" t="n"/>
      <c r="M276" s="45" t="n"/>
      <c r="N276" s="46" t="n"/>
      <c r="O276" s="45" t="n"/>
      <c r="P276" s="45" t="n"/>
      <c r="Q276" s="45" t="n"/>
      <c r="R276" s="45" t="n"/>
      <c r="S276" s="45" t="n"/>
      <c r="T276" s="45" t="n"/>
      <c r="U276" s="45" t="n"/>
      <c r="V276" s="46" t="n"/>
      <c r="W276" s="41" t="n"/>
      <c r="X276" s="46" t="n"/>
      <c r="Y276" s="42" t="n"/>
      <c r="Z276" s="43" t="n"/>
      <c r="AA276" s="41" t="n"/>
      <c r="AB276" s="47">
        <f>CALCULO!CT276</f>
      </c>
      <c r="AC276" s="48">
        <f>CALCULO!CD276</f>
      </c>
    </row>
    <row r="277">
      <c r="A277" s="40">
        <f>IF(B277="","",ROW()-5)</f>
      </c>
      <c r="B277" s="41" t="n"/>
      <c r="C277" s="42" t="n"/>
      <c r="D277" s="43" t="n"/>
      <c r="E277" s="43" t="n"/>
      <c r="F277" s="44" t="n"/>
      <c r="G277" s="44" t="n"/>
      <c r="H277" s="44" t="n"/>
      <c r="I277" s="44" t="n"/>
      <c r="J277" s="45" t="n"/>
      <c r="K277" s="45" t="n"/>
      <c r="L277" s="46" t="n"/>
      <c r="M277" s="45" t="n"/>
      <c r="N277" s="46" t="n"/>
      <c r="O277" s="45" t="n"/>
      <c r="P277" s="45" t="n"/>
      <c r="Q277" s="45" t="n"/>
      <c r="R277" s="45" t="n"/>
      <c r="S277" s="45" t="n"/>
      <c r="T277" s="45" t="n"/>
      <c r="U277" s="45" t="n"/>
      <c r="V277" s="46" t="n"/>
      <c r="W277" s="41" t="n"/>
      <c r="X277" s="46" t="n"/>
      <c r="Y277" s="42" t="n"/>
      <c r="Z277" s="43" t="n"/>
      <c r="AA277" s="41" t="n"/>
      <c r="AB277" s="47">
        <f>CALCULO!CT277</f>
      </c>
      <c r="AC277" s="48">
        <f>CALCULO!CD277</f>
      </c>
    </row>
    <row r="278">
      <c r="A278" s="40">
        <f>IF(B278="","",ROW()-5)</f>
      </c>
      <c r="B278" s="41" t="n"/>
      <c r="C278" s="42" t="n"/>
      <c r="D278" s="43" t="n"/>
      <c r="E278" s="43" t="n"/>
      <c r="F278" s="44" t="n"/>
      <c r="G278" s="44" t="n"/>
      <c r="H278" s="44" t="n"/>
      <c r="I278" s="44" t="n"/>
      <c r="J278" s="45" t="n"/>
      <c r="K278" s="45" t="n"/>
      <c r="L278" s="46" t="n"/>
      <c r="M278" s="45" t="n"/>
      <c r="N278" s="46" t="n"/>
      <c r="O278" s="45" t="n"/>
      <c r="P278" s="45" t="n"/>
      <c r="Q278" s="45" t="n"/>
      <c r="R278" s="45" t="n"/>
      <c r="S278" s="45" t="n"/>
      <c r="T278" s="45" t="n"/>
      <c r="U278" s="45" t="n"/>
      <c r="V278" s="46" t="n"/>
      <c r="W278" s="41" t="n"/>
      <c r="X278" s="46" t="n"/>
      <c r="Y278" s="42" t="n"/>
      <c r="Z278" s="43" t="n"/>
      <c r="AA278" s="41" t="n"/>
      <c r="AB278" s="47">
        <f>CALCULO!CT278</f>
      </c>
      <c r="AC278" s="48">
        <f>CALCULO!CD278</f>
      </c>
    </row>
    <row r="279">
      <c r="A279" s="40">
        <f>IF(B279="","",ROW()-5)</f>
      </c>
      <c r="B279" s="41" t="n"/>
      <c r="C279" s="42" t="n"/>
      <c r="D279" s="43" t="n"/>
      <c r="E279" s="43" t="n"/>
      <c r="F279" s="44" t="n"/>
      <c r="G279" s="44" t="n"/>
      <c r="H279" s="44" t="n"/>
      <c r="I279" s="44" t="n"/>
      <c r="J279" s="45" t="n"/>
      <c r="K279" s="45" t="n"/>
      <c r="L279" s="46" t="n"/>
      <c r="M279" s="45" t="n"/>
      <c r="N279" s="46" t="n"/>
      <c r="O279" s="45" t="n"/>
      <c r="P279" s="45" t="n"/>
      <c r="Q279" s="45" t="n"/>
      <c r="R279" s="45" t="n"/>
      <c r="S279" s="45" t="n"/>
      <c r="T279" s="45" t="n"/>
      <c r="U279" s="45" t="n"/>
      <c r="V279" s="46" t="n"/>
      <c r="W279" s="41" t="n"/>
      <c r="X279" s="46" t="n"/>
      <c r="Y279" s="42" t="n"/>
      <c r="Z279" s="43" t="n"/>
      <c r="AA279" s="41" t="n"/>
      <c r="AB279" s="47">
        <f>CALCULO!CT279</f>
      </c>
      <c r="AC279" s="48">
        <f>CALCULO!CD279</f>
      </c>
    </row>
    <row r="280">
      <c r="A280" s="40">
        <f>IF(B280="","",ROW()-5)</f>
      </c>
      <c r="B280" s="41" t="n"/>
      <c r="C280" s="42" t="n"/>
      <c r="D280" s="43" t="n"/>
      <c r="E280" s="43" t="n"/>
      <c r="F280" s="44" t="n"/>
      <c r="G280" s="44" t="n"/>
      <c r="H280" s="44" t="n"/>
      <c r="I280" s="44" t="n"/>
      <c r="J280" s="45" t="n"/>
      <c r="K280" s="45" t="n"/>
      <c r="L280" s="46" t="n"/>
      <c r="M280" s="45" t="n"/>
      <c r="N280" s="46" t="n"/>
      <c r="O280" s="45" t="n"/>
      <c r="P280" s="45" t="n"/>
      <c r="Q280" s="45" t="n"/>
      <c r="R280" s="45" t="n"/>
      <c r="S280" s="45" t="n"/>
      <c r="T280" s="45" t="n"/>
      <c r="U280" s="45" t="n"/>
      <c r="V280" s="46" t="n"/>
      <c r="W280" s="41" t="n"/>
      <c r="X280" s="46" t="n"/>
      <c r="Y280" s="42" t="n"/>
      <c r="Z280" s="43" t="n"/>
      <c r="AA280" s="41" t="n"/>
      <c r="AB280" s="47">
        <f>CALCULO!CT280</f>
      </c>
      <c r="AC280" s="48">
        <f>CALCULO!CD280</f>
      </c>
    </row>
    <row r="281">
      <c r="A281" s="40">
        <f>IF(B281="","",ROW()-5)</f>
      </c>
      <c r="B281" s="41" t="n"/>
      <c r="C281" s="42" t="n"/>
      <c r="D281" s="43" t="n"/>
      <c r="E281" s="43" t="n"/>
      <c r="F281" s="44" t="n"/>
      <c r="G281" s="44" t="n"/>
      <c r="H281" s="44" t="n"/>
      <c r="I281" s="44" t="n"/>
      <c r="J281" s="45" t="n"/>
      <c r="K281" s="45" t="n"/>
      <c r="L281" s="46" t="n"/>
      <c r="M281" s="45" t="n"/>
      <c r="N281" s="46" t="n"/>
      <c r="O281" s="45" t="n"/>
      <c r="P281" s="45" t="n"/>
      <c r="Q281" s="45" t="n"/>
      <c r="R281" s="45" t="n"/>
      <c r="S281" s="45" t="n"/>
      <c r="T281" s="45" t="n"/>
      <c r="U281" s="45" t="n"/>
      <c r="V281" s="46" t="n"/>
      <c r="W281" s="41" t="n"/>
      <c r="X281" s="46" t="n"/>
      <c r="Y281" s="42" t="n"/>
      <c r="Z281" s="43" t="n"/>
      <c r="AA281" s="41" t="n"/>
      <c r="AB281" s="47">
        <f>CALCULO!CT281</f>
      </c>
      <c r="AC281" s="48">
        <f>CALCULO!CD281</f>
      </c>
    </row>
    <row r="282">
      <c r="A282" s="40">
        <f>IF(B282="","",ROW()-5)</f>
      </c>
      <c r="B282" s="41" t="n"/>
      <c r="C282" s="42" t="n"/>
      <c r="D282" s="43" t="n"/>
      <c r="E282" s="43" t="n"/>
      <c r="F282" s="44" t="n"/>
      <c r="G282" s="44" t="n"/>
      <c r="H282" s="44" t="n"/>
      <c r="I282" s="44" t="n"/>
      <c r="J282" s="45" t="n"/>
      <c r="K282" s="45" t="n"/>
      <c r="L282" s="46" t="n"/>
      <c r="M282" s="45" t="n"/>
      <c r="N282" s="46" t="n"/>
      <c r="O282" s="45" t="n"/>
      <c r="P282" s="45" t="n"/>
      <c r="Q282" s="45" t="n"/>
      <c r="R282" s="45" t="n"/>
      <c r="S282" s="45" t="n"/>
      <c r="T282" s="45" t="n"/>
      <c r="U282" s="45" t="n"/>
      <c r="V282" s="46" t="n"/>
      <c r="W282" s="41" t="n"/>
      <c r="X282" s="46" t="n"/>
      <c r="Y282" s="42" t="n"/>
      <c r="Z282" s="43" t="n"/>
      <c r="AA282" s="41" t="n"/>
      <c r="AB282" s="47">
        <f>CALCULO!CT282</f>
      </c>
      <c r="AC282" s="48">
        <f>CALCULO!CD282</f>
      </c>
    </row>
    <row r="283">
      <c r="A283" s="40">
        <f>IF(B283="","",ROW()-5)</f>
      </c>
      <c r="B283" s="41" t="n"/>
      <c r="C283" s="42" t="n"/>
      <c r="D283" s="43" t="n"/>
      <c r="E283" s="43" t="n"/>
      <c r="F283" s="44" t="n"/>
      <c r="G283" s="44" t="n"/>
      <c r="H283" s="44" t="n"/>
      <c r="I283" s="44" t="n"/>
      <c r="J283" s="45" t="n"/>
      <c r="K283" s="45" t="n"/>
      <c r="L283" s="46" t="n"/>
      <c r="M283" s="45" t="n"/>
      <c r="N283" s="46" t="n"/>
      <c r="O283" s="45" t="n"/>
      <c r="P283" s="45" t="n"/>
      <c r="Q283" s="45" t="n"/>
      <c r="R283" s="45" t="n"/>
      <c r="S283" s="45" t="n"/>
      <c r="T283" s="45" t="n"/>
      <c r="U283" s="45" t="n"/>
      <c r="V283" s="46" t="n"/>
      <c r="W283" s="41" t="n"/>
      <c r="X283" s="46" t="n"/>
      <c r="Y283" s="42" t="n"/>
      <c r="Z283" s="43" t="n"/>
      <c r="AA283" s="41" t="n"/>
      <c r="AB283" s="47">
        <f>CALCULO!CT283</f>
      </c>
      <c r="AC283" s="48">
        <f>CALCULO!CD283</f>
      </c>
    </row>
    <row r="284">
      <c r="A284" s="40">
        <f>IF(B284="","",ROW()-5)</f>
      </c>
      <c r="B284" s="41" t="n"/>
      <c r="C284" s="42" t="n"/>
      <c r="D284" s="43" t="n"/>
      <c r="E284" s="43" t="n"/>
      <c r="F284" s="44" t="n"/>
      <c r="G284" s="44" t="n"/>
      <c r="H284" s="44" t="n"/>
      <c r="I284" s="44" t="n"/>
      <c r="J284" s="45" t="n"/>
      <c r="K284" s="45" t="n"/>
      <c r="L284" s="46" t="n"/>
      <c r="M284" s="45" t="n"/>
      <c r="N284" s="46" t="n"/>
      <c r="O284" s="45" t="n"/>
      <c r="P284" s="45" t="n"/>
      <c r="Q284" s="45" t="n"/>
      <c r="R284" s="45" t="n"/>
      <c r="S284" s="45" t="n"/>
      <c r="T284" s="45" t="n"/>
      <c r="U284" s="45" t="n"/>
      <c r="V284" s="46" t="n"/>
      <c r="W284" s="41" t="n"/>
      <c r="X284" s="46" t="n"/>
      <c r="Y284" s="42" t="n"/>
      <c r="Z284" s="43" t="n"/>
      <c r="AA284" s="41" t="n"/>
      <c r="AB284" s="47">
        <f>CALCULO!CT284</f>
      </c>
      <c r="AC284" s="48">
        <f>CALCULO!CD284</f>
      </c>
    </row>
    <row r="285">
      <c r="A285" s="40">
        <f>IF(B285="","",ROW()-5)</f>
      </c>
      <c r="B285" s="41" t="n"/>
      <c r="C285" s="42" t="n"/>
      <c r="D285" s="43" t="n"/>
      <c r="E285" s="43" t="n"/>
      <c r="F285" s="44" t="n"/>
      <c r="G285" s="44" t="n"/>
      <c r="H285" s="44" t="n"/>
      <c r="I285" s="44" t="n"/>
      <c r="J285" s="45" t="n"/>
      <c r="K285" s="45" t="n"/>
      <c r="L285" s="46" t="n"/>
      <c r="M285" s="45" t="n"/>
      <c r="N285" s="46" t="n"/>
      <c r="O285" s="45" t="n"/>
      <c r="P285" s="45" t="n"/>
      <c r="Q285" s="45" t="n"/>
      <c r="R285" s="45" t="n"/>
      <c r="S285" s="45" t="n"/>
      <c r="T285" s="45" t="n"/>
      <c r="U285" s="45" t="n"/>
      <c r="V285" s="46" t="n"/>
      <c r="W285" s="41" t="n"/>
      <c r="X285" s="46" t="n"/>
      <c r="Y285" s="42" t="n"/>
      <c r="Z285" s="43" t="n"/>
      <c r="AA285" s="41" t="n"/>
      <c r="AB285" s="47">
        <f>CALCULO!CT285</f>
      </c>
      <c r="AC285" s="48">
        <f>CALCULO!CD285</f>
      </c>
    </row>
    <row r="286">
      <c r="A286" s="40">
        <f>IF(B286="","",ROW()-5)</f>
      </c>
      <c r="B286" s="41" t="n"/>
      <c r="C286" s="42" t="n"/>
      <c r="D286" s="43" t="n"/>
      <c r="E286" s="43" t="n"/>
      <c r="F286" s="44" t="n"/>
      <c r="G286" s="44" t="n"/>
      <c r="H286" s="44" t="n"/>
      <c r="I286" s="44" t="n"/>
      <c r="J286" s="45" t="n"/>
      <c r="K286" s="45" t="n"/>
      <c r="L286" s="46" t="n"/>
      <c r="M286" s="45" t="n"/>
      <c r="N286" s="46" t="n"/>
      <c r="O286" s="45" t="n"/>
      <c r="P286" s="45" t="n"/>
      <c r="Q286" s="45" t="n"/>
      <c r="R286" s="45" t="n"/>
      <c r="S286" s="45" t="n"/>
      <c r="T286" s="45" t="n"/>
      <c r="U286" s="45" t="n"/>
      <c r="V286" s="46" t="n"/>
      <c r="W286" s="41" t="n"/>
      <c r="X286" s="46" t="n"/>
      <c r="Y286" s="42" t="n"/>
      <c r="Z286" s="43" t="n"/>
      <c r="AA286" s="41" t="n"/>
      <c r="AB286" s="47">
        <f>CALCULO!CT286</f>
      </c>
      <c r="AC286" s="48">
        <f>CALCULO!CD286</f>
      </c>
    </row>
    <row r="287">
      <c r="A287" s="40">
        <f>IF(B287="","",ROW()-5)</f>
      </c>
      <c r="B287" s="41" t="n"/>
      <c r="C287" s="42" t="n"/>
      <c r="D287" s="43" t="n"/>
      <c r="E287" s="43" t="n"/>
      <c r="F287" s="44" t="n"/>
      <c r="G287" s="44" t="n"/>
      <c r="H287" s="44" t="n"/>
      <c r="I287" s="44" t="n"/>
      <c r="J287" s="45" t="n"/>
      <c r="K287" s="45" t="n"/>
      <c r="L287" s="46" t="n"/>
      <c r="M287" s="45" t="n"/>
      <c r="N287" s="46" t="n"/>
      <c r="O287" s="45" t="n"/>
      <c r="P287" s="45" t="n"/>
      <c r="Q287" s="45" t="n"/>
      <c r="R287" s="45" t="n"/>
      <c r="S287" s="45" t="n"/>
      <c r="T287" s="45" t="n"/>
      <c r="U287" s="45" t="n"/>
      <c r="V287" s="46" t="n"/>
      <c r="W287" s="41" t="n"/>
      <c r="X287" s="46" t="n"/>
      <c r="Y287" s="42" t="n"/>
      <c r="Z287" s="43" t="n"/>
      <c r="AA287" s="41" t="n"/>
      <c r="AB287" s="47">
        <f>CALCULO!CT287</f>
      </c>
      <c r="AC287" s="48">
        <f>CALCULO!CD287</f>
      </c>
    </row>
    <row r="288">
      <c r="A288" s="40">
        <f>IF(B288="","",ROW()-5)</f>
      </c>
      <c r="B288" s="41" t="n"/>
      <c r="C288" s="42" t="n"/>
      <c r="D288" s="43" t="n"/>
      <c r="E288" s="43" t="n"/>
      <c r="F288" s="44" t="n"/>
      <c r="G288" s="44" t="n"/>
      <c r="H288" s="44" t="n"/>
      <c r="I288" s="44" t="n"/>
      <c r="J288" s="45" t="n"/>
      <c r="K288" s="45" t="n"/>
      <c r="L288" s="46" t="n"/>
      <c r="M288" s="45" t="n"/>
      <c r="N288" s="46" t="n"/>
      <c r="O288" s="45" t="n"/>
      <c r="P288" s="45" t="n"/>
      <c r="Q288" s="45" t="n"/>
      <c r="R288" s="45" t="n"/>
      <c r="S288" s="45" t="n"/>
      <c r="T288" s="45" t="n"/>
      <c r="U288" s="45" t="n"/>
      <c r="V288" s="46" t="n"/>
      <c r="W288" s="41" t="n"/>
      <c r="X288" s="46" t="n"/>
      <c r="Y288" s="42" t="n"/>
      <c r="Z288" s="43" t="n"/>
      <c r="AA288" s="41" t="n"/>
      <c r="AB288" s="47">
        <f>CALCULO!CT288</f>
      </c>
      <c r="AC288" s="48">
        <f>CALCULO!CD288</f>
      </c>
    </row>
    <row r="289">
      <c r="A289" s="40">
        <f>IF(B289="","",ROW()-5)</f>
      </c>
      <c r="B289" s="41" t="n"/>
      <c r="C289" s="42" t="n"/>
      <c r="D289" s="43" t="n"/>
      <c r="E289" s="43" t="n"/>
      <c r="F289" s="44" t="n"/>
      <c r="G289" s="44" t="n"/>
      <c r="H289" s="44" t="n"/>
      <c r="I289" s="44" t="n"/>
      <c r="J289" s="45" t="n"/>
      <c r="K289" s="45" t="n"/>
      <c r="L289" s="46" t="n"/>
      <c r="M289" s="45" t="n"/>
      <c r="N289" s="46" t="n"/>
      <c r="O289" s="45" t="n"/>
      <c r="P289" s="45" t="n"/>
      <c r="Q289" s="45" t="n"/>
      <c r="R289" s="45" t="n"/>
      <c r="S289" s="45" t="n"/>
      <c r="T289" s="45" t="n"/>
      <c r="U289" s="45" t="n"/>
      <c r="V289" s="46" t="n"/>
      <c r="W289" s="41" t="n"/>
      <c r="X289" s="46" t="n"/>
      <c r="Y289" s="42" t="n"/>
      <c r="Z289" s="43" t="n"/>
      <c r="AA289" s="41" t="n"/>
      <c r="AB289" s="47">
        <f>CALCULO!CT289</f>
      </c>
      <c r="AC289" s="48">
        <f>CALCULO!CD289</f>
      </c>
    </row>
    <row r="290">
      <c r="A290" s="40">
        <f>IF(B290="","",ROW()-5)</f>
      </c>
      <c r="B290" s="41" t="n"/>
      <c r="C290" s="42" t="n"/>
      <c r="D290" s="43" t="n"/>
      <c r="E290" s="43" t="n"/>
      <c r="F290" s="44" t="n"/>
      <c r="G290" s="44" t="n"/>
      <c r="H290" s="44" t="n"/>
      <c r="I290" s="44" t="n"/>
      <c r="J290" s="45" t="n"/>
      <c r="K290" s="45" t="n"/>
      <c r="L290" s="46" t="n"/>
      <c r="M290" s="45" t="n"/>
      <c r="N290" s="46" t="n"/>
      <c r="O290" s="45" t="n"/>
      <c r="P290" s="45" t="n"/>
      <c r="Q290" s="45" t="n"/>
      <c r="R290" s="45" t="n"/>
      <c r="S290" s="45" t="n"/>
      <c r="T290" s="45" t="n"/>
      <c r="U290" s="45" t="n"/>
      <c r="V290" s="46" t="n"/>
      <c r="W290" s="41" t="n"/>
      <c r="X290" s="46" t="n"/>
      <c r="Y290" s="42" t="n"/>
      <c r="Z290" s="43" t="n"/>
      <c r="AA290" s="41" t="n"/>
      <c r="AB290" s="47">
        <f>CALCULO!CT290</f>
      </c>
      <c r="AC290" s="48">
        <f>CALCULO!CD290</f>
      </c>
    </row>
    <row r="291">
      <c r="A291" s="40">
        <f>IF(B291="","",ROW()-5)</f>
      </c>
      <c r="B291" s="41" t="n"/>
      <c r="C291" s="42" t="n"/>
      <c r="D291" s="43" t="n"/>
      <c r="E291" s="43" t="n"/>
      <c r="F291" s="44" t="n"/>
      <c r="G291" s="44" t="n"/>
      <c r="H291" s="44" t="n"/>
      <c r="I291" s="44" t="n"/>
      <c r="J291" s="45" t="n"/>
      <c r="K291" s="45" t="n"/>
      <c r="L291" s="46" t="n"/>
      <c r="M291" s="45" t="n"/>
      <c r="N291" s="46" t="n"/>
      <c r="O291" s="45" t="n"/>
      <c r="P291" s="45" t="n"/>
      <c r="Q291" s="45" t="n"/>
      <c r="R291" s="45" t="n"/>
      <c r="S291" s="45" t="n"/>
      <c r="T291" s="45" t="n"/>
      <c r="U291" s="45" t="n"/>
      <c r="V291" s="46" t="n"/>
      <c r="W291" s="41" t="n"/>
      <c r="X291" s="46" t="n"/>
      <c r="Y291" s="42" t="n"/>
      <c r="Z291" s="43" t="n"/>
      <c r="AA291" s="41" t="n"/>
      <c r="AB291" s="47">
        <f>CALCULO!CT291</f>
      </c>
      <c r="AC291" s="48">
        <f>CALCULO!CD291</f>
      </c>
    </row>
    <row r="292">
      <c r="A292" s="40">
        <f>IF(B292="","",ROW()-5)</f>
      </c>
      <c r="B292" s="41" t="n"/>
      <c r="C292" s="42" t="n"/>
      <c r="D292" s="43" t="n"/>
      <c r="E292" s="43" t="n"/>
      <c r="F292" s="44" t="n"/>
      <c r="G292" s="44" t="n"/>
      <c r="H292" s="44" t="n"/>
      <c r="I292" s="44" t="n"/>
      <c r="J292" s="45" t="n"/>
      <c r="K292" s="45" t="n"/>
      <c r="L292" s="46" t="n"/>
      <c r="M292" s="45" t="n"/>
      <c r="N292" s="46" t="n"/>
      <c r="O292" s="45" t="n"/>
      <c r="P292" s="45" t="n"/>
      <c r="Q292" s="45" t="n"/>
      <c r="R292" s="45" t="n"/>
      <c r="S292" s="45" t="n"/>
      <c r="T292" s="45" t="n"/>
      <c r="U292" s="45" t="n"/>
      <c r="V292" s="46" t="n"/>
      <c r="W292" s="41" t="n"/>
      <c r="X292" s="46" t="n"/>
      <c r="Y292" s="42" t="n"/>
      <c r="Z292" s="43" t="n"/>
      <c r="AA292" s="41" t="n"/>
      <c r="AB292" s="47">
        <f>CALCULO!CT292</f>
      </c>
      <c r="AC292" s="48">
        <f>CALCULO!CD292</f>
      </c>
    </row>
    <row r="293">
      <c r="A293" s="40">
        <f>IF(B293="","",ROW()-5)</f>
      </c>
      <c r="B293" s="41" t="n"/>
      <c r="C293" s="42" t="n"/>
      <c r="D293" s="43" t="n"/>
      <c r="E293" s="43" t="n"/>
      <c r="F293" s="44" t="n"/>
      <c r="G293" s="44" t="n"/>
      <c r="H293" s="44" t="n"/>
      <c r="I293" s="44" t="n"/>
      <c r="J293" s="45" t="n"/>
      <c r="K293" s="45" t="n"/>
      <c r="L293" s="46" t="n"/>
      <c r="M293" s="45" t="n"/>
      <c r="N293" s="46" t="n"/>
      <c r="O293" s="45" t="n"/>
      <c r="P293" s="45" t="n"/>
      <c r="Q293" s="45" t="n"/>
      <c r="R293" s="45" t="n"/>
      <c r="S293" s="45" t="n"/>
      <c r="T293" s="45" t="n"/>
      <c r="U293" s="45" t="n"/>
      <c r="V293" s="46" t="n"/>
      <c r="W293" s="41" t="n"/>
      <c r="X293" s="46" t="n"/>
      <c r="Y293" s="42" t="n"/>
      <c r="Z293" s="43" t="n"/>
      <c r="AA293" s="41" t="n"/>
      <c r="AB293" s="47">
        <f>CALCULO!CT293</f>
      </c>
      <c r="AC293" s="48">
        <f>CALCULO!CD293</f>
      </c>
    </row>
    <row r="294">
      <c r="A294" s="40">
        <f>IF(B294="","",ROW()-5)</f>
      </c>
      <c r="B294" s="41" t="n"/>
      <c r="C294" s="42" t="n"/>
      <c r="D294" s="43" t="n"/>
      <c r="E294" s="43" t="n"/>
      <c r="F294" s="44" t="n"/>
      <c r="G294" s="44" t="n"/>
      <c r="H294" s="44" t="n"/>
      <c r="I294" s="44" t="n"/>
      <c r="J294" s="45" t="n"/>
      <c r="K294" s="45" t="n"/>
      <c r="L294" s="46" t="n"/>
      <c r="M294" s="45" t="n"/>
      <c r="N294" s="46" t="n"/>
      <c r="O294" s="45" t="n"/>
      <c r="P294" s="45" t="n"/>
      <c r="Q294" s="45" t="n"/>
      <c r="R294" s="45" t="n"/>
      <c r="S294" s="45" t="n"/>
      <c r="T294" s="45" t="n"/>
      <c r="U294" s="45" t="n"/>
      <c r="V294" s="46" t="n"/>
      <c r="W294" s="41" t="n"/>
      <c r="X294" s="46" t="n"/>
      <c r="Y294" s="42" t="n"/>
      <c r="Z294" s="43" t="n"/>
      <c r="AA294" s="41" t="n"/>
      <c r="AB294" s="47">
        <f>CALCULO!CT294</f>
      </c>
      <c r="AC294" s="48">
        <f>CALCULO!CD294</f>
      </c>
    </row>
    <row r="295">
      <c r="A295" s="40">
        <f>IF(B295="","",ROW()-5)</f>
      </c>
      <c r="B295" s="41" t="n"/>
      <c r="C295" s="42" t="n"/>
      <c r="D295" s="43" t="n"/>
      <c r="E295" s="43" t="n"/>
      <c r="F295" s="44" t="n"/>
      <c r="G295" s="44" t="n"/>
      <c r="H295" s="44" t="n"/>
      <c r="I295" s="44" t="n"/>
      <c r="J295" s="45" t="n"/>
      <c r="K295" s="45" t="n"/>
      <c r="L295" s="46" t="n"/>
      <c r="M295" s="45" t="n"/>
      <c r="N295" s="46" t="n"/>
      <c r="O295" s="45" t="n"/>
      <c r="P295" s="45" t="n"/>
      <c r="Q295" s="45" t="n"/>
      <c r="R295" s="45" t="n"/>
      <c r="S295" s="45" t="n"/>
      <c r="T295" s="45" t="n"/>
      <c r="U295" s="45" t="n"/>
      <c r="V295" s="46" t="n"/>
      <c r="W295" s="41" t="n"/>
      <c r="X295" s="46" t="n"/>
      <c r="Y295" s="42" t="n"/>
      <c r="Z295" s="43" t="n"/>
      <c r="AA295" s="41" t="n"/>
      <c r="AB295" s="47">
        <f>CALCULO!CT295</f>
      </c>
      <c r="AC295" s="48">
        <f>CALCULO!CD295</f>
      </c>
    </row>
    <row r="296">
      <c r="A296" s="40">
        <f>IF(B296="","",ROW()-5)</f>
      </c>
      <c r="B296" s="41" t="n"/>
      <c r="C296" s="42" t="n"/>
      <c r="D296" s="43" t="n"/>
      <c r="E296" s="43" t="n"/>
      <c r="F296" s="44" t="n"/>
      <c r="G296" s="44" t="n"/>
      <c r="H296" s="44" t="n"/>
      <c r="I296" s="44" t="n"/>
      <c r="J296" s="45" t="n"/>
      <c r="K296" s="45" t="n"/>
      <c r="L296" s="46" t="n"/>
      <c r="M296" s="45" t="n"/>
      <c r="N296" s="46" t="n"/>
      <c r="O296" s="45" t="n"/>
      <c r="P296" s="45" t="n"/>
      <c r="Q296" s="45" t="n"/>
      <c r="R296" s="45" t="n"/>
      <c r="S296" s="45" t="n"/>
      <c r="T296" s="45" t="n"/>
      <c r="U296" s="45" t="n"/>
      <c r="V296" s="46" t="n"/>
      <c r="W296" s="41" t="n"/>
      <c r="X296" s="46" t="n"/>
      <c r="Y296" s="42" t="n"/>
      <c r="Z296" s="43" t="n"/>
      <c r="AA296" s="41" t="n"/>
      <c r="AB296" s="47">
        <f>CALCULO!CT296</f>
      </c>
      <c r="AC296" s="48">
        <f>CALCULO!CD296</f>
      </c>
    </row>
    <row r="297">
      <c r="A297" s="40">
        <f>IF(B297="","",ROW()-5)</f>
      </c>
      <c r="B297" s="41" t="n"/>
      <c r="C297" s="42" t="n"/>
      <c r="D297" s="43" t="n"/>
      <c r="E297" s="43" t="n"/>
      <c r="F297" s="44" t="n"/>
      <c r="G297" s="44" t="n"/>
      <c r="H297" s="44" t="n"/>
      <c r="I297" s="44" t="n"/>
      <c r="J297" s="45" t="n"/>
      <c r="K297" s="45" t="n"/>
      <c r="L297" s="46" t="n"/>
      <c r="M297" s="45" t="n"/>
      <c r="N297" s="46" t="n"/>
      <c r="O297" s="45" t="n"/>
      <c r="P297" s="45" t="n"/>
      <c r="Q297" s="45" t="n"/>
      <c r="R297" s="45" t="n"/>
      <c r="S297" s="45" t="n"/>
      <c r="T297" s="45" t="n"/>
      <c r="U297" s="45" t="n"/>
      <c r="V297" s="46" t="n"/>
      <c r="W297" s="41" t="n"/>
      <c r="X297" s="46" t="n"/>
      <c r="Y297" s="42" t="n"/>
      <c r="Z297" s="43" t="n"/>
      <c r="AA297" s="41" t="n"/>
      <c r="AB297" s="47">
        <f>CALCULO!CT297</f>
      </c>
      <c r="AC297" s="48">
        <f>CALCULO!CD297</f>
      </c>
    </row>
    <row r="298">
      <c r="A298" s="40">
        <f>IF(B298="","",ROW()-5)</f>
      </c>
      <c r="B298" s="41" t="n"/>
      <c r="C298" s="42" t="n"/>
      <c r="D298" s="43" t="n"/>
      <c r="E298" s="43" t="n"/>
      <c r="F298" s="44" t="n"/>
      <c r="G298" s="44" t="n"/>
      <c r="H298" s="44" t="n"/>
      <c r="I298" s="44" t="n"/>
      <c r="J298" s="45" t="n"/>
      <c r="K298" s="45" t="n"/>
      <c r="L298" s="46" t="n"/>
      <c r="M298" s="45" t="n"/>
      <c r="N298" s="46" t="n"/>
      <c r="O298" s="45" t="n"/>
      <c r="P298" s="45" t="n"/>
      <c r="Q298" s="45" t="n"/>
      <c r="R298" s="45" t="n"/>
      <c r="S298" s="45" t="n"/>
      <c r="T298" s="45" t="n"/>
      <c r="U298" s="45" t="n"/>
      <c r="V298" s="46" t="n"/>
      <c r="W298" s="41" t="n"/>
      <c r="X298" s="46" t="n"/>
      <c r="Y298" s="42" t="n"/>
      <c r="Z298" s="43" t="n"/>
      <c r="AA298" s="41" t="n"/>
      <c r="AB298" s="47">
        <f>CALCULO!CT298</f>
      </c>
      <c r="AC298" s="48">
        <f>CALCULO!CD298</f>
      </c>
    </row>
    <row r="299">
      <c r="A299" s="40">
        <f>IF(B299="","",ROW()-5)</f>
      </c>
      <c r="B299" s="41" t="n"/>
      <c r="C299" s="42" t="n"/>
      <c r="D299" s="43" t="n"/>
      <c r="E299" s="43" t="n"/>
      <c r="F299" s="44" t="n"/>
      <c r="G299" s="44" t="n"/>
      <c r="H299" s="44" t="n"/>
      <c r="I299" s="44" t="n"/>
      <c r="J299" s="45" t="n"/>
      <c r="K299" s="45" t="n"/>
      <c r="L299" s="46" t="n"/>
      <c r="M299" s="45" t="n"/>
      <c r="N299" s="46" t="n"/>
      <c r="O299" s="45" t="n"/>
      <c r="P299" s="45" t="n"/>
      <c r="Q299" s="45" t="n"/>
      <c r="R299" s="45" t="n"/>
      <c r="S299" s="45" t="n"/>
      <c r="T299" s="45" t="n"/>
      <c r="U299" s="45" t="n"/>
      <c r="V299" s="46" t="n"/>
      <c r="W299" s="41" t="n"/>
      <c r="X299" s="46" t="n"/>
      <c r="Y299" s="42" t="n"/>
      <c r="Z299" s="43" t="n"/>
      <c r="AA299" s="41" t="n"/>
      <c r="AB299" s="47">
        <f>CALCULO!CT299</f>
      </c>
      <c r="AC299" s="48">
        <f>CALCULO!CD299</f>
      </c>
    </row>
    <row r="300">
      <c r="A300" s="40">
        <f>IF(B300="","",ROW()-5)</f>
      </c>
      <c r="B300" s="41" t="n"/>
      <c r="C300" s="42" t="n"/>
      <c r="D300" s="43" t="n"/>
      <c r="E300" s="43" t="n"/>
      <c r="F300" s="44" t="n"/>
      <c r="G300" s="44" t="n"/>
      <c r="H300" s="44" t="n"/>
      <c r="I300" s="44" t="n"/>
      <c r="J300" s="45" t="n"/>
      <c r="K300" s="45" t="n"/>
      <c r="L300" s="46" t="n"/>
      <c r="M300" s="45" t="n"/>
      <c r="N300" s="46" t="n"/>
      <c r="O300" s="45" t="n"/>
      <c r="P300" s="45" t="n"/>
      <c r="Q300" s="45" t="n"/>
      <c r="R300" s="45" t="n"/>
      <c r="S300" s="45" t="n"/>
      <c r="T300" s="45" t="n"/>
      <c r="U300" s="45" t="n"/>
      <c r="V300" s="46" t="n"/>
      <c r="W300" s="41" t="n"/>
      <c r="X300" s="46" t="n"/>
      <c r="Y300" s="42" t="n"/>
      <c r="Z300" s="43" t="n"/>
      <c r="AA300" s="41" t="n"/>
      <c r="AB300" s="47">
        <f>CALCULO!CT300</f>
      </c>
      <c r="AC300" s="48">
        <f>CALCULO!CD300</f>
      </c>
    </row>
    <row r="301">
      <c r="A301" s="40">
        <f>IF(B301="","",ROW()-5)</f>
      </c>
      <c r="B301" s="41" t="n"/>
      <c r="C301" s="42" t="n"/>
      <c r="D301" s="43" t="n"/>
      <c r="E301" s="43" t="n"/>
      <c r="F301" s="44" t="n"/>
      <c r="G301" s="44" t="n"/>
      <c r="H301" s="44" t="n"/>
      <c r="I301" s="44" t="n"/>
      <c r="J301" s="45" t="n"/>
      <c r="K301" s="45" t="n"/>
      <c r="L301" s="46" t="n"/>
      <c r="M301" s="45" t="n"/>
      <c r="N301" s="46" t="n"/>
      <c r="O301" s="45" t="n"/>
      <c r="P301" s="45" t="n"/>
      <c r="Q301" s="45" t="n"/>
      <c r="R301" s="45" t="n"/>
      <c r="S301" s="45" t="n"/>
      <c r="T301" s="45" t="n"/>
      <c r="U301" s="45" t="n"/>
      <c r="V301" s="46" t="n"/>
      <c r="W301" s="41" t="n"/>
      <c r="X301" s="46" t="n"/>
      <c r="Y301" s="42" t="n"/>
      <c r="Z301" s="43" t="n"/>
      <c r="AA301" s="41" t="n"/>
      <c r="AB301" s="47">
        <f>CALCULO!CT301</f>
      </c>
      <c r="AC301" s="48">
        <f>CALCULO!CD301</f>
      </c>
    </row>
    <row r="302">
      <c r="A302" s="40">
        <f>IF(B302="","",ROW()-5)</f>
      </c>
      <c r="B302" s="41" t="n"/>
      <c r="C302" s="42" t="n"/>
      <c r="D302" s="43" t="n"/>
      <c r="E302" s="43" t="n"/>
      <c r="F302" s="44" t="n"/>
      <c r="G302" s="44" t="n"/>
      <c r="H302" s="44" t="n"/>
      <c r="I302" s="44" t="n"/>
      <c r="J302" s="45" t="n"/>
      <c r="K302" s="45" t="n"/>
      <c r="L302" s="46" t="n"/>
      <c r="M302" s="45" t="n"/>
      <c r="N302" s="46" t="n"/>
      <c r="O302" s="45" t="n"/>
      <c r="P302" s="45" t="n"/>
      <c r="Q302" s="45" t="n"/>
      <c r="R302" s="45" t="n"/>
      <c r="S302" s="45" t="n"/>
      <c r="T302" s="45" t="n"/>
      <c r="U302" s="45" t="n"/>
      <c r="V302" s="46" t="n"/>
      <c r="W302" s="41" t="n"/>
      <c r="X302" s="46" t="n"/>
      <c r="Y302" s="42" t="n"/>
      <c r="Z302" s="43" t="n"/>
      <c r="AA302" s="41" t="n"/>
      <c r="AB302" s="47">
        <f>CALCULO!CT302</f>
      </c>
      <c r="AC302" s="48">
        <f>CALCULO!CD302</f>
      </c>
    </row>
    <row r="303">
      <c r="A303" s="40">
        <f>IF(B303="","",ROW()-5)</f>
      </c>
      <c r="B303" s="41" t="n"/>
      <c r="C303" s="42" t="n"/>
      <c r="D303" s="43" t="n"/>
      <c r="E303" s="43" t="n"/>
      <c r="F303" s="44" t="n"/>
      <c r="G303" s="44" t="n"/>
      <c r="H303" s="44" t="n"/>
      <c r="I303" s="44" t="n"/>
      <c r="J303" s="45" t="n"/>
      <c r="K303" s="45" t="n"/>
      <c r="L303" s="46" t="n"/>
      <c r="M303" s="45" t="n"/>
      <c r="N303" s="46" t="n"/>
      <c r="O303" s="45" t="n"/>
      <c r="P303" s="45" t="n"/>
      <c r="Q303" s="45" t="n"/>
      <c r="R303" s="45" t="n"/>
      <c r="S303" s="45" t="n"/>
      <c r="T303" s="45" t="n"/>
      <c r="U303" s="45" t="n"/>
      <c r="V303" s="46" t="n"/>
      <c r="W303" s="41" t="n"/>
      <c r="X303" s="46" t="n"/>
      <c r="Y303" s="42" t="n"/>
      <c r="Z303" s="43" t="n"/>
      <c r="AA303" s="41" t="n"/>
      <c r="AB303" s="47">
        <f>CALCULO!CT303</f>
      </c>
      <c r="AC303" s="48">
        <f>CALCULO!CD303</f>
      </c>
    </row>
    <row r="304">
      <c r="A304" s="40">
        <f>IF(B304="","",ROW()-5)</f>
      </c>
      <c r="B304" s="41" t="n"/>
      <c r="C304" s="42" t="n"/>
      <c r="D304" s="43" t="n"/>
      <c r="E304" s="43" t="n"/>
      <c r="F304" s="44" t="n"/>
      <c r="G304" s="44" t="n"/>
      <c r="H304" s="44" t="n"/>
      <c r="I304" s="44" t="n"/>
      <c r="J304" s="45" t="n"/>
      <c r="K304" s="45" t="n"/>
      <c r="L304" s="46" t="n"/>
      <c r="M304" s="45" t="n"/>
      <c r="N304" s="46" t="n"/>
      <c r="O304" s="45" t="n"/>
      <c r="P304" s="45" t="n"/>
      <c r="Q304" s="45" t="n"/>
      <c r="R304" s="45" t="n"/>
      <c r="S304" s="45" t="n"/>
      <c r="T304" s="45" t="n"/>
      <c r="U304" s="45" t="n"/>
      <c r="V304" s="46" t="n"/>
      <c r="W304" s="41" t="n"/>
      <c r="X304" s="46" t="n"/>
      <c r="Y304" s="42" t="n"/>
      <c r="Z304" s="43" t="n"/>
      <c r="AA304" s="41" t="n"/>
      <c r="AB304" s="47">
        <f>CALCULO!CT304</f>
      </c>
      <c r="AC304" s="48">
        <f>CALCULO!CD304</f>
      </c>
    </row>
    <row r="305">
      <c r="A305" s="40">
        <f>IF(B305="","",ROW()-5)</f>
      </c>
      <c r="B305" s="41" t="n"/>
      <c r="C305" s="42" t="n"/>
      <c r="D305" s="43" t="n"/>
      <c r="E305" s="43" t="n"/>
      <c r="F305" s="44" t="n"/>
      <c r="G305" s="44" t="n"/>
      <c r="H305" s="44" t="n"/>
      <c r="I305" s="44" t="n"/>
      <c r="J305" s="45" t="n"/>
      <c r="K305" s="45" t="n"/>
      <c r="L305" s="46" t="n"/>
      <c r="M305" s="45" t="n"/>
      <c r="N305" s="46" t="n"/>
      <c r="O305" s="45" t="n"/>
      <c r="P305" s="45" t="n"/>
      <c r="Q305" s="45" t="n"/>
      <c r="R305" s="45" t="n"/>
      <c r="S305" s="45" t="n"/>
      <c r="T305" s="45" t="n"/>
      <c r="U305" s="45" t="n"/>
      <c r="V305" s="46" t="n"/>
      <c r="W305" s="41" t="n"/>
      <c r="X305" s="46" t="n"/>
      <c r="Y305" s="42" t="n"/>
      <c r="Z305" s="43" t="n"/>
      <c r="AA305" s="41" t="n"/>
      <c r="AB305" s="47">
        <f>CALCULO!CT305</f>
      </c>
      <c r="AC305" s="48">
        <f>CALCULO!CD305</f>
      </c>
    </row>
  </sheetData>
  <sheetProtection selectLockedCells="0" selectUnlockedCells="0" sheet="1" objects="0" insertRows="1" insertHyperlinks="1" autoFilter="0" scenarios="0" formatColumns="0" deleteColumns="1" insertColumns="1" pivotTables="1" deleteRows="1" formatCells="1" formatRows="0" sort="1"/>
  <autoFilter ref="A5:AC305"/>
  <mergeCells count="8">
    <mergeCell ref="O4:U4"/>
    <mergeCell ref="G4:I4"/>
    <mergeCell ref="V4:X4"/>
    <mergeCell ref="J4:L4"/>
    <mergeCell ref="A4:F4"/>
    <mergeCell ref="Y4:AA4"/>
    <mergeCell ref="M4:N4"/>
    <mergeCell ref="AB4:AC4"/>
  </mergeCells>
  <conditionalFormatting sqref="AB6:AB305">
    <cfRule type="expression" priority="1" dxfId="2">
      <formula>LEN(AB6)&gt;0</formula>
    </cfRule>
  </conditionalFormatting>
  <dataValidations count="23">
    <dataValidation sqref="C6:C305" showDropDown="0" showInputMessage="0" showErrorMessage="1" allowBlank="1" errorTitle="Fecha no válida" error="Escriba una fecha dd/mm/aaaa." type="date" operator="between">
      <formula1>DATE(2020,1,1)</formula1>
      <formula2>DATE(2040,12,31)</formula2>
    </dataValidation>
    <dataValidation sqref="D6:D305" showDropDown="0" showInputMessage="0" showErrorMessage="1" allowBlank="1" errorTitle="Valor no válido" error="Seleccione un valor de la lista." type="list">
      <formula1>=L_Transitaria</formula1>
    </dataValidation>
    <dataValidation sqref="E6:E305" showDropDown="0" showInputMessage="0" showErrorMessage="1" allowBlank="1" errorTitle="Valor no válido" error="Seleccione un valor de la lista." type="list">
      <formula1>=L_TipoCont</formula1>
    </dataValidation>
    <dataValidation sqref="F6:F305" showDropDown="0" showInputMessage="0" showErrorMessage="1" allowBlank="1" errorTitle="Número no válido" error="Escriba un número mayor o igual que 0, sin texto." type="decimal" operator="greaterThanOrEqual">
      <formula1>0</formula1>
    </dataValidation>
    <dataValidation sqref="G6:G305" showDropDown="0" showInputMessage="0" showErrorMessage="1" allowBlank="1" errorTitle="Número no válido" error="Escriba un número mayor o igual que 0, sin texto." type="decimal" operator="greaterThanOrEqual">
      <formula1>0</formula1>
    </dataValidation>
    <dataValidation sqref="H6:H305" showDropDown="0" showInputMessage="0" showErrorMessage="1" allowBlank="1" errorTitle="Número no válido" error="Escriba un número mayor o igual que 0, sin texto." type="decimal" operator="greaterThanOrEqual">
      <formula1>0</formula1>
    </dataValidation>
    <dataValidation sqref="I6:I305" showDropDown="0" showInputMessage="0" showErrorMessage="1" allowBlank="1" errorTitle="Número no válido" error="Escriba un número mayor o igual que 0, sin texto." type="decimal" operator="greaterThanOrEqual">
      <formula1>0</formula1>
    </dataValidation>
    <dataValidation sqref="J6:J305" showDropDown="0" showInputMessage="0" showErrorMessage="1" allowBlank="1" errorTitle="Número no válido" error="Escriba un número mayor o igual que 0, sin texto." type="decimal" operator="greaterThanOrEqual">
      <formula1>0</formula1>
    </dataValidation>
    <dataValidation sqref="K6:K305" showDropDown="0" showInputMessage="0" showErrorMessage="1" allowBlank="1" errorTitle="Número no válido" error="Escriba un número mayor o igual que 0, sin texto." type="decimal" operator="greaterThanOrEqual">
      <formula1>0</formula1>
    </dataValidation>
    <dataValidation sqref="L6:L305" showDropDown="0" showInputMessage="0" showErrorMessage="1" allowBlank="1" errorTitle="Número no válido" error="Escriba un número mayor o igual que 0, sin texto." type="decimal" operator="greaterThanOrEqual">
      <formula1>0</formula1>
    </dataValidation>
    <dataValidation sqref="M6:M305" showDropDown="0" showInputMessage="0" showErrorMessage="1" allowBlank="1" errorTitle="Número no válido" error="Escriba un número mayor o igual que 0, sin texto." type="decimal" operator="greaterThanOrEqual">
      <formula1>0</formula1>
    </dataValidation>
    <dataValidation sqref="N6:N305" showDropDown="0" showInputMessage="0" showErrorMessage="1" allowBlank="1" errorTitle="Número no válido" error="Escriba un número mayor o igual que 0, sin texto." type="decimal" operator="greaterThanOrEqual">
      <formula1>0</formula1>
    </dataValidation>
    <dataValidation sqref="O6:O305" showDropDown="0" showInputMessage="0" showErrorMessage="1" allowBlank="1" errorTitle="Número no válido" error="Escriba un número mayor o igual que 0, sin texto." type="decimal" operator="greaterThanOrEqual">
      <formula1>0</formula1>
    </dataValidation>
    <dataValidation sqref="P6:P305" showDropDown="0" showInputMessage="0" showErrorMessage="1" allowBlank="1" errorTitle="Número no válido" error="Escriba un número mayor o igual que 0, sin texto." type="decimal" operator="greaterThanOrEqual">
      <formula1>0</formula1>
    </dataValidation>
    <dataValidation sqref="Q6:Q305" showDropDown="0" showInputMessage="0" showErrorMessage="1" allowBlank="1" errorTitle="Número no válido" error="Escriba un número mayor o igual que 0, sin texto." type="decimal" operator="greaterThanOrEqual">
      <formula1>0</formula1>
    </dataValidation>
    <dataValidation sqref="R6:R305" showDropDown="0" showInputMessage="0" showErrorMessage="1" allowBlank="1" errorTitle="Número no válido" error="Escriba un número mayor o igual que 0, sin texto." type="decimal" operator="greaterThanOrEqual">
      <formula1>0</formula1>
    </dataValidation>
    <dataValidation sqref="S6:S305" showDropDown="0" showInputMessage="0" showErrorMessage="1" allowBlank="1" errorTitle="Número no válido" error="Escriba un número mayor o igual que 0, sin texto." type="decimal" operator="greaterThanOrEqual">
      <formula1>0</formula1>
    </dataValidation>
    <dataValidation sqref="T6:T305" showDropDown="0" showInputMessage="0" showErrorMessage="1" allowBlank="1" errorTitle="Número no válido" error="Escriba un número mayor o igual que 0, sin texto." type="decimal" operator="greaterThanOrEqual">
      <formula1>0</formula1>
    </dataValidation>
    <dataValidation sqref="U6:U305" showDropDown="0" showInputMessage="0" showErrorMessage="1" allowBlank="1" errorTitle="Número no válido" error="Escriba un número mayor o igual que 0, sin texto." type="decimal" operator="greaterThanOrEqual">
      <formula1>0</formula1>
    </dataValidation>
    <dataValidation sqref="V6:V305" showDropDown="0" showInputMessage="0" showErrorMessage="1" allowBlank="1" errorTitle="Número no válido" error="Escriba un número mayor o igual que 0, sin texto." type="decimal" operator="greaterThanOrEqual">
      <formula1>0</formula1>
    </dataValidation>
    <dataValidation sqref="X6:X305" showDropDown="0" showInputMessage="0" showErrorMessage="1" allowBlank="1" errorTitle="Número no válido" error="Escriba un número mayor o igual que 0, sin texto." type="decimal" operator="greaterThanOrEqual">
      <formula1>0</formula1>
    </dataValidation>
    <dataValidation sqref="Y6:Y305" showDropDown="0" showInputMessage="0" showErrorMessage="1" allowBlank="1" errorTitle="Fecha no válida" error="Escriba una fecha dd/mm/aaaa." type="date" operator="between">
      <formula1>DATE(2020,1,1)</formula1>
      <formula2>DATE(2040,12,31)</formula2>
    </dataValidation>
    <dataValidation sqref="Z6:Z305" showDropDown="0" showInputMessage="0" showErrorMessage="1" allowBlank="1" errorTitle="Valor no válido" error="Seleccione un valor de la lista." type="list">
      <formula1>=L_Estado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C00000"/>
    <outlinePr summaryBelow="1" summaryRight="1"/>
    <pageSetUpPr fitToPage="1"/>
  </sheetPr>
  <dimension ref="A1:E34"/>
  <sheetViews>
    <sheetView showGridLines="0" zoomScale="90" workbookViewId="0">
      <pane ySplit="4" topLeftCell="A5" activePane="bottomLeft" state="frozen"/>
      <selection pane="bottomLeft" activeCell="A1" sqref="A1"/>
    </sheetView>
  </sheetViews>
  <sheetFormatPr baseColWidth="8" defaultRowHeight="15"/>
  <cols>
    <col width="22" customWidth="1" min="1" max="1"/>
    <col width="58" customWidth="1" min="2" max="2"/>
    <col width="24" customWidth="1" min="3" max="3"/>
    <col width="13" customWidth="1" min="4" max="4"/>
    <col width="70" customWidth="1" min="5" max="5"/>
  </cols>
  <sheetData>
    <row r="1" ht="24" customHeight="1">
      <c r="A1" s="1" t="inlineStr">
        <is>
          <t>Parámetros generales, normas técnicas y tributos</t>
        </is>
      </c>
    </row>
    <row r="2">
      <c r="A2" s="2" t="inlineStr">
        <is>
          <t>Valores estables del modelo. Los precios que cambian con el tiempo van en la hoja PRECIOS (con fecha de vigencia).</t>
        </is>
      </c>
    </row>
    <row r="4">
      <c r="A4" s="5" t="inlineStr">
        <is>
          <t>Nombre (referencia)</t>
        </is>
      </c>
      <c r="B4" s="5" t="inlineStr">
        <is>
          <t>Concepto</t>
        </is>
      </c>
      <c r="C4" s="5" t="inlineStr">
        <is>
          <t>Valor</t>
        </is>
      </c>
      <c r="D4" s="5" t="inlineStr">
        <is>
          <t>Unidad</t>
        </is>
      </c>
      <c r="E4" s="5" t="inlineStr">
        <is>
          <t>Fuente / nota</t>
        </is>
      </c>
    </row>
    <row r="5">
      <c r="A5" s="49" t="inlineStr">
        <is>
          <t>A. GENERALES</t>
        </is>
      </c>
      <c r="B5" s="50" t="n"/>
      <c r="C5" s="50" t="n"/>
      <c r="D5" s="50" t="n"/>
      <c r="E5" s="50" t="n"/>
    </row>
    <row r="6">
      <c r="A6" s="51" t="inlineStr">
        <is>
          <t>Empresa</t>
        </is>
      </c>
      <c r="B6" s="7" t="inlineStr">
        <is>
          <t>Nombre de la empresa</t>
        </is>
      </c>
      <c r="C6" s="43" t="inlineStr">
        <is>
          <t>Empresa de Paquetería (editar)</t>
        </is>
      </c>
      <c r="D6" s="8" t="inlineStr">
        <is>
          <t>texto</t>
        </is>
      </c>
      <c r="E6" s="52" t="inlineStr">
        <is>
          <t>Aparece en los encabezados.</t>
        </is>
      </c>
    </row>
    <row r="7">
      <c r="A7" s="51" t="inlineStr">
        <is>
          <t>Fecha_Inicio</t>
        </is>
      </c>
      <c r="B7" s="7" t="inlineStr">
        <is>
          <t>Primer mes del período de análisis</t>
        </is>
      </c>
      <c r="C7" s="42" t="n">
        <v>46266</v>
      </c>
      <c r="D7" s="8" t="inlineStr">
        <is>
          <t>fecha</t>
        </is>
      </c>
      <c r="E7" s="52" t="inlineStr">
        <is>
          <t>Primer mes que se registra. COSTOS_FIJOS y RESUMEN_MES abarcan 24 meses desde esta fecha.</t>
        </is>
      </c>
    </row>
    <row r="8">
      <c r="A8" s="51" t="inlineStr">
        <is>
          <t>Metodo_Prorrateo</t>
        </is>
      </c>
      <c r="B8" s="7" t="inlineStr">
        <is>
          <t>Base de reparto de los costos fijos entre contenedores</t>
        </is>
      </c>
      <c r="C8" s="43" t="inlineStr">
        <is>
          <t>KG</t>
        </is>
      </c>
      <c r="D8" s="8" t="inlineStr">
        <is>
          <t>lista</t>
        </is>
      </c>
      <c r="E8" s="52" t="inlineStr">
        <is>
          <t>KG = proporcional al peso (recomendado: un contenedor más cargado absorbe más estructura). CONTENEDOR = partes iguales.</t>
        </is>
      </c>
    </row>
    <row r="9">
      <c r="A9" s="51" t="inlineStr">
        <is>
          <t>Base_Comision</t>
        </is>
      </c>
      <c r="B9" s="7" t="inlineStr">
        <is>
          <t>Base del pago variable de comercialización</t>
        </is>
      </c>
      <c r="C9" s="43" t="inlineStr">
        <is>
          <t>% DEL INGRESO</t>
        </is>
      </c>
      <c r="D9" s="8" t="inlineStr">
        <is>
          <t>lista</t>
        </is>
      </c>
      <c r="E9" s="52" t="inlineStr">
        <is>
          <t>% DEL INGRESO: tasa sobre lo cobrado. USD POR KG: importe por kg entregado. Las tasas están en PRECIOS.</t>
        </is>
      </c>
    </row>
    <row r="10">
      <c r="A10" s="51" t="inlineStr">
        <is>
          <t>Tolerancia_Comb</t>
        </is>
      </c>
      <c r="B10" s="7" t="inlineStr">
        <is>
          <t>Tolerancia del desvío de combustible frente a la norma</t>
        </is>
      </c>
      <c r="C10" s="53" t="n">
        <v>0.1</v>
      </c>
      <c r="D10" s="8" t="inlineStr">
        <is>
          <t>%</t>
        </is>
      </c>
      <c r="E10" s="52" t="inlineStr">
        <is>
          <t>Si el consumo real supera la norma en más de este %, se genera una alerta.</t>
        </is>
      </c>
    </row>
    <row r="11">
      <c r="A11" s="51" t="inlineStr">
        <is>
          <t>Mes_Corte</t>
        </is>
      </c>
      <c r="B11" s="7" t="inlineStr">
        <is>
          <t>Último mes incluido en los resultados (opcional)</t>
        </is>
      </c>
      <c r="C11" s="42" t="n"/>
      <c r="D11" s="8" t="inlineStr">
        <is>
          <t>fecha</t>
        </is>
      </c>
      <c r="E11" s="52" t="inlineStr">
        <is>
          <t>Vacío = último mes con contenedores registrados. Los meses posteriores no cargan costos fijos en RESUMEN_MES ni en DASHBOARD.</t>
        </is>
      </c>
    </row>
    <row r="12">
      <c r="A12" s="49" t="inlineStr">
        <is>
          <t>B. NORMAS TÉCNICAS (se usan cuando no hay dato real)</t>
        </is>
      </c>
      <c r="B12" s="50" t="n"/>
      <c r="C12" s="50" t="n"/>
      <c r="D12" s="50" t="n"/>
      <c r="E12" s="50" t="n"/>
    </row>
    <row r="13">
      <c r="A13" s="51" t="inlineStr">
        <is>
          <t>Std_Viajes_Puerto</t>
        </is>
      </c>
      <c r="B13" s="7" t="inlineStr">
        <is>
          <t>Viajes al puerto por contenedor</t>
        </is>
      </c>
      <c r="C13" s="45" t="n">
        <v>1</v>
      </c>
      <c r="D13" s="8" t="inlineStr">
        <is>
          <t>viajes</t>
        </is>
      </c>
      <c r="E13" s="52" t="inlineStr">
        <is>
          <t>Un contenedor = un viaje del camión propio.</t>
        </is>
      </c>
    </row>
    <row r="14">
      <c r="A14" s="51" t="inlineStr">
        <is>
          <t>Litros_Puerto_Viaje</t>
        </is>
      </c>
      <c r="B14" s="7" t="inlineStr">
        <is>
          <t>Combustible por viaje al puerto</t>
        </is>
      </c>
      <c r="C14" s="45" t="n">
        <v>60</v>
      </c>
      <c r="D14" s="8" t="inlineStr">
        <is>
          <t>L / viaje</t>
        </is>
      </c>
      <c r="E14" s="52" t="inlineStr">
        <is>
          <t>Dato informado por la empresa.</t>
        </is>
      </c>
    </row>
    <row r="15">
      <c r="A15" s="51" t="inlineStr">
        <is>
          <t>Km_Puerto_Viaje</t>
        </is>
      </c>
      <c r="B15" s="7" t="inlineStr">
        <is>
          <t>Km por viaje al puerto (ida y vuelta)</t>
        </is>
      </c>
      <c r="C15" s="45" t="n">
        <v>180</v>
      </c>
      <c r="D15" s="8" t="inlineStr">
        <is>
          <t>km / viaje</t>
        </is>
      </c>
      <c r="E15" s="52" t="inlineStr">
        <is>
          <t>ILUSTRATIVO: sustituir por el dato real. Medir con la hoja de ruta.</t>
        </is>
      </c>
    </row>
    <row r="16">
      <c r="A16" s="51" t="inlineStr">
        <is>
          <t>Rend_Desagrupe</t>
        </is>
      </c>
      <c r="B16" s="7" t="inlineStr">
        <is>
          <t>Rendimiento del desagrupe en la transitaria</t>
        </is>
      </c>
      <c r="C16" s="44" t="n">
        <v>1000</v>
      </c>
      <c r="D16" s="8" t="inlineStr">
        <is>
          <t>kg / jornal</t>
        </is>
      </c>
      <c r="E16" s="52" t="inlineStr">
        <is>
          <t>ILUSTRATIVO: sustituir por el dato real. Jornales = kg ÷ rendimiento (redondeado hacia arriba).</t>
        </is>
      </c>
    </row>
    <row r="17">
      <c r="A17" s="51" t="inlineStr">
        <is>
          <t>Rend_Desagrupe_CT</t>
        </is>
      </c>
      <c r="B17" s="7" t="inlineStr">
        <is>
          <t>Rendimiento del desagrupe en los centros transitorios (Centro y Oriente)</t>
        </is>
      </c>
      <c r="C17" s="44" t="n">
        <v>800</v>
      </c>
      <c r="D17" s="8" t="inlineStr">
        <is>
          <t>kg / jornal</t>
        </is>
      </c>
      <c r="E17" s="52" t="inlineStr">
        <is>
          <t>ILUSTRATIVO: sustituir por el dato real.</t>
        </is>
      </c>
    </row>
    <row r="18">
      <c r="A18" s="51" t="inlineStr">
        <is>
          <t>Cap_Camion_OCC</t>
        </is>
      </c>
      <c r="B18" s="7" t="inlineStr">
        <is>
          <t>Capacidad útil del camión de distribución – Occidente</t>
        </is>
      </c>
      <c r="C18" s="44" t="n">
        <v>5000</v>
      </c>
      <c r="D18" s="8" t="inlineStr">
        <is>
          <t>kg / viaje</t>
        </is>
      </c>
      <c r="E18" s="52" t="inlineStr">
        <is>
          <t>ILUSTRATIVO: sustituir por el dato real. Viajes = kg ÷ capacidad (redondeado hacia arriba).</t>
        </is>
      </c>
    </row>
    <row r="19">
      <c r="A19" s="51" t="inlineStr">
        <is>
          <t>Cap_Camion_CEN</t>
        </is>
      </c>
      <c r="B19" s="7" t="inlineStr">
        <is>
          <t>Capacidad útil del camión de traslado – Centro</t>
        </is>
      </c>
      <c r="C19" s="44" t="n">
        <v>5000</v>
      </c>
      <c r="D19" s="8" t="inlineStr">
        <is>
          <t>kg / viaje</t>
        </is>
      </c>
      <c r="E19" s="52" t="inlineStr">
        <is>
          <t>ILUSTRATIVO: sustituir por el dato real.</t>
        </is>
      </c>
    </row>
    <row r="20">
      <c r="A20" s="51" t="inlineStr">
        <is>
          <t>Cap_Camion_ORI</t>
        </is>
      </c>
      <c r="B20" s="7" t="inlineStr">
        <is>
          <t>Capacidad útil del camión de traslado – Oriente</t>
        </is>
      </c>
      <c r="C20" s="44" t="n">
        <v>5000</v>
      </c>
      <c r="D20" s="8" t="inlineStr">
        <is>
          <t>kg / viaje</t>
        </is>
      </c>
      <c r="E20" s="52" t="inlineStr">
        <is>
          <t>ILUSTRATIVO: sustituir por el dato real.</t>
        </is>
      </c>
    </row>
    <row r="21">
      <c r="A21" s="51" t="inlineStr">
        <is>
          <t>L_Dist_OCC</t>
        </is>
      </c>
      <c r="B21" s="7" t="inlineStr">
        <is>
          <t>Combustible de distribución en Occidente</t>
        </is>
      </c>
      <c r="C21" s="45" t="n">
        <v>120</v>
      </c>
      <c r="D21" s="8" t="inlineStr">
        <is>
          <t>L / viaje</t>
        </is>
      </c>
      <c r="E21" s="52" t="inlineStr">
        <is>
          <t>ILUSTRATIVO: sustituir por el dato real.</t>
        </is>
      </c>
    </row>
    <row r="22">
      <c r="A22" s="51" t="inlineStr">
        <is>
          <t>L_Tras_CEN</t>
        </is>
      </c>
      <c r="B22" s="7" t="inlineStr">
        <is>
          <t>Combustible de traslado al centro transitorio – Centro</t>
        </is>
      </c>
      <c r="C22" s="45" t="n">
        <v>250</v>
      </c>
      <c r="D22" s="8" t="inlineStr">
        <is>
          <t>L / viaje</t>
        </is>
      </c>
      <c r="E22" s="52" t="inlineStr">
        <is>
          <t>ILUSTRATIVO: sustituir por el dato real.</t>
        </is>
      </c>
    </row>
    <row r="23">
      <c r="A23" s="51" t="inlineStr">
        <is>
          <t>L_Dist_CEN</t>
        </is>
      </c>
      <c r="B23" s="7" t="inlineStr">
        <is>
          <t>Combustible de distribución en Centro</t>
        </is>
      </c>
      <c r="C23" s="45" t="n">
        <v>150</v>
      </c>
      <c r="D23" s="8" t="inlineStr">
        <is>
          <t>L / viaje</t>
        </is>
      </c>
      <c r="E23" s="52" t="inlineStr">
        <is>
          <t>ILUSTRATIVO: sustituir por el dato real.</t>
        </is>
      </c>
    </row>
    <row r="24">
      <c r="A24" s="51" t="inlineStr">
        <is>
          <t>L_Tras_ORI</t>
        </is>
      </c>
      <c r="B24" s="7" t="inlineStr">
        <is>
          <t>Combustible de traslado al centro transitorio – Oriente</t>
        </is>
      </c>
      <c r="C24" s="45" t="n">
        <v>450</v>
      </c>
      <c r="D24" s="8" t="inlineStr">
        <is>
          <t>L / viaje</t>
        </is>
      </c>
      <c r="E24" s="52" t="inlineStr">
        <is>
          <t>ILUSTRATIVO: sustituir por el dato real.</t>
        </is>
      </c>
    </row>
    <row r="25">
      <c r="A25" s="51" t="inlineStr">
        <is>
          <t>L_Dist_ORI</t>
        </is>
      </c>
      <c r="B25" s="7" t="inlineStr">
        <is>
          <t>Combustible de distribución en Oriente</t>
        </is>
      </c>
      <c r="C25" s="45" t="n">
        <v>180</v>
      </c>
      <c r="D25" s="8" t="inlineStr">
        <is>
          <t>L / viaje</t>
        </is>
      </c>
      <c r="E25" s="52" t="inlineStr">
        <is>
          <t>ILUSTRATIVO: sustituir por el dato real.</t>
        </is>
      </c>
    </row>
    <row r="26">
      <c r="A26" s="49" t="inlineStr">
        <is>
          <t>C. OTROS COSTOS VARIABLES (sobre el ingreso)</t>
        </is>
      </c>
      <c r="B26" s="50" t="n"/>
      <c r="C26" s="50" t="n"/>
      <c r="D26" s="50" t="n"/>
      <c r="E26" s="50" t="n"/>
    </row>
    <row r="27">
      <c r="A27" s="51" t="inlineStr">
        <is>
          <t>Pct_Reclamaciones</t>
        </is>
      </c>
      <c r="B27" s="7" t="inlineStr">
        <is>
          <t>Provisión para pérdidas, daños y reclamaciones</t>
        </is>
      </c>
      <c r="C27" s="53" t="n">
        <v>0.005</v>
      </c>
      <c r="D27" s="8" t="inlineStr">
        <is>
          <t>% ingreso</t>
        </is>
      </c>
      <c r="E27" s="52" t="inlineStr">
        <is>
          <t>Recomendado. ILUSTRATIVO: sustituir por el dato real. Use 0 si no aplica.</t>
        </is>
      </c>
    </row>
    <row r="28">
      <c r="A28" s="51" t="inlineStr">
        <is>
          <t>Pct_Banco</t>
        </is>
      </c>
      <c r="B28" s="7" t="inlineStr">
        <is>
          <t>Comisiones bancarias y costo de cobro</t>
        </is>
      </c>
      <c r="C28" s="53" t="n">
        <v>0.01</v>
      </c>
      <c r="D28" s="8" t="inlineStr">
        <is>
          <t>% ingreso</t>
        </is>
      </c>
      <c r="E28" s="52" t="inlineStr">
        <is>
          <t>Recomendado. ILUSTRATIVO: sustituir por el dato real. Use 0 si no aplica.</t>
        </is>
      </c>
    </row>
    <row r="29">
      <c r="A29" s="49" t="inlineStr">
        <is>
          <t>D. TRIBUTOS (régimen general MIPYME – confirmar con el contador / ONAT)</t>
        </is>
      </c>
      <c r="B29" s="50" t="n"/>
      <c r="C29" s="50" t="n"/>
      <c r="D29" s="50" t="n"/>
      <c r="E29" s="50" t="n"/>
    </row>
    <row r="30">
      <c r="A30" s="51" t="inlineStr">
        <is>
          <t>Imp_Ventas_Serv</t>
        </is>
      </c>
      <c r="B30" s="7" t="inlineStr">
        <is>
          <t>Impuesto sobre las ventas y los servicios</t>
        </is>
      </c>
      <c r="C30" s="53" t="n">
        <v>0.1</v>
      </c>
      <c r="D30" s="8" t="inlineStr">
        <is>
          <t>% ingreso</t>
        </is>
      </c>
      <c r="E30" s="52" t="inlineStr">
        <is>
          <t>Ley 113 del Sistema Tributario; vigente en 2026 según la Ley del Presupuesto.</t>
        </is>
      </c>
    </row>
    <row r="31">
      <c r="A31" s="51" t="inlineStr">
        <is>
          <t>Contrib_Territorial</t>
        </is>
      </c>
      <c r="B31" s="7" t="inlineStr">
        <is>
          <t>Contribución territorial para el desarrollo local</t>
        </is>
      </c>
      <c r="C31" s="53" t="n">
        <v>0.01</v>
      </c>
      <c r="D31" s="8" t="inlineStr">
        <is>
          <t>% ingreso</t>
        </is>
      </c>
      <c r="E31" s="52" t="inlineStr">
        <is>
          <t>Ley 113; vigente en 2026.</t>
        </is>
      </c>
    </row>
    <row r="32">
      <c r="A32" s="51" t="inlineStr">
        <is>
          <t>Contrib_SS</t>
        </is>
      </c>
      <c r="B32" s="7" t="inlineStr">
        <is>
          <t>Contribución a la seguridad social (empleador)</t>
        </is>
      </c>
      <c r="C32" s="53" t="n">
        <v>0.14</v>
      </c>
      <c r="D32" s="8" t="inlineStr">
        <is>
          <t>% salarios</t>
        </is>
      </c>
      <c r="E32" s="52" t="inlineStr">
        <is>
          <t>Solo sobre salarios de trabajadores propios.</t>
        </is>
      </c>
    </row>
    <row r="33">
      <c r="A33" s="51" t="inlineStr">
        <is>
          <t>Imp_Fuerza_Trabajo</t>
        </is>
      </c>
      <c r="B33" s="7" t="inlineStr">
        <is>
          <t>Impuesto por la utilización de la fuerza de trabajo</t>
        </is>
      </c>
      <c r="C33" s="53" t="n">
        <v>0.05</v>
      </c>
      <c r="D33" s="8" t="inlineStr">
        <is>
          <t>% salarios</t>
        </is>
      </c>
      <c r="E33" s="52" t="inlineStr">
        <is>
          <t>Solo sobre salarios de trabajadores propios. Confirmar si la empresa tiene alguna bonificación.</t>
        </is>
      </c>
    </row>
    <row r="34">
      <c r="A34" s="51" t="inlineStr">
        <is>
          <t>Imp_Utilidades</t>
        </is>
      </c>
      <c r="B34" s="7" t="inlineStr">
        <is>
          <t>Impuesto sobre las utilidades</t>
        </is>
      </c>
      <c r="C34" s="53" t="n">
        <v>0.35</v>
      </c>
      <c r="D34" s="8" t="inlineStr">
        <is>
          <t>% utilidad</t>
        </is>
      </c>
      <c r="E34" s="52" t="inlineStr">
        <is>
          <t>Liquidación anual con pagos a cuenta. En el libro es una estimación.</t>
        </is>
      </c>
    </row>
  </sheetData>
  <sheetProtection selectLockedCells="0" selectUnlockedCells="0" sheet="1" objects="0" insertRows="1" insertHyperlinks="1" autoFilter="0" scenarios="0" formatColumns="0" deleteColumns="1" insertColumns="1" pivotTables="1" deleteRows="1" formatCells="1" formatRows="0" sort="1"/>
  <dataValidations count="25">
    <dataValidation sqref="C7" showDropDown="0" showInputMessage="0" showErrorMessage="1" allowBlank="1" errorTitle="Fecha no válida" error="Escriba una fecha dd/mm/aaaa." type="date" operator="between">
      <formula1>DATE(2020,1,1)</formula1>
      <formula2>DATE(2040,12,31)</formula2>
    </dataValidation>
    <dataValidation sqref="C8" showDropDown="0" showInputMessage="0" showErrorMessage="1" allowBlank="0" errorTitle="Valor no válido" error="Seleccione un valor de la lista." type="list">
      <formula1>=L_Prorrateo</formula1>
    </dataValidation>
    <dataValidation sqref="C9" showDropDown="0" showInputMessage="0" showErrorMessage="1" allowBlank="0" errorTitle="Valor no válido" error="Seleccione un valor de la lista." type="list">
      <formula1>=L_BaseCom</formula1>
    </dataValidation>
    <dataValidation sqref="C10" showDropDown="0" showInputMessage="0" showErrorMessage="1" allowBlank="1" errorTitle="Número no válido" error="Escriba un número mayor o igual que 0, sin texto." type="decimal" operator="greaterThanOrEqual">
      <formula1>0</formula1>
    </dataValidation>
    <dataValidation sqref="C11" showDropDown="0" showInputMessage="0" showErrorMessage="1" allowBlank="1" errorTitle="Fecha no válida" error="Escriba una fecha dd/mm/aaaa." type="date" operator="between">
      <formula1>DATE(2020,1,1)</formula1>
      <formula2>DATE(2040,12,31)</formula2>
    </dataValidation>
    <dataValidation sqref="C13" showDropDown="0" showInputMessage="0" showErrorMessage="1" allowBlank="1" errorTitle="Número no válido" error="Escriba un número mayor o igual que 0, sin texto." type="decimal" operator="greaterThanOrEqual">
      <formula1>0</formula1>
    </dataValidation>
    <dataValidation sqref="C14" showDropDown="0" showInputMessage="0" showErrorMessage="1" allowBlank="1" errorTitle="Número no válido" error="Escriba un número mayor o igual que 0, sin texto." type="decimal" operator="greaterThanOrEqual">
      <formula1>0</formula1>
    </dataValidation>
    <dataValidation sqref="C15" showDropDown="0" showInputMessage="0" showErrorMessage="1" allowBlank="1" errorTitle="Número no válido" error="Escriba un número mayor o igual que 0, sin texto." type="decimal" operator="greaterThanOrEqual">
      <formula1>0</formula1>
    </dataValidation>
    <dataValidation sqref="C16" showDropDown="0" showInputMessage="0" showErrorMessage="1" allowBlank="1" errorTitle="Número no válido" error="Escriba un número mayor o igual que 0, sin texto." type="decimal" operator="greaterThanOrEqual">
      <formula1>0</formula1>
    </dataValidation>
    <dataValidation sqref="C17" showDropDown="0" showInputMessage="0" showErrorMessage="1" allowBlank="1" errorTitle="Número no válido" error="Escriba un número mayor o igual que 0, sin texto." type="decimal" operator="greaterThanOrEqual">
      <formula1>0</formula1>
    </dataValidation>
    <dataValidation sqref="C18" showDropDown="0" showInputMessage="0" showErrorMessage="1" allowBlank="1" errorTitle="Número no válido" error="Escriba un número mayor o igual que 0, sin texto." type="decimal" operator="greaterThanOrEqual">
      <formula1>0</formula1>
    </dataValidation>
    <dataValidation sqref="C19" showDropDown="0" showInputMessage="0" showErrorMessage="1" allowBlank="1" errorTitle="Número no válido" error="Escriba un número mayor o igual que 0, sin texto." type="decimal" operator="greaterThanOrEqual">
      <formula1>0</formula1>
    </dataValidation>
    <dataValidation sqref="C20" showDropDown="0" showInputMessage="0" showErrorMessage="1" allowBlank="1" errorTitle="Número no válido" error="Escriba un número mayor o igual que 0, sin texto." type="decimal" operator="greaterThanOrEqual">
      <formula1>0</formula1>
    </dataValidation>
    <dataValidation sqref="C21" showDropDown="0" showInputMessage="0" showErrorMessage="1" allowBlank="1" errorTitle="Número no válido" error="Escriba un número mayor o igual que 0, sin texto." type="decimal" operator="greaterThanOrEqual">
      <formula1>0</formula1>
    </dataValidation>
    <dataValidation sqref="C22" showDropDown="0" showInputMessage="0" showErrorMessage="1" allowBlank="1" errorTitle="Número no válido" error="Escriba un número mayor o igual que 0, sin texto." type="decimal" operator="greaterThanOrEqual">
      <formula1>0</formula1>
    </dataValidation>
    <dataValidation sqref="C23" showDropDown="0" showInputMessage="0" showErrorMessage="1" allowBlank="1" errorTitle="Número no válido" error="Escriba un número mayor o igual que 0, sin texto." type="decimal" operator="greaterThanOrEqual">
      <formula1>0</formula1>
    </dataValidation>
    <dataValidation sqref="C24" showDropDown="0" showInputMessage="0" showErrorMessage="1" allowBlank="1" errorTitle="Número no válido" error="Escriba un número mayor o igual que 0, sin texto." type="decimal" operator="greaterThanOrEqual">
      <formula1>0</formula1>
    </dataValidation>
    <dataValidation sqref="C25" showDropDown="0" showInputMessage="0" showErrorMessage="1" allowBlank="1" errorTitle="Número no válido" error="Escriba un número mayor o igual que 0, sin texto." type="decimal" operator="greaterThanOrEqual">
      <formula1>0</formula1>
    </dataValidation>
    <dataValidation sqref="C27" showDropDown="0" showInputMessage="0" showErrorMessage="1" allowBlank="1" errorTitle="Número no válido" error="Escriba un número mayor o igual que 0, sin texto." type="decimal" operator="greaterThanOrEqual">
      <formula1>0</formula1>
    </dataValidation>
    <dataValidation sqref="C28" showDropDown="0" showInputMessage="0" showErrorMessage="1" allowBlank="1" errorTitle="Número no válido" error="Escriba un número mayor o igual que 0, sin texto." type="decimal" operator="greaterThanOrEqual">
      <formula1>0</formula1>
    </dataValidation>
    <dataValidation sqref="C30" showDropDown="0" showInputMessage="0" showErrorMessage="1" allowBlank="1" errorTitle="Número no válido" error="Escriba un número mayor o igual que 0, sin texto." type="decimal" operator="greaterThanOrEqual">
      <formula1>0</formula1>
    </dataValidation>
    <dataValidation sqref="C31" showDropDown="0" showInputMessage="0" showErrorMessage="1" allowBlank="1" errorTitle="Número no válido" error="Escriba un número mayor o igual que 0, sin texto." type="decimal" operator="greaterThanOrEqual">
      <formula1>0</formula1>
    </dataValidation>
    <dataValidation sqref="C32" showDropDown="0" showInputMessage="0" showErrorMessage="1" allowBlank="1" errorTitle="Número no válido" error="Escriba un número mayor o igual que 0, sin texto." type="decimal" operator="greaterThanOrEqual">
      <formula1>0</formula1>
    </dataValidation>
    <dataValidation sqref="C33" showDropDown="0" showInputMessage="0" showErrorMessage="1" allowBlank="1" errorTitle="Número no válido" error="Escriba un número mayor o igual que 0, sin texto." type="decimal" operator="greaterThanOrEqual">
      <formula1>0</formula1>
    </dataValidation>
    <dataValidation sqref="C34" showDropDown="0" showInputMessage="0" showErrorMessage="1" allowBlank="1" errorTitle="Número no válido" error="Escriba un número mayor o igual que 0, sin texto." type="decimal" operator="greaterThanOrEqual">
      <formula1>0</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O55"/>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1" customWidth="1" min="5" max="5"/>
    <col width="11" customWidth="1" min="6" max="6"/>
    <col width="11"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60" customWidth="1" min="15" max="15"/>
  </cols>
  <sheetData>
    <row r="1" ht="24" customHeight="1">
      <c r="A1" s="1" t="inlineStr">
        <is>
          <t>Precios y tarifas con fecha de vigencia</t>
        </is>
      </c>
    </row>
    <row r="2">
      <c r="A2" s="2" t="inlineStr">
        <is>
          <t>Cuando cambie un precio, AGREGUE una fila nueva con la fecha desde la que rige (en orden ascendente). No sobrescriba las anteriores: cada contenedor usa los precios vigentes en su fecha de arribo.</t>
        </is>
      </c>
    </row>
    <row r="5" ht="54" customHeight="1">
      <c r="A5" s="5" t="inlineStr">
        <is>
          <t>Vigente desde</t>
        </is>
      </c>
      <c r="B5" s="5" t="inlineStr">
        <is>
          <t>Tarifa Occidente (USD/kg)</t>
        </is>
      </c>
      <c r="C5" s="5" t="inlineStr">
        <is>
          <t>Tarifa Centro (USD/kg)</t>
        </is>
      </c>
      <c r="D5" s="5" t="inlineStr">
        <is>
          <t>Tarifa Oriente (USD/kg)</t>
        </is>
      </c>
      <c r="E5" s="5" t="inlineStr">
        <is>
          <t>Precio diésel (USD/L)</t>
        </is>
      </c>
      <c r="F5" s="5" t="inlineStr">
        <is>
          <t>Cita del puerto (USD/viaje)</t>
        </is>
      </c>
      <c r="G5" s="5" t="inlineStr">
        <is>
          <t>Dieta del chofer (USD/viaje)</t>
        </is>
      </c>
      <c r="H5" s="5" t="inlineStr">
        <is>
          <t>Pago por jornal – transitaria (USD)</t>
        </is>
      </c>
      <c r="I5" s="5" t="inlineStr">
        <is>
          <t>Pago por jornal – centro transitorio (USD)</t>
        </is>
      </c>
      <c r="J5" s="5" t="inlineStr">
        <is>
          <t>Servicio ENCI (USD/contenedor)</t>
        </is>
      </c>
      <c r="K5" s="5" t="inlineStr">
        <is>
          <t>Servicio A.V (USD/contenedor)</t>
        </is>
      </c>
      <c r="L5" s="5" t="inlineStr">
        <is>
          <t>Comisión variable (% del ingreso)</t>
        </is>
      </c>
      <c r="M5" s="5" t="inlineStr">
        <is>
          <t>Comisión variable (USD/kg)</t>
        </is>
      </c>
      <c r="N5" s="5" t="inlineStr">
        <is>
          <t>Desgaste del vehículo propio (USD/km)</t>
        </is>
      </c>
      <c r="O5" s="5" t="inlineStr">
        <is>
          <t>Documento de soporte / nota</t>
        </is>
      </c>
    </row>
    <row r="6">
      <c r="A6" s="42" t="n">
        <v>46023</v>
      </c>
      <c r="B6" s="54" t="n">
        <v>0.8</v>
      </c>
      <c r="C6" s="54" t="n">
        <v>0.8</v>
      </c>
      <c r="D6" s="54" t="n">
        <v>0.8</v>
      </c>
      <c r="E6" s="54" t="n">
        <v>2</v>
      </c>
      <c r="F6" s="46" t="n">
        <v>10</v>
      </c>
      <c r="G6" s="46" t="n">
        <v>10</v>
      </c>
      <c r="H6" s="46" t="n">
        <v>15</v>
      </c>
      <c r="I6" s="46" t="n">
        <v>15</v>
      </c>
      <c r="J6" s="46" t="n">
        <v>0</v>
      </c>
      <c r="K6" s="46" t="n">
        <v>0</v>
      </c>
      <c r="L6" s="53" t="n">
        <v>0.03</v>
      </c>
      <c r="M6" s="54" t="n">
        <v>0.03</v>
      </c>
      <c r="N6" s="54" t="n">
        <v>0.12</v>
      </c>
      <c r="O6" s="41" t="inlineStr">
        <is>
          <t>EJEMPLO. Cita 10 USD = dato de la empresa. Diésel 2,00 USD/L = referencia de CUPET 2026. Resto ILUSTRATIVO: sustituir.</t>
        </is>
      </c>
    </row>
    <row r="7">
      <c r="A7" s="42" t="n"/>
      <c r="B7" s="54" t="n"/>
      <c r="C7" s="54" t="n"/>
      <c r="D7" s="54" t="n"/>
      <c r="E7" s="54" t="n"/>
      <c r="F7" s="46" t="n"/>
      <c r="G7" s="46" t="n"/>
      <c r="H7" s="46" t="n"/>
      <c r="I7" s="46" t="n"/>
      <c r="J7" s="46" t="n"/>
      <c r="K7" s="46" t="n"/>
      <c r="L7" s="53" t="n"/>
      <c r="M7" s="54" t="n"/>
      <c r="N7" s="54" t="n"/>
      <c r="O7" s="41" t="n"/>
    </row>
    <row r="8">
      <c r="A8" s="42" t="n"/>
      <c r="B8" s="54" t="n"/>
      <c r="C8" s="54" t="n"/>
      <c r="D8" s="54" t="n"/>
      <c r="E8" s="54" t="n"/>
      <c r="F8" s="46" t="n"/>
      <c r="G8" s="46" t="n"/>
      <c r="H8" s="46" t="n"/>
      <c r="I8" s="46" t="n"/>
      <c r="J8" s="46" t="n"/>
      <c r="K8" s="46" t="n"/>
      <c r="L8" s="53" t="n"/>
      <c r="M8" s="54" t="n"/>
      <c r="N8" s="54" t="n"/>
      <c r="O8" s="41" t="n"/>
    </row>
    <row r="9">
      <c r="A9" s="42" t="n"/>
      <c r="B9" s="54" t="n"/>
      <c r="C9" s="54" t="n"/>
      <c r="D9" s="54" t="n"/>
      <c r="E9" s="54" t="n"/>
      <c r="F9" s="46" t="n"/>
      <c r="G9" s="46" t="n"/>
      <c r="H9" s="46" t="n"/>
      <c r="I9" s="46" t="n"/>
      <c r="J9" s="46" t="n"/>
      <c r="K9" s="46" t="n"/>
      <c r="L9" s="53" t="n"/>
      <c r="M9" s="54" t="n"/>
      <c r="N9" s="54" t="n"/>
      <c r="O9" s="41" t="n"/>
    </row>
    <row r="10">
      <c r="A10" s="42" t="n"/>
      <c r="B10" s="54" t="n"/>
      <c r="C10" s="54" t="n"/>
      <c r="D10" s="54" t="n"/>
      <c r="E10" s="54" t="n"/>
      <c r="F10" s="46" t="n"/>
      <c r="G10" s="46" t="n"/>
      <c r="H10" s="46" t="n"/>
      <c r="I10" s="46" t="n"/>
      <c r="J10" s="46" t="n"/>
      <c r="K10" s="46" t="n"/>
      <c r="L10" s="53" t="n"/>
      <c r="M10" s="54" t="n"/>
      <c r="N10" s="54" t="n"/>
      <c r="O10" s="41" t="n"/>
    </row>
    <row r="11">
      <c r="A11" s="42" t="n"/>
      <c r="B11" s="54" t="n"/>
      <c r="C11" s="54" t="n"/>
      <c r="D11" s="54" t="n"/>
      <c r="E11" s="54" t="n"/>
      <c r="F11" s="46" t="n"/>
      <c r="G11" s="46" t="n"/>
      <c r="H11" s="46" t="n"/>
      <c r="I11" s="46" t="n"/>
      <c r="J11" s="46" t="n"/>
      <c r="K11" s="46" t="n"/>
      <c r="L11" s="53" t="n"/>
      <c r="M11" s="54" t="n"/>
      <c r="N11" s="54" t="n"/>
      <c r="O11" s="41" t="n"/>
    </row>
    <row r="12">
      <c r="A12" s="42" t="n"/>
      <c r="B12" s="54" t="n"/>
      <c r="C12" s="54" t="n"/>
      <c r="D12" s="54" t="n"/>
      <c r="E12" s="54" t="n"/>
      <c r="F12" s="46" t="n"/>
      <c r="G12" s="46" t="n"/>
      <c r="H12" s="46" t="n"/>
      <c r="I12" s="46" t="n"/>
      <c r="J12" s="46" t="n"/>
      <c r="K12" s="46" t="n"/>
      <c r="L12" s="53" t="n"/>
      <c r="M12" s="54" t="n"/>
      <c r="N12" s="54" t="n"/>
      <c r="O12" s="41" t="n"/>
    </row>
    <row r="13">
      <c r="A13" s="42" t="n"/>
      <c r="B13" s="54" t="n"/>
      <c r="C13" s="54" t="n"/>
      <c r="D13" s="54" t="n"/>
      <c r="E13" s="54" t="n"/>
      <c r="F13" s="46" t="n"/>
      <c r="G13" s="46" t="n"/>
      <c r="H13" s="46" t="n"/>
      <c r="I13" s="46" t="n"/>
      <c r="J13" s="46" t="n"/>
      <c r="K13" s="46" t="n"/>
      <c r="L13" s="53" t="n"/>
      <c r="M13" s="54" t="n"/>
      <c r="N13" s="54" t="n"/>
      <c r="O13" s="41" t="n"/>
    </row>
    <row r="14">
      <c r="A14" s="42" t="n"/>
      <c r="B14" s="54" t="n"/>
      <c r="C14" s="54" t="n"/>
      <c r="D14" s="54" t="n"/>
      <c r="E14" s="54" t="n"/>
      <c r="F14" s="46" t="n"/>
      <c r="G14" s="46" t="n"/>
      <c r="H14" s="46" t="n"/>
      <c r="I14" s="46" t="n"/>
      <c r="J14" s="46" t="n"/>
      <c r="K14" s="46" t="n"/>
      <c r="L14" s="53" t="n"/>
      <c r="M14" s="54" t="n"/>
      <c r="N14" s="54" t="n"/>
      <c r="O14" s="41" t="n"/>
    </row>
    <row r="15">
      <c r="A15" s="42" t="n"/>
      <c r="B15" s="54" t="n"/>
      <c r="C15" s="54" t="n"/>
      <c r="D15" s="54" t="n"/>
      <c r="E15" s="54" t="n"/>
      <c r="F15" s="46" t="n"/>
      <c r="G15" s="46" t="n"/>
      <c r="H15" s="46" t="n"/>
      <c r="I15" s="46" t="n"/>
      <c r="J15" s="46" t="n"/>
      <c r="K15" s="46" t="n"/>
      <c r="L15" s="53" t="n"/>
      <c r="M15" s="54" t="n"/>
      <c r="N15" s="54" t="n"/>
      <c r="O15" s="41" t="n"/>
    </row>
    <row r="16">
      <c r="A16" s="42" t="n"/>
      <c r="B16" s="54" t="n"/>
      <c r="C16" s="54" t="n"/>
      <c r="D16" s="54" t="n"/>
      <c r="E16" s="54" t="n"/>
      <c r="F16" s="46" t="n"/>
      <c r="G16" s="46" t="n"/>
      <c r="H16" s="46" t="n"/>
      <c r="I16" s="46" t="n"/>
      <c r="J16" s="46" t="n"/>
      <c r="K16" s="46" t="n"/>
      <c r="L16" s="53" t="n"/>
      <c r="M16" s="54" t="n"/>
      <c r="N16" s="54" t="n"/>
      <c r="O16" s="41" t="n"/>
    </row>
    <row r="17">
      <c r="A17" s="42" t="n"/>
      <c r="B17" s="54" t="n"/>
      <c r="C17" s="54" t="n"/>
      <c r="D17" s="54" t="n"/>
      <c r="E17" s="54" t="n"/>
      <c r="F17" s="46" t="n"/>
      <c r="G17" s="46" t="n"/>
      <c r="H17" s="46" t="n"/>
      <c r="I17" s="46" t="n"/>
      <c r="J17" s="46" t="n"/>
      <c r="K17" s="46" t="n"/>
      <c r="L17" s="53" t="n"/>
      <c r="M17" s="54" t="n"/>
      <c r="N17" s="54" t="n"/>
      <c r="O17" s="41" t="n"/>
    </row>
    <row r="18">
      <c r="A18" s="42" t="n"/>
      <c r="B18" s="54" t="n"/>
      <c r="C18" s="54" t="n"/>
      <c r="D18" s="54" t="n"/>
      <c r="E18" s="54" t="n"/>
      <c r="F18" s="46" t="n"/>
      <c r="G18" s="46" t="n"/>
      <c r="H18" s="46" t="n"/>
      <c r="I18" s="46" t="n"/>
      <c r="J18" s="46" t="n"/>
      <c r="K18" s="46" t="n"/>
      <c r="L18" s="53" t="n"/>
      <c r="M18" s="54" t="n"/>
      <c r="N18" s="54" t="n"/>
      <c r="O18" s="41" t="n"/>
    </row>
    <row r="19">
      <c r="A19" s="42" t="n"/>
      <c r="B19" s="54" t="n"/>
      <c r="C19" s="54" t="n"/>
      <c r="D19" s="54" t="n"/>
      <c r="E19" s="54" t="n"/>
      <c r="F19" s="46" t="n"/>
      <c r="G19" s="46" t="n"/>
      <c r="H19" s="46" t="n"/>
      <c r="I19" s="46" t="n"/>
      <c r="J19" s="46" t="n"/>
      <c r="K19" s="46" t="n"/>
      <c r="L19" s="53" t="n"/>
      <c r="M19" s="54" t="n"/>
      <c r="N19" s="54" t="n"/>
      <c r="O19" s="41" t="n"/>
    </row>
    <row r="20">
      <c r="A20" s="42" t="n"/>
      <c r="B20" s="54" t="n"/>
      <c r="C20" s="54" t="n"/>
      <c r="D20" s="54" t="n"/>
      <c r="E20" s="54" t="n"/>
      <c r="F20" s="46" t="n"/>
      <c r="G20" s="46" t="n"/>
      <c r="H20" s="46" t="n"/>
      <c r="I20" s="46" t="n"/>
      <c r="J20" s="46" t="n"/>
      <c r="K20" s="46" t="n"/>
      <c r="L20" s="53" t="n"/>
      <c r="M20" s="54" t="n"/>
      <c r="N20" s="54" t="n"/>
      <c r="O20" s="41" t="n"/>
    </row>
    <row r="21">
      <c r="A21" s="42" t="n"/>
      <c r="B21" s="54" t="n"/>
      <c r="C21" s="54" t="n"/>
      <c r="D21" s="54" t="n"/>
      <c r="E21" s="54" t="n"/>
      <c r="F21" s="46" t="n"/>
      <c r="G21" s="46" t="n"/>
      <c r="H21" s="46" t="n"/>
      <c r="I21" s="46" t="n"/>
      <c r="J21" s="46" t="n"/>
      <c r="K21" s="46" t="n"/>
      <c r="L21" s="53" t="n"/>
      <c r="M21" s="54" t="n"/>
      <c r="N21" s="54" t="n"/>
      <c r="O21" s="41" t="n"/>
    </row>
    <row r="22">
      <c r="A22" s="42" t="n"/>
      <c r="B22" s="54" t="n"/>
      <c r="C22" s="54" t="n"/>
      <c r="D22" s="54" t="n"/>
      <c r="E22" s="54" t="n"/>
      <c r="F22" s="46" t="n"/>
      <c r="G22" s="46" t="n"/>
      <c r="H22" s="46" t="n"/>
      <c r="I22" s="46" t="n"/>
      <c r="J22" s="46" t="n"/>
      <c r="K22" s="46" t="n"/>
      <c r="L22" s="53" t="n"/>
      <c r="M22" s="54" t="n"/>
      <c r="N22" s="54" t="n"/>
      <c r="O22" s="41" t="n"/>
    </row>
    <row r="23">
      <c r="A23" s="42" t="n"/>
      <c r="B23" s="54" t="n"/>
      <c r="C23" s="54" t="n"/>
      <c r="D23" s="54" t="n"/>
      <c r="E23" s="54" t="n"/>
      <c r="F23" s="46" t="n"/>
      <c r="G23" s="46" t="n"/>
      <c r="H23" s="46" t="n"/>
      <c r="I23" s="46" t="n"/>
      <c r="J23" s="46" t="n"/>
      <c r="K23" s="46" t="n"/>
      <c r="L23" s="53" t="n"/>
      <c r="M23" s="54" t="n"/>
      <c r="N23" s="54" t="n"/>
      <c r="O23" s="41" t="n"/>
    </row>
    <row r="24">
      <c r="A24" s="42" t="n"/>
      <c r="B24" s="54" t="n"/>
      <c r="C24" s="54" t="n"/>
      <c r="D24" s="54" t="n"/>
      <c r="E24" s="54" t="n"/>
      <c r="F24" s="46" t="n"/>
      <c r="G24" s="46" t="n"/>
      <c r="H24" s="46" t="n"/>
      <c r="I24" s="46" t="n"/>
      <c r="J24" s="46" t="n"/>
      <c r="K24" s="46" t="n"/>
      <c r="L24" s="53" t="n"/>
      <c r="M24" s="54" t="n"/>
      <c r="N24" s="54" t="n"/>
      <c r="O24" s="41" t="n"/>
    </row>
    <row r="25">
      <c r="A25" s="42" t="n"/>
      <c r="B25" s="54" t="n"/>
      <c r="C25" s="54" t="n"/>
      <c r="D25" s="54" t="n"/>
      <c r="E25" s="54" t="n"/>
      <c r="F25" s="46" t="n"/>
      <c r="G25" s="46" t="n"/>
      <c r="H25" s="46" t="n"/>
      <c r="I25" s="46" t="n"/>
      <c r="J25" s="46" t="n"/>
      <c r="K25" s="46" t="n"/>
      <c r="L25" s="53" t="n"/>
      <c r="M25" s="54" t="n"/>
      <c r="N25" s="54" t="n"/>
      <c r="O25" s="41" t="n"/>
    </row>
    <row r="26">
      <c r="A26" s="42" t="n"/>
      <c r="B26" s="54" t="n"/>
      <c r="C26" s="54" t="n"/>
      <c r="D26" s="54" t="n"/>
      <c r="E26" s="54" t="n"/>
      <c r="F26" s="46" t="n"/>
      <c r="G26" s="46" t="n"/>
      <c r="H26" s="46" t="n"/>
      <c r="I26" s="46" t="n"/>
      <c r="J26" s="46" t="n"/>
      <c r="K26" s="46" t="n"/>
      <c r="L26" s="53" t="n"/>
      <c r="M26" s="54" t="n"/>
      <c r="N26" s="54" t="n"/>
      <c r="O26" s="41" t="n"/>
    </row>
    <row r="27">
      <c r="A27" s="42" t="n"/>
      <c r="B27" s="54" t="n"/>
      <c r="C27" s="54" t="n"/>
      <c r="D27" s="54" t="n"/>
      <c r="E27" s="54" t="n"/>
      <c r="F27" s="46" t="n"/>
      <c r="G27" s="46" t="n"/>
      <c r="H27" s="46" t="n"/>
      <c r="I27" s="46" t="n"/>
      <c r="J27" s="46" t="n"/>
      <c r="K27" s="46" t="n"/>
      <c r="L27" s="53" t="n"/>
      <c r="M27" s="54" t="n"/>
      <c r="N27" s="54" t="n"/>
      <c r="O27" s="41" t="n"/>
    </row>
    <row r="28">
      <c r="A28" s="42" t="n"/>
      <c r="B28" s="54" t="n"/>
      <c r="C28" s="54" t="n"/>
      <c r="D28" s="54" t="n"/>
      <c r="E28" s="54" t="n"/>
      <c r="F28" s="46" t="n"/>
      <c r="G28" s="46" t="n"/>
      <c r="H28" s="46" t="n"/>
      <c r="I28" s="46" t="n"/>
      <c r="J28" s="46" t="n"/>
      <c r="K28" s="46" t="n"/>
      <c r="L28" s="53" t="n"/>
      <c r="M28" s="54" t="n"/>
      <c r="N28" s="54" t="n"/>
      <c r="O28" s="41" t="n"/>
    </row>
    <row r="29">
      <c r="A29" s="42" t="n"/>
      <c r="B29" s="54" t="n"/>
      <c r="C29" s="54" t="n"/>
      <c r="D29" s="54" t="n"/>
      <c r="E29" s="54" t="n"/>
      <c r="F29" s="46" t="n"/>
      <c r="G29" s="46" t="n"/>
      <c r="H29" s="46" t="n"/>
      <c r="I29" s="46" t="n"/>
      <c r="J29" s="46" t="n"/>
      <c r="K29" s="46" t="n"/>
      <c r="L29" s="53" t="n"/>
      <c r="M29" s="54" t="n"/>
      <c r="N29" s="54" t="n"/>
      <c r="O29" s="41" t="n"/>
    </row>
    <row r="30">
      <c r="A30" s="42" t="n"/>
      <c r="B30" s="54" t="n"/>
      <c r="C30" s="54" t="n"/>
      <c r="D30" s="54" t="n"/>
      <c r="E30" s="54" t="n"/>
      <c r="F30" s="46" t="n"/>
      <c r="G30" s="46" t="n"/>
      <c r="H30" s="46" t="n"/>
      <c r="I30" s="46" t="n"/>
      <c r="J30" s="46" t="n"/>
      <c r="K30" s="46" t="n"/>
      <c r="L30" s="53" t="n"/>
      <c r="M30" s="54" t="n"/>
      <c r="N30" s="54" t="n"/>
      <c r="O30" s="41" t="n"/>
    </row>
    <row r="31">
      <c r="A31" s="42" t="n"/>
      <c r="B31" s="54" t="n"/>
      <c r="C31" s="54" t="n"/>
      <c r="D31" s="54" t="n"/>
      <c r="E31" s="54" t="n"/>
      <c r="F31" s="46" t="n"/>
      <c r="G31" s="46" t="n"/>
      <c r="H31" s="46" t="n"/>
      <c r="I31" s="46" t="n"/>
      <c r="J31" s="46" t="n"/>
      <c r="K31" s="46" t="n"/>
      <c r="L31" s="53" t="n"/>
      <c r="M31" s="54" t="n"/>
      <c r="N31" s="54" t="n"/>
      <c r="O31" s="41" t="n"/>
    </row>
    <row r="32">
      <c r="A32" s="42" t="n"/>
      <c r="B32" s="54" t="n"/>
      <c r="C32" s="54" t="n"/>
      <c r="D32" s="54" t="n"/>
      <c r="E32" s="54" t="n"/>
      <c r="F32" s="46" t="n"/>
      <c r="G32" s="46" t="n"/>
      <c r="H32" s="46" t="n"/>
      <c r="I32" s="46" t="n"/>
      <c r="J32" s="46" t="n"/>
      <c r="K32" s="46" t="n"/>
      <c r="L32" s="53" t="n"/>
      <c r="M32" s="54" t="n"/>
      <c r="N32" s="54" t="n"/>
      <c r="O32" s="41" t="n"/>
    </row>
    <row r="33">
      <c r="A33" s="42" t="n"/>
      <c r="B33" s="54" t="n"/>
      <c r="C33" s="54" t="n"/>
      <c r="D33" s="54" t="n"/>
      <c r="E33" s="54" t="n"/>
      <c r="F33" s="46" t="n"/>
      <c r="G33" s="46" t="n"/>
      <c r="H33" s="46" t="n"/>
      <c r="I33" s="46" t="n"/>
      <c r="J33" s="46" t="n"/>
      <c r="K33" s="46" t="n"/>
      <c r="L33" s="53" t="n"/>
      <c r="M33" s="54" t="n"/>
      <c r="N33" s="54" t="n"/>
      <c r="O33" s="41" t="n"/>
    </row>
    <row r="34">
      <c r="A34" s="42" t="n"/>
      <c r="B34" s="54" t="n"/>
      <c r="C34" s="54" t="n"/>
      <c r="D34" s="54" t="n"/>
      <c r="E34" s="54" t="n"/>
      <c r="F34" s="46" t="n"/>
      <c r="G34" s="46" t="n"/>
      <c r="H34" s="46" t="n"/>
      <c r="I34" s="46" t="n"/>
      <c r="J34" s="46" t="n"/>
      <c r="K34" s="46" t="n"/>
      <c r="L34" s="53" t="n"/>
      <c r="M34" s="54" t="n"/>
      <c r="N34" s="54" t="n"/>
      <c r="O34" s="41" t="n"/>
    </row>
    <row r="35">
      <c r="A35" s="42" t="n"/>
      <c r="B35" s="54" t="n"/>
      <c r="C35" s="54" t="n"/>
      <c r="D35" s="54" t="n"/>
      <c r="E35" s="54" t="n"/>
      <c r="F35" s="46" t="n"/>
      <c r="G35" s="46" t="n"/>
      <c r="H35" s="46" t="n"/>
      <c r="I35" s="46" t="n"/>
      <c r="J35" s="46" t="n"/>
      <c r="K35" s="46" t="n"/>
      <c r="L35" s="53" t="n"/>
      <c r="M35" s="54" t="n"/>
      <c r="N35" s="54" t="n"/>
      <c r="O35" s="41" t="n"/>
    </row>
    <row r="36">
      <c r="A36" s="42" t="n"/>
      <c r="B36" s="54" t="n"/>
      <c r="C36" s="54" t="n"/>
      <c r="D36" s="54" t="n"/>
      <c r="E36" s="54" t="n"/>
      <c r="F36" s="46" t="n"/>
      <c r="G36" s="46" t="n"/>
      <c r="H36" s="46" t="n"/>
      <c r="I36" s="46" t="n"/>
      <c r="J36" s="46" t="n"/>
      <c r="K36" s="46" t="n"/>
      <c r="L36" s="53" t="n"/>
      <c r="M36" s="54" t="n"/>
      <c r="N36" s="54" t="n"/>
      <c r="O36" s="41" t="n"/>
    </row>
    <row r="37">
      <c r="A37" s="42" t="n"/>
      <c r="B37" s="54" t="n"/>
      <c r="C37" s="54" t="n"/>
      <c r="D37" s="54" t="n"/>
      <c r="E37" s="54" t="n"/>
      <c r="F37" s="46" t="n"/>
      <c r="G37" s="46" t="n"/>
      <c r="H37" s="46" t="n"/>
      <c r="I37" s="46" t="n"/>
      <c r="J37" s="46" t="n"/>
      <c r="K37" s="46" t="n"/>
      <c r="L37" s="53" t="n"/>
      <c r="M37" s="54" t="n"/>
      <c r="N37" s="54" t="n"/>
      <c r="O37" s="41" t="n"/>
    </row>
    <row r="38">
      <c r="A38" s="42" t="n"/>
      <c r="B38" s="54" t="n"/>
      <c r="C38" s="54" t="n"/>
      <c r="D38" s="54" t="n"/>
      <c r="E38" s="54" t="n"/>
      <c r="F38" s="46" t="n"/>
      <c r="G38" s="46" t="n"/>
      <c r="H38" s="46" t="n"/>
      <c r="I38" s="46" t="n"/>
      <c r="J38" s="46" t="n"/>
      <c r="K38" s="46" t="n"/>
      <c r="L38" s="53" t="n"/>
      <c r="M38" s="54" t="n"/>
      <c r="N38" s="54" t="n"/>
      <c r="O38" s="41" t="n"/>
    </row>
    <row r="39">
      <c r="A39" s="42" t="n"/>
      <c r="B39" s="54" t="n"/>
      <c r="C39" s="54" t="n"/>
      <c r="D39" s="54" t="n"/>
      <c r="E39" s="54" t="n"/>
      <c r="F39" s="46" t="n"/>
      <c r="G39" s="46" t="n"/>
      <c r="H39" s="46" t="n"/>
      <c r="I39" s="46" t="n"/>
      <c r="J39" s="46" t="n"/>
      <c r="K39" s="46" t="n"/>
      <c r="L39" s="53" t="n"/>
      <c r="M39" s="54" t="n"/>
      <c r="N39" s="54" t="n"/>
      <c r="O39" s="41" t="n"/>
    </row>
    <row r="40">
      <c r="A40" s="42" t="n"/>
      <c r="B40" s="54" t="n"/>
      <c r="C40" s="54" t="n"/>
      <c r="D40" s="54" t="n"/>
      <c r="E40" s="54" t="n"/>
      <c r="F40" s="46" t="n"/>
      <c r="G40" s="46" t="n"/>
      <c r="H40" s="46" t="n"/>
      <c r="I40" s="46" t="n"/>
      <c r="J40" s="46" t="n"/>
      <c r="K40" s="46" t="n"/>
      <c r="L40" s="53" t="n"/>
      <c r="M40" s="54" t="n"/>
      <c r="N40" s="54" t="n"/>
      <c r="O40" s="41" t="n"/>
    </row>
    <row r="41">
      <c r="A41" s="42" t="n"/>
      <c r="B41" s="54" t="n"/>
      <c r="C41" s="54" t="n"/>
      <c r="D41" s="54" t="n"/>
      <c r="E41" s="54" t="n"/>
      <c r="F41" s="46" t="n"/>
      <c r="G41" s="46" t="n"/>
      <c r="H41" s="46" t="n"/>
      <c r="I41" s="46" t="n"/>
      <c r="J41" s="46" t="n"/>
      <c r="K41" s="46" t="n"/>
      <c r="L41" s="53" t="n"/>
      <c r="M41" s="54" t="n"/>
      <c r="N41" s="54" t="n"/>
      <c r="O41" s="41" t="n"/>
    </row>
    <row r="42">
      <c r="A42" s="42" t="n"/>
      <c r="B42" s="54" t="n"/>
      <c r="C42" s="54" t="n"/>
      <c r="D42" s="54" t="n"/>
      <c r="E42" s="54" t="n"/>
      <c r="F42" s="46" t="n"/>
      <c r="G42" s="46" t="n"/>
      <c r="H42" s="46" t="n"/>
      <c r="I42" s="46" t="n"/>
      <c r="J42" s="46" t="n"/>
      <c r="K42" s="46" t="n"/>
      <c r="L42" s="53" t="n"/>
      <c r="M42" s="54" t="n"/>
      <c r="N42" s="54" t="n"/>
      <c r="O42" s="41" t="n"/>
    </row>
    <row r="43">
      <c r="A43" s="42" t="n"/>
      <c r="B43" s="54" t="n"/>
      <c r="C43" s="54" t="n"/>
      <c r="D43" s="54" t="n"/>
      <c r="E43" s="54" t="n"/>
      <c r="F43" s="46" t="n"/>
      <c r="G43" s="46" t="n"/>
      <c r="H43" s="46" t="n"/>
      <c r="I43" s="46" t="n"/>
      <c r="J43" s="46" t="n"/>
      <c r="K43" s="46" t="n"/>
      <c r="L43" s="53" t="n"/>
      <c r="M43" s="54" t="n"/>
      <c r="N43" s="54" t="n"/>
      <c r="O43" s="41" t="n"/>
    </row>
    <row r="44">
      <c r="A44" s="42" t="n"/>
      <c r="B44" s="54" t="n"/>
      <c r="C44" s="54" t="n"/>
      <c r="D44" s="54" t="n"/>
      <c r="E44" s="54" t="n"/>
      <c r="F44" s="46" t="n"/>
      <c r="G44" s="46" t="n"/>
      <c r="H44" s="46" t="n"/>
      <c r="I44" s="46" t="n"/>
      <c r="J44" s="46" t="n"/>
      <c r="K44" s="46" t="n"/>
      <c r="L44" s="53" t="n"/>
      <c r="M44" s="54" t="n"/>
      <c r="N44" s="54" t="n"/>
      <c r="O44" s="41" t="n"/>
    </row>
    <row r="45">
      <c r="A45" s="42" t="n"/>
      <c r="B45" s="54" t="n"/>
      <c r="C45" s="54" t="n"/>
      <c r="D45" s="54" t="n"/>
      <c r="E45" s="54" t="n"/>
      <c r="F45" s="46" t="n"/>
      <c r="G45" s="46" t="n"/>
      <c r="H45" s="46" t="n"/>
      <c r="I45" s="46" t="n"/>
      <c r="J45" s="46" t="n"/>
      <c r="K45" s="46" t="n"/>
      <c r="L45" s="53" t="n"/>
      <c r="M45" s="54" t="n"/>
      <c r="N45" s="54" t="n"/>
      <c r="O45" s="41" t="n"/>
    </row>
    <row r="46">
      <c r="A46" s="42" t="n"/>
      <c r="B46" s="54" t="n"/>
      <c r="C46" s="54" t="n"/>
      <c r="D46" s="54" t="n"/>
      <c r="E46" s="54" t="n"/>
      <c r="F46" s="46" t="n"/>
      <c r="G46" s="46" t="n"/>
      <c r="H46" s="46" t="n"/>
      <c r="I46" s="46" t="n"/>
      <c r="J46" s="46" t="n"/>
      <c r="K46" s="46" t="n"/>
      <c r="L46" s="53" t="n"/>
      <c r="M46" s="54" t="n"/>
      <c r="N46" s="54" t="n"/>
      <c r="O46" s="41" t="n"/>
    </row>
    <row r="47">
      <c r="A47" s="42" t="n"/>
      <c r="B47" s="54" t="n"/>
      <c r="C47" s="54" t="n"/>
      <c r="D47" s="54" t="n"/>
      <c r="E47" s="54" t="n"/>
      <c r="F47" s="46" t="n"/>
      <c r="G47" s="46" t="n"/>
      <c r="H47" s="46" t="n"/>
      <c r="I47" s="46" t="n"/>
      <c r="J47" s="46" t="n"/>
      <c r="K47" s="46" t="n"/>
      <c r="L47" s="53" t="n"/>
      <c r="M47" s="54" t="n"/>
      <c r="N47" s="54" t="n"/>
      <c r="O47" s="41" t="n"/>
    </row>
    <row r="48">
      <c r="A48" s="42" t="n"/>
      <c r="B48" s="54" t="n"/>
      <c r="C48" s="54" t="n"/>
      <c r="D48" s="54" t="n"/>
      <c r="E48" s="54" t="n"/>
      <c r="F48" s="46" t="n"/>
      <c r="G48" s="46" t="n"/>
      <c r="H48" s="46" t="n"/>
      <c r="I48" s="46" t="n"/>
      <c r="J48" s="46" t="n"/>
      <c r="K48" s="46" t="n"/>
      <c r="L48" s="53" t="n"/>
      <c r="M48" s="54" t="n"/>
      <c r="N48" s="54" t="n"/>
      <c r="O48" s="41" t="n"/>
    </row>
    <row r="49">
      <c r="A49" s="42" t="n"/>
      <c r="B49" s="54" t="n"/>
      <c r="C49" s="54" t="n"/>
      <c r="D49" s="54" t="n"/>
      <c r="E49" s="54" t="n"/>
      <c r="F49" s="46" t="n"/>
      <c r="G49" s="46" t="n"/>
      <c r="H49" s="46" t="n"/>
      <c r="I49" s="46" t="n"/>
      <c r="J49" s="46" t="n"/>
      <c r="K49" s="46" t="n"/>
      <c r="L49" s="53" t="n"/>
      <c r="M49" s="54" t="n"/>
      <c r="N49" s="54" t="n"/>
      <c r="O49" s="41" t="n"/>
    </row>
    <row r="50">
      <c r="A50" s="42" t="n"/>
      <c r="B50" s="54" t="n"/>
      <c r="C50" s="54" t="n"/>
      <c r="D50" s="54" t="n"/>
      <c r="E50" s="54" t="n"/>
      <c r="F50" s="46" t="n"/>
      <c r="G50" s="46" t="n"/>
      <c r="H50" s="46" t="n"/>
      <c r="I50" s="46" t="n"/>
      <c r="J50" s="46" t="n"/>
      <c r="K50" s="46" t="n"/>
      <c r="L50" s="53" t="n"/>
      <c r="M50" s="54" t="n"/>
      <c r="N50" s="54" t="n"/>
      <c r="O50" s="41" t="n"/>
    </row>
    <row r="51">
      <c r="A51" s="42" t="n"/>
      <c r="B51" s="54" t="n"/>
      <c r="C51" s="54" t="n"/>
      <c r="D51" s="54" t="n"/>
      <c r="E51" s="54" t="n"/>
      <c r="F51" s="46" t="n"/>
      <c r="G51" s="46" t="n"/>
      <c r="H51" s="46" t="n"/>
      <c r="I51" s="46" t="n"/>
      <c r="J51" s="46" t="n"/>
      <c r="K51" s="46" t="n"/>
      <c r="L51" s="53" t="n"/>
      <c r="M51" s="54" t="n"/>
      <c r="N51" s="54" t="n"/>
      <c r="O51" s="41" t="n"/>
    </row>
    <row r="52">
      <c r="A52" s="42" t="n"/>
      <c r="B52" s="54" t="n"/>
      <c r="C52" s="54" t="n"/>
      <c r="D52" s="54" t="n"/>
      <c r="E52" s="54" t="n"/>
      <c r="F52" s="46" t="n"/>
      <c r="G52" s="46" t="n"/>
      <c r="H52" s="46" t="n"/>
      <c r="I52" s="46" t="n"/>
      <c r="J52" s="46" t="n"/>
      <c r="K52" s="46" t="n"/>
      <c r="L52" s="53" t="n"/>
      <c r="M52" s="54" t="n"/>
      <c r="N52" s="54" t="n"/>
      <c r="O52" s="41" t="n"/>
    </row>
    <row r="53">
      <c r="A53" s="42" t="n"/>
      <c r="B53" s="54" t="n"/>
      <c r="C53" s="54" t="n"/>
      <c r="D53" s="54" t="n"/>
      <c r="E53" s="54" t="n"/>
      <c r="F53" s="46" t="n"/>
      <c r="G53" s="46" t="n"/>
      <c r="H53" s="46" t="n"/>
      <c r="I53" s="46" t="n"/>
      <c r="J53" s="46" t="n"/>
      <c r="K53" s="46" t="n"/>
      <c r="L53" s="53" t="n"/>
      <c r="M53" s="54" t="n"/>
      <c r="N53" s="54" t="n"/>
      <c r="O53" s="41" t="n"/>
    </row>
    <row r="54">
      <c r="A54" s="42" t="n"/>
      <c r="B54" s="54" t="n"/>
      <c r="C54" s="54" t="n"/>
      <c r="D54" s="54" t="n"/>
      <c r="E54" s="54" t="n"/>
      <c r="F54" s="46" t="n"/>
      <c r="G54" s="46" t="n"/>
      <c r="H54" s="46" t="n"/>
      <c r="I54" s="46" t="n"/>
      <c r="J54" s="46" t="n"/>
      <c r="K54" s="46" t="n"/>
      <c r="L54" s="53" t="n"/>
      <c r="M54" s="54" t="n"/>
      <c r="N54" s="54" t="n"/>
      <c r="O54" s="41" t="n"/>
    </row>
    <row r="55">
      <c r="A55" s="42" t="n"/>
      <c r="B55" s="54" t="n"/>
      <c r="C55" s="54" t="n"/>
      <c r="D55" s="54" t="n"/>
      <c r="E55" s="54" t="n"/>
      <c r="F55" s="46" t="n"/>
      <c r="G55" s="46" t="n"/>
      <c r="H55" s="46" t="n"/>
      <c r="I55" s="46" t="n"/>
      <c r="J55" s="46" t="n"/>
      <c r="K55" s="46" t="n"/>
      <c r="L55" s="53" t="n"/>
      <c r="M55" s="54" t="n"/>
      <c r="N55" s="54" t="n"/>
      <c r="O55" s="41" t="n"/>
    </row>
  </sheetData>
  <sheetProtection selectLockedCells="0" selectUnlockedCells="0" sheet="1" objects="0" insertRows="1" insertHyperlinks="1" autoFilter="0" scenarios="0" formatColumns="0" deleteColumns="1" insertColumns="1" pivotTables="1" deleteRows="1" formatCells="1" formatRows="0" sort="1"/>
  <dataValidations count="2">
    <dataValidation sqref="A6:A55" showDropDown="0" showInputMessage="0" showErrorMessage="1" allowBlank="1" errorTitle="Fecha no válida" error="Escriba una fecha dd/mm/aaaa." type="date" operator="between">
      <formula1>DATE(2020,1,1)</formula1>
      <formula2>DATE(2040,12,31)</formula2>
    </dataValidation>
    <dataValidation sqref="B6:N55" showDropDown="0" showInputMessage="0" showErrorMessage="1" allowBlank="1" errorTitle="Número no válido" error="Escriba un número mayor o igual que 0, sin texto." type="decimal" operator="greaterThanOrEqual">
      <formula1>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O16"/>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5" customWidth="1" min="3" max="3"/>
    <col width="12" customWidth="1" min="4" max="4"/>
    <col width="14" customWidth="1" min="5" max="5"/>
    <col width="12" customWidth="1" min="6" max="6"/>
    <col width="9" customWidth="1" min="7" max="7"/>
    <col width="13" customWidth="1" min="8" max="8"/>
    <col width="13" customWidth="1" min="9" max="9"/>
    <col width="12" customWidth="1" min="10" max="10"/>
    <col width="13" customWidth="1" min="11" max="11"/>
    <col width="14" customWidth="1" min="12" max="12"/>
    <col width="15" customWidth="1" min="13" max="13"/>
    <col width="13" customWidth="1" min="14" max="14"/>
    <col width="40" customWidth="1" min="15" max="15"/>
  </cols>
  <sheetData>
    <row r="1" ht="24" customHeight="1">
      <c r="A1" s="1" t="inlineStr">
        <is>
          <t>Activos fijos: depreciación, mantenimiento y seguros</t>
        </is>
      </c>
    </row>
    <row r="2">
      <c r="A2" s="2" t="inlineStr">
        <is>
          <t>Método lineal. La depreciación se calcula desde el mes de alta hasta el fin de la vida útil o la fecha de baja. Confirme las tasas con la norma contable vigente.</t>
        </is>
      </c>
    </row>
    <row r="5" ht="54" customHeight="1">
      <c r="A5" s="5" t="inlineStr">
        <is>
          <t>Nº</t>
        </is>
      </c>
      <c r="B5" s="5" t="inlineStr">
        <is>
          <t>Descripción / chapa</t>
        </is>
      </c>
      <c r="C5" s="5" t="inlineStr">
        <is>
          <t>Tipo</t>
        </is>
      </c>
      <c r="D5" s="5" t="inlineStr">
        <is>
          <t>Fecha de alta</t>
        </is>
      </c>
      <c r="E5" s="5" t="inlineStr">
        <is>
          <t>Valor de adquisición (USD)</t>
        </is>
      </c>
      <c r="F5" s="5" t="inlineStr">
        <is>
          <t>Valor residual (USD)</t>
        </is>
      </c>
      <c r="G5" s="5" t="inlineStr">
        <is>
          <t>Vida útil (años)</t>
        </is>
      </c>
      <c r="H5" s="5" t="inlineStr">
        <is>
          <t>Depreciación anual (USD)</t>
        </is>
      </c>
      <c r="I5" s="5" t="inlineStr">
        <is>
          <t>Depreciación mensual (USD)</t>
        </is>
      </c>
      <c r="J5" s="5" t="inlineStr">
        <is>
          <t>Fin de la depreciación</t>
        </is>
      </c>
      <c r="K5" s="5" t="inlineStr">
        <is>
          <t>Fecha de baja (si se vendió o retiró)</t>
        </is>
      </c>
      <c r="L5" s="5" t="inlineStr">
        <is>
          <t>Mantenimiento preventivo (USD/mes)</t>
        </is>
      </c>
      <c r="M5" s="5" t="inlineStr">
        <is>
          <t>Seguros, licencias e inspecciones (USD/año)</t>
        </is>
      </c>
      <c r="N5" s="5" t="inlineStr">
        <is>
          <t>Seguros y licencias (USD/mes)</t>
        </is>
      </c>
      <c r="O5" s="5" t="inlineStr">
        <is>
          <t>Observaciones</t>
        </is>
      </c>
    </row>
    <row r="6">
      <c r="A6" s="40" t="n">
        <v>1</v>
      </c>
      <c r="B6" s="43" t="inlineStr">
        <is>
          <t>Camión porta-contenedor (recogida en el puerto) – EJEMPLO</t>
        </is>
      </c>
      <c r="C6" s="43" t="inlineStr">
        <is>
          <t>Vehículo propio</t>
        </is>
      </c>
      <c r="D6" s="42" t="n">
        <v>45658</v>
      </c>
      <c r="E6" s="46" t="n">
        <v>45000</v>
      </c>
      <c r="F6" s="46" t="n">
        <v>5000</v>
      </c>
      <c r="G6" s="45" t="n">
        <v>8</v>
      </c>
      <c r="H6" s="55">
        <f>IF(OR(D6="",N(G6)=0),0,(E6-F6)/G6)</f>
        <v>5000</v>
      </c>
      <c r="I6" s="55">
        <f>H6/12</f>
        <v>416.666666666667</v>
      </c>
      <c r="J6" s="56">
        <f>IF(OR(D6="",N(G6)=0),0,EDATE(D6,G6*12))</f>
        <v>48580.0</v>
      </c>
      <c r="K6" s="42" t="n"/>
      <c r="L6" s="46" t="n">
        <v>150</v>
      </c>
      <c r="M6" s="46" t="n">
        <v>1020</v>
      </c>
      <c r="N6" s="55">
        <f>N(M6)/12</f>
        <v>85</v>
      </c>
      <c r="O6" s="43" t="inlineStr">
        <is>
          <t>ILUSTRATIVO: sustituir por el valor contable real.</t>
        </is>
      </c>
    </row>
    <row r="7">
      <c r="A7" s="40" t="n">
        <v>2</v>
      </c>
      <c r="B7" s="43" t="inlineStr">
        <is>
          <t>Computadoras y equipos de oficina – EJEMPLO</t>
        </is>
      </c>
      <c r="C7" s="43" t="inlineStr">
        <is>
          <t>Equipo</t>
        </is>
      </c>
      <c r="D7" s="42" t="n">
        <v>46023</v>
      </c>
      <c r="E7" s="46" t="n">
        <v>1500</v>
      </c>
      <c r="F7" s="46" t="n">
        <v>0</v>
      </c>
      <c r="G7" s="45" t="n">
        <v>5</v>
      </c>
      <c r="H7" s="55">
        <f>IF(OR(D7="",N(G7)=0),0,(E7-F7)/G7)</f>
        <v>300</v>
      </c>
      <c r="I7" s="55">
        <f>H7/12</f>
        <v>25</v>
      </c>
      <c r="J7" s="56">
        <f>IF(OR(D7="",N(G7)=0),0,EDATE(D7,G7*12))</f>
        <v>47849.0</v>
      </c>
      <c r="K7" s="42" t="n"/>
      <c r="L7" s="46" t="n">
        <v>0</v>
      </c>
      <c r="M7" s="46" t="n">
        <v>0</v>
      </c>
      <c r="N7" s="55">
        <f>N(M7)/12</f>
        <v>0</v>
      </c>
      <c r="O7" s="43" t="inlineStr">
        <is>
          <t>ILUSTRATIVO</t>
        </is>
      </c>
    </row>
    <row r="8">
      <c r="A8" s="40" t="n">
        <v>3</v>
      </c>
      <c r="B8" s="43" t="n"/>
      <c r="C8" s="43" t="n"/>
      <c r="D8" s="42" t="n"/>
      <c r="E8" s="46" t="n"/>
      <c r="F8" s="46" t="n"/>
      <c r="G8" s="45" t="n"/>
      <c r="H8" s="55">
        <f>IF(OR(D8="",N(G8)=0),0,(E8-F8)/G8)</f>
        <v>0</v>
      </c>
      <c r="I8" s="55">
        <f>H8/12</f>
        <v>0</v>
      </c>
      <c r="J8" s="56" t="str">
        <f>IF(OR(D8="",N(G8)=0),0,EDATE(D8,G8*12))</f>
        <v>00:00:00</v>
      </c>
      <c r="K8" s="42" t="n"/>
      <c r="L8" s="46" t="n"/>
      <c r="M8" s="46" t="n"/>
      <c r="N8" s="55">
        <f>N(M8)/12</f>
        <v>0</v>
      </c>
      <c r="O8" s="43" t="n"/>
    </row>
    <row r="9">
      <c r="A9" s="40" t="n">
        <v>4</v>
      </c>
      <c r="B9" s="43" t="n"/>
      <c r="C9" s="43" t="n"/>
      <c r="D9" s="42" t="n"/>
      <c r="E9" s="46" t="n"/>
      <c r="F9" s="46" t="n"/>
      <c r="G9" s="45" t="n"/>
      <c r="H9" s="55">
        <f>IF(OR(D9="",N(G9)=0),0,(E9-F9)/G9)</f>
        <v>0</v>
      </c>
      <c r="I9" s="55">
        <f>H9/12</f>
        <v>0</v>
      </c>
      <c r="J9" s="56" t="str">
        <f>IF(OR(D9="",N(G9)=0),0,EDATE(D9,G9*12))</f>
        <v>00:00:00</v>
      </c>
      <c r="K9" s="42" t="n"/>
      <c r="L9" s="46" t="n"/>
      <c r="M9" s="46" t="n"/>
      <c r="N9" s="55">
        <f>N(M9)/12</f>
        <v>0</v>
      </c>
      <c r="O9" s="43" t="n"/>
    </row>
    <row r="10">
      <c r="A10" s="40" t="n">
        <v>5</v>
      </c>
      <c r="B10" s="43" t="n"/>
      <c r="C10" s="43" t="n"/>
      <c r="D10" s="42" t="n"/>
      <c r="E10" s="46" t="n"/>
      <c r="F10" s="46" t="n"/>
      <c r="G10" s="45" t="n"/>
      <c r="H10" s="55">
        <f>IF(OR(D10="",N(G10)=0),0,(E10-F10)/G10)</f>
        <v>0</v>
      </c>
      <c r="I10" s="55">
        <f>H10/12</f>
        <v>0</v>
      </c>
      <c r="J10" s="56" t="str">
        <f>IF(OR(D10="",N(G10)=0),0,EDATE(D10,G10*12))</f>
        <v>00:00:00</v>
      </c>
      <c r="K10" s="42" t="n"/>
      <c r="L10" s="46" t="n"/>
      <c r="M10" s="46" t="n"/>
      <c r="N10" s="55">
        <f>N(M10)/12</f>
        <v>0</v>
      </c>
      <c r="O10" s="43" t="n"/>
    </row>
    <row r="11">
      <c r="A11" s="40" t="n">
        <v>6</v>
      </c>
      <c r="B11" s="43" t="n"/>
      <c r="C11" s="43" t="n"/>
      <c r="D11" s="42" t="n"/>
      <c r="E11" s="46" t="n"/>
      <c r="F11" s="46" t="n"/>
      <c r="G11" s="45" t="n"/>
      <c r="H11" s="55">
        <f>IF(OR(D11="",N(G11)=0),0,(E11-F11)/G11)</f>
        <v>0</v>
      </c>
      <c r="I11" s="55">
        <f>H11/12</f>
        <v>0</v>
      </c>
      <c r="J11" s="56" t="str">
        <f>IF(OR(D11="",N(G11)=0),0,EDATE(D11,G11*12))</f>
        <v>00:00:00</v>
      </c>
      <c r="K11" s="42" t="n"/>
      <c r="L11" s="46" t="n"/>
      <c r="M11" s="46" t="n"/>
      <c r="N11" s="55">
        <f>N(M11)/12</f>
        <v>0</v>
      </c>
      <c r="O11" s="43" t="n"/>
    </row>
    <row r="12">
      <c r="A12" s="40" t="n">
        <v>7</v>
      </c>
      <c r="B12" s="43" t="n"/>
      <c r="C12" s="43" t="n"/>
      <c r="D12" s="42" t="n"/>
      <c r="E12" s="46" t="n"/>
      <c r="F12" s="46" t="n"/>
      <c r="G12" s="45" t="n"/>
      <c r="H12" s="55">
        <f>IF(OR(D12="",N(G12)=0),0,(E12-F12)/G12)</f>
        <v>0</v>
      </c>
      <c r="I12" s="55">
        <f>H12/12</f>
        <v>0</v>
      </c>
      <c r="J12" s="56" t="str">
        <f>IF(OR(D12="",N(G12)=0),0,EDATE(D12,G12*12))</f>
        <v>00:00:00</v>
      </c>
      <c r="K12" s="42" t="n"/>
      <c r="L12" s="46" t="n"/>
      <c r="M12" s="46" t="n"/>
      <c r="N12" s="55">
        <f>N(M12)/12</f>
        <v>0</v>
      </c>
      <c r="O12" s="43" t="n"/>
    </row>
    <row r="13">
      <c r="A13" s="40" t="n">
        <v>8</v>
      </c>
      <c r="B13" s="43" t="n"/>
      <c r="C13" s="43" t="n"/>
      <c r="D13" s="42" t="n"/>
      <c r="E13" s="46" t="n"/>
      <c r="F13" s="46" t="n"/>
      <c r="G13" s="45" t="n"/>
      <c r="H13" s="55">
        <f>IF(OR(D13="",N(G13)=0),0,(E13-F13)/G13)</f>
        <v>0</v>
      </c>
      <c r="I13" s="55">
        <f>H13/12</f>
        <v>0</v>
      </c>
      <c r="J13" s="56" t="str">
        <f>IF(OR(D13="",N(G13)=0),0,EDATE(D13,G13*12))</f>
        <v>00:00:00</v>
      </c>
      <c r="K13" s="42" t="n"/>
      <c r="L13" s="46" t="n"/>
      <c r="M13" s="46" t="n"/>
      <c r="N13" s="55">
        <f>N(M13)/12</f>
        <v>0</v>
      </c>
      <c r="O13" s="43" t="n"/>
    </row>
    <row r="14">
      <c r="A14" s="40" t="n">
        <v>9</v>
      </c>
      <c r="B14" s="43" t="n"/>
      <c r="C14" s="43" t="n"/>
      <c r="D14" s="42" t="n"/>
      <c r="E14" s="46" t="n"/>
      <c r="F14" s="46" t="n"/>
      <c r="G14" s="45" t="n"/>
      <c r="H14" s="55">
        <f>IF(OR(D14="",N(G14)=0),0,(E14-F14)/G14)</f>
        <v>0</v>
      </c>
      <c r="I14" s="55">
        <f>H14/12</f>
        <v>0</v>
      </c>
      <c r="J14" s="56" t="str">
        <f>IF(OR(D14="",N(G14)=0),0,EDATE(D14,G14*12))</f>
        <v>00:00:00</v>
      </c>
      <c r="K14" s="42" t="n"/>
      <c r="L14" s="46" t="n"/>
      <c r="M14" s="46" t="n"/>
      <c r="N14" s="55">
        <f>N(M14)/12</f>
        <v>0</v>
      </c>
      <c r="O14" s="43" t="n"/>
    </row>
    <row r="15">
      <c r="A15" s="40" t="n">
        <v>10</v>
      </c>
      <c r="B15" s="43" t="n"/>
      <c r="C15" s="43" t="n"/>
      <c r="D15" s="42" t="n"/>
      <c r="E15" s="46" t="n"/>
      <c r="F15" s="46" t="n"/>
      <c r="G15" s="45" t="n"/>
      <c r="H15" s="55">
        <f>IF(OR(D15="",N(G15)=0),0,(E15-F15)/G15)</f>
        <v>0</v>
      </c>
      <c r="I15" s="55">
        <f>H15/12</f>
        <v>0</v>
      </c>
      <c r="J15" s="56" t="str">
        <f>IF(OR(D15="",N(G15)=0),0,EDATE(D15,G15*12))</f>
        <v>00:00:00</v>
      </c>
      <c r="K15" s="42" t="n"/>
      <c r="L15" s="46" t="n"/>
      <c r="M15" s="46" t="n"/>
      <c r="N15" s="55">
        <f>N(M15)/12</f>
        <v>0</v>
      </c>
      <c r="O15" s="43" t="n"/>
    </row>
    <row r="16">
      <c r="B16" s="32" t="inlineStr">
        <is>
          <t>TOTAL</t>
        </is>
      </c>
      <c r="E16" s="57">
        <f>SUM(E6:E15)</f>
        <v>46500</v>
      </c>
      <c r="F16" s="57">
        <f>SUM(F6:F15)</f>
        <v>5000</v>
      </c>
      <c r="H16" s="57">
        <f>SUM(H6:H15)</f>
        <v>5300</v>
      </c>
      <c r="I16" s="57">
        <f>SUM(I6:I15)</f>
        <v>441.666666666667</v>
      </c>
      <c r="L16" s="57">
        <f>SUM(L6:L15)</f>
        <v>150</v>
      </c>
      <c r="N16" s="57">
        <f>SUM(N6:N15)</f>
        <v>85</v>
      </c>
    </row>
  </sheetData>
  <sheetProtection selectLockedCells="0" selectUnlockedCells="0" sheet="1" objects="0" insertRows="1" insertHyperlinks="1" autoFilter="0" scenarios="0" formatColumns="0" deleteColumns="1" insertColumns="1" pivotTables="1" deleteRows="1" formatCells="1" formatRows="0" sort="1"/>
  <dataValidations count="5">
    <dataValidation sqref="C6:C15" showDropDown="0" showInputMessage="0" showErrorMessage="1" allowBlank="1" errorTitle="Valor no válido" error="Seleccione un valor de la lista." type="list">
      <formula1>=L_TipoActivo</formula1>
    </dataValidation>
    <dataValidation sqref="D6:D15" showDropDown="0" showInputMessage="0" showErrorMessage="1" allowBlank="1" errorTitle="Fecha no válida" error="Escriba una fecha dd/mm/aaaa." type="date" operator="between">
      <formula1>DATE(2020,1,1)</formula1>
      <formula2>DATE(2040,12,31)</formula2>
    </dataValidation>
    <dataValidation sqref="K6:K15" showDropDown="0" showInputMessage="0" showErrorMessage="1" allowBlank="1" errorTitle="Fecha no válida" error="Escriba una fecha dd/mm/aaaa." type="date" operator="between">
      <formula1>DATE(2020,1,1)</formula1>
      <formula2>DATE(2040,12,31)</formula2>
    </dataValidation>
    <dataValidation sqref="E6:G15" showDropDown="0" showInputMessage="0" showErrorMessage="1" allowBlank="1" errorTitle="Número no válido" error="Escriba un número mayor o igual que 0, sin texto." type="decimal" operator="greaterThanOrEqual">
      <formula1>0</formula1>
    </dataValidation>
    <dataValidation sqref="L6:M15" showDropDown="0" showInputMessage="0" showErrorMessage="1" allowBlank="1" errorTitle="Número no válido" error="Escriba un número mayor o igual que 0, sin texto." type="decimal" operator="greaterThanOrEqual">
      <formula1>0</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AE42"/>
  <sheetViews>
    <sheetView showGridLines="0" zoomScale="90" workbookViewId="0">
      <pane xSplit="6" ySplit="5" topLeftCell="G6"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0" customWidth="1" min="3" max="3"/>
    <col width="24" customWidth="1" min="4" max="4"/>
    <col width="11" customWidth="1" min="5" max="5"/>
    <col width="13"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3" customWidth="1" min="31" max="31"/>
  </cols>
  <sheetData>
    <row r="1" ht="24" customHeight="1">
      <c r="A1" s="1" t="inlineStr">
        <is>
          <t>Costos fijos mensuales por centro de costo</t>
        </is>
      </c>
    </row>
    <row r="2">
      <c r="A2" s="2" t="inlineStr">
        <is>
          <t>La columna «Valor base» se copia a cada mes. Si el gasto real de un mes fue distinto, escriba el valor real en la celda de ese mes. Las filas en negro se calculan solas.</t>
        </is>
      </c>
    </row>
    <row r="5" ht="42" customHeight="1">
      <c r="A5" s="5" t="inlineStr">
        <is>
          <t>Código</t>
        </is>
      </c>
      <c r="B5" s="5" t="inlineStr">
        <is>
          <t>Concepto</t>
        </is>
      </c>
      <c r="C5" s="5" t="inlineStr">
        <is>
          <t>Centro de costo</t>
        </is>
      </c>
      <c r="D5" s="5" t="inlineStr">
        <is>
          <t>Elemento de gasto</t>
        </is>
      </c>
      <c r="E5" s="5" t="inlineStr">
        <is>
          <t>¿Salario de trabajador propio?</t>
        </is>
      </c>
      <c r="F5" s="5" t="inlineStr">
        <is>
          <t>Valor base mensual (USD)</t>
        </is>
      </c>
      <c r="G5" s="58">
        <f>EDATE(Fecha_Inicio,0)</f>
        <v>46266.0</v>
      </c>
      <c r="H5" s="58">
        <f>EDATE(Fecha_Inicio,1)</f>
        <v>46296.0</v>
      </c>
      <c r="I5" s="58">
        <f>EDATE(Fecha_Inicio,2)</f>
        <v>46327.0</v>
      </c>
      <c r="J5" s="58">
        <f>EDATE(Fecha_Inicio,3)</f>
        <v>46357.0</v>
      </c>
      <c r="K5" s="58">
        <f>EDATE(Fecha_Inicio,4)</f>
        <v>46388.0</v>
      </c>
      <c r="L5" s="58">
        <f>EDATE(Fecha_Inicio,5)</f>
        <v>46419.0</v>
      </c>
      <c r="M5" s="58">
        <f>EDATE(Fecha_Inicio,6)</f>
        <v>46447.0</v>
      </c>
      <c r="N5" s="58">
        <f>EDATE(Fecha_Inicio,7)</f>
        <v>46478.0</v>
      </c>
      <c r="O5" s="58">
        <f>EDATE(Fecha_Inicio,8)</f>
        <v>46508.0</v>
      </c>
      <c r="P5" s="58">
        <f>EDATE(Fecha_Inicio,9)</f>
        <v>46539.0</v>
      </c>
      <c r="Q5" s="58">
        <f>EDATE(Fecha_Inicio,10)</f>
        <v>46569.0</v>
      </c>
      <c r="R5" s="58">
        <f>EDATE(Fecha_Inicio,11)</f>
        <v>46600.0</v>
      </c>
      <c r="S5" s="58">
        <f>EDATE(Fecha_Inicio,12)</f>
        <v>46631.0</v>
      </c>
      <c r="T5" s="58">
        <f>EDATE(Fecha_Inicio,13)</f>
        <v>46661.0</v>
      </c>
      <c r="U5" s="58">
        <f>EDATE(Fecha_Inicio,14)</f>
        <v>46692.0</v>
      </c>
      <c r="V5" s="58">
        <f>EDATE(Fecha_Inicio,15)</f>
        <v>46722.0</v>
      </c>
      <c r="W5" s="58">
        <f>EDATE(Fecha_Inicio,16)</f>
        <v>46753.0</v>
      </c>
      <c r="X5" s="58">
        <f>EDATE(Fecha_Inicio,17)</f>
        <v>46784.0</v>
      </c>
      <c r="Y5" s="58">
        <f>EDATE(Fecha_Inicio,18)</f>
        <v>46813.0</v>
      </c>
      <c r="Z5" s="58">
        <f>EDATE(Fecha_Inicio,19)</f>
        <v>46844.0</v>
      </c>
      <c r="AA5" s="58">
        <f>EDATE(Fecha_Inicio,20)</f>
        <v>46874.0</v>
      </c>
      <c r="AB5" s="58">
        <f>EDATE(Fecha_Inicio,21)</f>
        <v>46905.0</v>
      </c>
      <c r="AC5" s="58">
        <f>EDATE(Fecha_Inicio,22)</f>
        <v>46935.0</v>
      </c>
      <c r="AD5" s="58">
        <f>EDATE(Fecha_Inicio,23)</f>
        <v>46966.0</v>
      </c>
      <c r="AE5" s="5" t="inlineStr">
        <is>
          <t>Total período</t>
        </is>
      </c>
    </row>
    <row r="6">
      <c r="A6" s="8" t="inlineStr">
        <is>
          <t>CF01</t>
        </is>
      </c>
      <c r="B6" s="43" t="inlineStr">
        <is>
          <t>Salario del chofer del vehículo propio (puerto)</t>
        </is>
      </c>
      <c r="C6" s="43" t="inlineStr">
        <is>
          <t>GENERAL</t>
        </is>
      </c>
      <c r="D6" s="43" t="inlineStr">
        <is>
          <t>Gastos de fuerza de trabajo</t>
        </is>
      </c>
      <c r="E6" s="43" t="inlineStr">
        <is>
          <t>Sí</t>
        </is>
      </c>
      <c r="F6" s="46" t="n">
        <v>60</v>
      </c>
      <c r="G6" s="46">
        <f>$F6</f>
        <v>60</v>
      </c>
      <c r="H6" s="46">
        <f>$F6</f>
        <v>60</v>
      </c>
      <c r="I6" s="46">
        <f>$F6</f>
        <v>60</v>
      </c>
      <c r="J6" s="46">
        <f>$F6</f>
        <v>60</v>
      </c>
      <c r="K6" s="46">
        <f>$F6</f>
        <v>60</v>
      </c>
      <c r="L6" s="46">
        <f>$F6</f>
        <v>60</v>
      </c>
      <c r="M6" s="46">
        <f>$F6</f>
        <v>60</v>
      </c>
      <c r="N6" s="46">
        <f>$F6</f>
        <v>60</v>
      </c>
      <c r="O6" s="46">
        <f>$F6</f>
        <v>60</v>
      </c>
      <c r="P6" s="46">
        <f>$F6</f>
        <v>60</v>
      </c>
      <c r="Q6" s="46">
        <f>$F6</f>
        <v>60</v>
      </c>
      <c r="R6" s="46">
        <f>$F6</f>
        <v>60</v>
      </c>
      <c r="S6" s="46">
        <f>$F6</f>
        <v>60</v>
      </c>
      <c r="T6" s="46">
        <f>$F6</f>
        <v>60</v>
      </c>
      <c r="U6" s="46">
        <f>$F6</f>
        <v>60</v>
      </c>
      <c r="V6" s="46">
        <f>$F6</f>
        <v>60</v>
      </c>
      <c r="W6" s="46">
        <f>$F6</f>
        <v>60</v>
      </c>
      <c r="X6" s="46">
        <f>$F6</f>
        <v>60</v>
      </c>
      <c r="Y6" s="46">
        <f>$F6</f>
        <v>60</v>
      </c>
      <c r="Z6" s="46">
        <f>$F6</f>
        <v>60</v>
      </c>
      <c r="AA6" s="46">
        <f>$F6</f>
        <v>60</v>
      </c>
      <c r="AB6" s="46">
        <f>$F6</f>
        <v>60</v>
      </c>
      <c r="AC6" s="46">
        <f>$F6</f>
        <v>60</v>
      </c>
      <c r="AD6" s="46">
        <f>$F6</f>
        <v>60</v>
      </c>
      <c r="AE6" s="59">
        <f>SUM(G6:AD6)</f>
        <v>1440</v>
      </c>
    </row>
    <row r="7">
      <c r="A7" s="8" t="inlineStr">
        <is>
          <t>CF02</t>
        </is>
      </c>
      <c r="B7" s="43" t="inlineStr">
        <is>
          <t>Salarios de dirección, economía y contabilidad</t>
        </is>
      </c>
      <c r="C7" s="43" t="inlineStr">
        <is>
          <t>GENERAL</t>
        </is>
      </c>
      <c r="D7" s="43" t="inlineStr">
        <is>
          <t>Gastos de fuerza de trabajo</t>
        </is>
      </c>
      <c r="E7" s="43" t="inlineStr">
        <is>
          <t>Sí</t>
        </is>
      </c>
      <c r="F7" s="46" t="n">
        <v>250</v>
      </c>
      <c r="G7" s="46">
        <f>$F7</f>
        <v>250</v>
      </c>
      <c r="H7" s="46">
        <f>$F7</f>
        <v>250</v>
      </c>
      <c r="I7" s="46">
        <f>$F7</f>
        <v>250</v>
      </c>
      <c r="J7" s="46">
        <f>$F7</f>
        <v>250</v>
      </c>
      <c r="K7" s="46">
        <f>$F7</f>
        <v>250</v>
      </c>
      <c r="L7" s="46">
        <f>$F7</f>
        <v>250</v>
      </c>
      <c r="M7" s="46">
        <f>$F7</f>
        <v>250</v>
      </c>
      <c r="N7" s="46">
        <f>$F7</f>
        <v>250</v>
      </c>
      <c r="O7" s="46">
        <f>$F7</f>
        <v>250</v>
      </c>
      <c r="P7" s="46">
        <f>$F7</f>
        <v>250</v>
      </c>
      <c r="Q7" s="46">
        <f>$F7</f>
        <v>250</v>
      </c>
      <c r="R7" s="46">
        <f>$F7</f>
        <v>250</v>
      </c>
      <c r="S7" s="46">
        <f>$F7</f>
        <v>250</v>
      </c>
      <c r="T7" s="46">
        <f>$F7</f>
        <v>250</v>
      </c>
      <c r="U7" s="46">
        <f>$F7</f>
        <v>250</v>
      </c>
      <c r="V7" s="46">
        <f>$F7</f>
        <v>250</v>
      </c>
      <c r="W7" s="46">
        <f>$F7</f>
        <v>250</v>
      </c>
      <c r="X7" s="46">
        <f>$F7</f>
        <v>250</v>
      </c>
      <c r="Y7" s="46">
        <f>$F7</f>
        <v>250</v>
      </c>
      <c r="Z7" s="46">
        <f>$F7</f>
        <v>250</v>
      </c>
      <c r="AA7" s="46">
        <f>$F7</f>
        <v>250</v>
      </c>
      <c r="AB7" s="46">
        <f>$F7</f>
        <v>250</v>
      </c>
      <c r="AC7" s="46">
        <f>$F7</f>
        <v>250</v>
      </c>
      <c r="AD7" s="46">
        <f>$F7</f>
        <v>250</v>
      </c>
      <c r="AE7" s="59">
        <f>SUM(G7:AD7)</f>
        <v>6000</v>
      </c>
    </row>
    <row r="8">
      <c r="A8" s="8" t="inlineStr">
        <is>
          <t>CF03</t>
        </is>
      </c>
      <c r="B8" s="8" t="inlineStr">
        <is>
          <t>Comercialización – parte fija (21 gestores, desde COMERCIAL)</t>
        </is>
      </c>
      <c r="C8" s="43" t="inlineStr">
        <is>
          <t>GENERAL</t>
        </is>
      </c>
      <c r="D8" s="43" t="inlineStr">
        <is>
          <t>Gastos de fuerza de trabajo</t>
        </is>
      </c>
      <c r="E8" s="43" t="inlineStr">
        <is>
          <t>Sí</t>
        </is>
      </c>
      <c r="F8" s="48">
        <f>COMERCIAL!F33</f>
        <v>1050</v>
      </c>
      <c r="G8" s="46">
        <f>$F8</f>
        <v>1050</v>
      </c>
      <c r="H8" s="46">
        <f>$F8</f>
        <v>1050</v>
      </c>
      <c r="I8" s="46">
        <f>$F8</f>
        <v>1050</v>
      </c>
      <c r="J8" s="46">
        <f>$F8</f>
        <v>1050</v>
      </c>
      <c r="K8" s="46">
        <f>$F8</f>
        <v>1050</v>
      </c>
      <c r="L8" s="46">
        <f>$F8</f>
        <v>1050</v>
      </c>
      <c r="M8" s="46">
        <f>$F8</f>
        <v>1050</v>
      </c>
      <c r="N8" s="46">
        <f>$F8</f>
        <v>1050</v>
      </c>
      <c r="O8" s="46">
        <f>$F8</f>
        <v>1050</v>
      </c>
      <c r="P8" s="46">
        <f>$F8</f>
        <v>1050</v>
      </c>
      <c r="Q8" s="46">
        <f>$F8</f>
        <v>1050</v>
      </c>
      <c r="R8" s="46">
        <f>$F8</f>
        <v>1050</v>
      </c>
      <c r="S8" s="46">
        <f>$F8</f>
        <v>1050</v>
      </c>
      <c r="T8" s="46">
        <f>$F8</f>
        <v>1050</v>
      </c>
      <c r="U8" s="46">
        <f>$F8</f>
        <v>1050</v>
      </c>
      <c r="V8" s="46">
        <f>$F8</f>
        <v>1050</v>
      </c>
      <c r="W8" s="46">
        <f>$F8</f>
        <v>1050</v>
      </c>
      <c r="X8" s="46">
        <f>$F8</f>
        <v>1050</v>
      </c>
      <c r="Y8" s="46">
        <f>$F8</f>
        <v>1050</v>
      </c>
      <c r="Z8" s="46">
        <f>$F8</f>
        <v>1050</v>
      </c>
      <c r="AA8" s="46">
        <f>$F8</f>
        <v>1050</v>
      </c>
      <c r="AB8" s="46">
        <f>$F8</f>
        <v>1050</v>
      </c>
      <c r="AC8" s="46">
        <f>$F8</f>
        <v>1050</v>
      </c>
      <c r="AD8" s="46">
        <f>$F8</f>
        <v>1050</v>
      </c>
      <c r="AE8" s="59">
        <f>SUM(G8:AD8)</f>
        <v>25200</v>
      </c>
    </row>
    <row r="9">
      <c r="A9" s="8" t="inlineStr">
        <is>
          <t>CF04</t>
        </is>
      </c>
      <c r="B9" s="43" t="inlineStr">
        <is>
          <t>Alquiler de local / almacén</t>
        </is>
      </c>
      <c r="C9" s="43" t="inlineStr">
        <is>
          <t>GENERAL</t>
        </is>
      </c>
      <c r="D9" s="43" t="inlineStr">
        <is>
          <t>Otros gastos monetarios</t>
        </is>
      </c>
      <c r="E9" s="43" t="inlineStr">
        <is>
          <t>No</t>
        </is>
      </c>
      <c r="F9" s="46" t="n">
        <v>200</v>
      </c>
      <c r="G9" s="46">
        <f>$F9</f>
        <v>200</v>
      </c>
      <c r="H9" s="46">
        <f>$F9</f>
        <v>200</v>
      </c>
      <c r="I9" s="46">
        <f>$F9</f>
        <v>200</v>
      </c>
      <c r="J9" s="46">
        <f>$F9</f>
        <v>200</v>
      </c>
      <c r="K9" s="46">
        <f>$F9</f>
        <v>200</v>
      </c>
      <c r="L9" s="46">
        <f>$F9</f>
        <v>200</v>
      </c>
      <c r="M9" s="46">
        <f>$F9</f>
        <v>200</v>
      </c>
      <c r="N9" s="46">
        <f>$F9</f>
        <v>200</v>
      </c>
      <c r="O9" s="46">
        <f>$F9</f>
        <v>200</v>
      </c>
      <c r="P9" s="46">
        <f>$F9</f>
        <v>200</v>
      </c>
      <c r="Q9" s="46">
        <f>$F9</f>
        <v>200</v>
      </c>
      <c r="R9" s="46">
        <f>$F9</f>
        <v>200</v>
      </c>
      <c r="S9" s="46">
        <f>$F9</f>
        <v>200</v>
      </c>
      <c r="T9" s="46">
        <f>$F9</f>
        <v>200</v>
      </c>
      <c r="U9" s="46">
        <f>$F9</f>
        <v>200</v>
      </c>
      <c r="V9" s="46">
        <f>$F9</f>
        <v>200</v>
      </c>
      <c r="W9" s="46">
        <f>$F9</f>
        <v>200</v>
      </c>
      <c r="X9" s="46">
        <f>$F9</f>
        <v>200</v>
      </c>
      <c r="Y9" s="46">
        <f>$F9</f>
        <v>200</v>
      </c>
      <c r="Z9" s="46">
        <f>$F9</f>
        <v>200</v>
      </c>
      <c r="AA9" s="46">
        <f>$F9</f>
        <v>200</v>
      </c>
      <c r="AB9" s="46">
        <f>$F9</f>
        <v>200</v>
      </c>
      <c r="AC9" s="46">
        <f>$F9</f>
        <v>200</v>
      </c>
      <c r="AD9" s="46">
        <f>$F9</f>
        <v>200</v>
      </c>
      <c r="AE9" s="59">
        <f>SUM(G9:AD9)</f>
        <v>4800</v>
      </c>
    </row>
    <row r="10">
      <c r="A10" s="8" t="inlineStr">
        <is>
          <t>CF05</t>
        </is>
      </c>
      <c r="B10" s="43" t="inlineStr">
        <is>
          <t>Electricidad y agua</t>
        </is>
      </c>
      <c r="C10" s="43" t="inlineStr">
        <is>
          <t>GENERAL</t>
        </is>
      </c>
      <c r="D10" s="43" t="inlineStr">
        <is>
          <t>Energía</t>
        </is>
      </c>
      <c r="E10" s="43" t="inlineStr">
        <is>
          <t>No</t>
        </is>
      </c>
      <c r="F10" s="46" t="n">
        <v>40</v>
      </c>
      <c r="G10" s="46">
        <f>$F10</f>
        <v>40</v>
      </c>
      <c r="H10" s="46">
        <f>$F10</f>
        <v>40</v>
      </c>
      <c r="I10" s="46">
        <f>$F10</f>
        <v>40</v>
      </c>
      <c r="J10" s="46">
        <f>$F10</f>
        <v>40</v>
      </c>
      <c r="K10" s="46">
        <f>$F10</f>
        <v>40</v>
      </c>
      <c r="L10" s="46">
        <f>$F10</f>
        <v>40</v>
      </c>
      <c r="M10" s="46">
        <f>$F10</f>
        <v>40</v>
      </c>
      <c r="N10" s="46">
        <f>$F10</f>
        <v>40</v>
      </c>
      <c r="O10" s="46">
        <f>$F10</f>
        <v>40</v>
      </c>
      <c r="P10" s="46">
        <f>$F10</f>
        <v>40</v>
      </c>
      <c r="Q10" s="46">
        <f>$F10</f>
        <v>40</v>
      </c>
      <c r="R10" s="46">
        <f>$F10</f>
        <v>40</v>
      </c>
      <c r="S10" s="46">
        <f>$F10</f>
        <v>40</v>
      </c>
      <c r="T10" s="46">
        <f>$F10</f>
        <v>40</v>
      </c>
      <c r="U10" s="46">
        <f>$F10</f>
        <v>40</v>
      </c>
      <c r="V10" s="46">
        <f>$F10</f>
        <v>40</v>
      </c>
      <c r="W10" s="46">
        <f>$F10</f>
        <v>40</v>
      </c>
      <c r="X10" s="46">
        <f>$F10</f>
        <v>40</v>
      </c>
      <c r="Y10" s="46">
        <f>$F10</f>
        <v>40</v>
      </c>
      <c r="Z10" s="46">
        <f>$F10</f>
        <v>40</v>
      </c>
      <c r="AA10" s="46">
        <f>$F10</f>
        <v>40</v>
      </c>
      <c r="AB10" s="46">
        <f>$F10</f>
        <v>40</v>
      </c>
      <c r="AC10" s="46">
        <f>$F10</f>
        <v>40</v>
      </c>
      <c r="AD10" s="46">
        <f>$F10</f>
        <v>40</v>
      </c>
      <c r="AE10" s="59">
        <f>SUM(G10:AD10)</f>
        <v>960</v>
      </c>
    </row>
    <row r="11">
      <c r="A11" s="8" t="inlineStr">
        <is>
          <t>CF06</t>
        </is>
      </c>
      <c r="B11" s="43" t="inlineStr">
        <is>
          <t>Comunicaciones (teléfono, internet)</t>
        </is>
      </c>
      <c r="C11" s="43" t="inlineStr">
        <is>
          <t>GENERAL</t>
        </is>
      </c>
      <c r="D11" s="43" t="inlineStr">
        <is>
          <t>Otros gastos monetarios</t>
        </is>
      </c>
      <c r="E11" s="43" t="inlineStr">
        <is>
          <t>No</t>
        </is>
      </c>
      <c r="F11" s="46" t="n">
        <v>30</v>
      </c>
      <c r="G11" s="46">
        <f>$F11</f>
        <v>30</v>
      </c>
      <c r="H11" s="46">
        <f>$F11</f>
        <v>30</v>
      </c>
      <c r="I11" s="46">
        <f>$F11</f>
        <v>30</v>
      </c>
      <c r="J11" s="46">
        <f>$F11</f>
        <v>30</v>
      </c>
      <c r="K11" s="46">
        <f>$F11</f>
        <v>30</v>
      </c>
      <c r="L11" s="46">
        <f>$F11</f>
        <v>30</v>
      </c>
      <c r="M11" s="46">
        <f>$F11</f>
        <v>30</v>
      </c>
      <c r="N11" s="46">
        <f>$F11</f>
        <v>30</v>
      </c>
      <c r="O11" s="46">
        <f>$F11</f>
        <v>30</v>
      </c>
      <c r="P11" s="46">
        <f>$F11</f>
        <v>30</v>
      </c>
      <c r="Q11" s="46">
        <f>$F11</f>
        <v>30</v>
      </c>
      <c r="R11" s="46">
        <f>$F11</f>
        <v>30</v>
      </c>
      <c r="S11" s="46">
        <f>$F11</f>
        <v>30</v>
      </c>
      <c r="T11" s="46">
        <f>$F11</f>
        <v>30</v>
      </c>
      <c r="U11" s="46">
        <f>$F11</f>
        <v>30</v>
      </c>
      <c r="V11" s="46">
        <f>$F11</f>
        <v>30</v>
      </c>
      <c r="W11" s="46">
        <f>$F11</f>
        <v>30</v>
      </c>
      <c r="X11" s="46">
        <f>$F11</f>
        <v>30</v>
      </c>
      <c r="Y11" s="46">
        <f>$F11</f>
        <v>30</v>
      </c>
      <c r="Z11" s="46">
        <f>$F11</f>
        <v>30</v>
      </c>
      <c r="AA11" s="46">
        <f>$F11</f>
        <v>30</v>
      </c>
      <c r="AB11" s="46">
        <f>$F11</f>
        <v>30</v>
      </c>
      <c r="AC11" s="46">
        <f>$F11</f>
        <v>30</v>
      </c>
      <c r="AD11" s="46">
        <f>$F11</f>
        <v>30</v>
      </c>
      <c r="AE11" s="59">
        <f>SUM(G11:AD11)</f>
        <v>720</v>
      </c>
    </row>
    <row r="12">
      <c r="A12" s="8" t="inlineStr">
        <is>
          <t>CF07</t>
        </is>
      </c>
      <c r="B12" s="43" t="inlineStr">
        <is>
          <t>Materiales de oficina y limpieza</t>
        </is>
      </c>
      <c r="C12" s="43" t="inlineStr">
        <is>
          <t>GENERAL</t>
        </is>
      </c>
      <c r="D12" s="43" t="inlineStr">
        <is>
          <t>Materias primas y materiales</t>
        </is>
      </c>
      <c r="E12" s="43" t="inlineStr">
        <is>
          <t>No</t>
        </is>
      </c>
      <c r="F12" s="46" t="n">
        <v>15</v>
      </c>
      <c r="G12" s="46">
        <f>$F12</f>
        <v>15</v>
      </c>
      <c r="H12" s="46">
        <f>$F12</f>
        <v>15</v>
      </c>
      <c r="I12" s="46">
        <f>$F12</f>
        <v>15</v>
      </c>
      <c r="J12" s="46">
        <f>$F12</f>
        <v>15</v>
      </c>
      <c r="K12" s="46">
        <f>$F12</f>
        <v>15</v>
      </c>
      <c r="L12" s="46">
        <f>$F12</f>
        <v>15</v>
      </c>
      <c r="M12" s="46">
        <f>$F12</f>
        <v>15</v>
      </c>
      <c r="N12" s="46">
        <f>$F12</f>
        <v>15</v>
      </c>
      <c r="O12" s="46">
        <f>$F12</f>
        <v>15</v>
      </c>
      <c r="P12" s="46">
        <f>$F12</f>
        <v>15</v>
      </c>
      <c r="Q12" s="46">
        <f>$F12</f>
        <v>15</v>
      </c>
      <c r="R12" s="46">
        <f>$F12</f>
        <v>15</v>
      </c>
      <c r="S12" s="46">
        <f>$F12</f>
        <v>15</v>
      </c>
      <c r="T12" s="46">
        <f>$F12</f>
        <v>15</v>
      </c>
      <c r="U12" s="46">
        <f>$F12</f>
        <v>15</v>
      </c>
      <c r="V12" s="46">
        <f>$F12</f>
        <v>15</v>
      </c>
      <c r="W12" s="46">
        <f>$F12</f>
        <v>15</v>
      </c>
      <c r="X12" s="46">
        <f>$F12</f>
        <v>15</v>
      </c>
      <c r="Y12" s="46">
        <f>$F12</f>
        <v>15</v>
      </c>
      <c r="Z12" s="46">
        <f>$F12</f>
        <v>15</v>
      </c>
      <c r="AA12" s="46">
        <f>$F12</f>
        <v>15</v>
      </c>
      <c r="AB12" s="46">
        <f>$F12</f>
        <v>15</v>
      </c>
      <c r="AC12" s="46">
        <f>$F12</f>
        <v>15</v>
      </c>
      <c r="AD12" s="46">
        <f>$F12</f>
        <v>15</v>
      </c>
      <c r="AE12" s="59">
        <f>SUM(G12:AD12)</f>
        <v>360</v>
      </c>
    </row>
    <row r="13">
      <c r="A13" s="8" t="inlineStr">
        <is>
          <t>CF08</t>
        </is>
      </c>
      <c r="B13" s="43" t="inlineStr">
        <is>
          <t>Servicios contables, legales y otros externos</t>
        </is>
      </c>
      <c r="C13" s="43" t="inlineStr">
        <is>
          <t>GENERAL</t>
        </is>
      </c>
      <c r="D13" s="43" t="inlineStr">
        <is>
          <t>Otros gastos monetarios</t>
        </is>
      </c>
      <c r="E13" s="43" t="inlineStr">
        <is>
          <t>No</t>
        </is>
      </c>
      <c r="F13" s="46" t="n">
        <v>50</v>
      </c>
      <c r="G13" s="46">
        <f>$F13</f>
        <v>50</v>
      </c>
      <c r="H13" s="46">
        <f>$F13</f>
        <v>50</v>
      </c>
      <c r="I13" s="46">
        <f>$F13</f>
        <v>50</v>
      </c>
      <c r="J13" s="46">
        <f>$F13</f>
        <v>50</v>
      </c>
      <c r="K13" s="46">
        <f>$F13</f>
        <v>50</v>
      </c>
      <c r="L13" s="46">
        <f>$F13</f>
        <v>50</v>
      </c>
      <c r="M13" s="46">
        <f>$F13</f>
        <v>50</v>
      </c>
      <c r="N13" s="46">
        <f>$F13</f>
        <v>50</v>
      </c>
      <c r="O13" s="46">
        <f>$F13</f>
        <v>50</v>
      </c>
      <c r="P13" s="46">
        <f>$F13</f>
        <v>50</v>
      </c>
      <c r="Q13" s="46">
        <f>$F13</f>
        <v>50</v>
      </c>
      <c r="R13" s="46">
        <f>$F13</f>
        <v>50</v>
      </c>
      <c r="S13" s="46">
        <f>$F13</f>
        <v>50</v>
      </c>
      <c r="T13" s="46">
        <f>$F13</f>
        <v>50</v>
      </c>
      <c r="U13" s="46">
        <f>$F13</f>
        <v>50</v>
      </c>
      <c r="V13" s="46">
        <f>$F13</f>
        <v>50</v>
      </c>
      <c r="W13" s="46">
        <f>$F13</f>
        <v>50</v>
      </c>
      <c r="X13" s="46">
        <f>$F13</f>
        <v>50</v>
      </c>
      <c r="Y13" s="46">
        <f>$F13</f>
        <v>50</v>
      </c>
      <c r="Z13" s="46">
        <f>$F13</f>
        <v>50</v>
      </c>
      <c r="AA13" s="46">
        <f>$F13</f>
        <v>50</v>
      </c>
      <c r="AB13" s="46">
        <f>$F13</f>
        <v>50</v>
      </c>
      <c r="AC13" s="46">
        <f>$F13</f>
        <v>50</v>
      </c>
      <c r="AD13" s="46">
        <f>$F13</f>
        <v>50</v>
      </c>
      <c r="AE13" s="59">
        <f>SUM(G13:AD13)</f>
        <v>1200</v>
      </c>
    </row>
    <row r="14">
      <c r="A14" s="8" t="inlineStr">
        <is>
          <t>CF09</t>
        </is>
      </c>
      <c r="B14" s="43" t="inlineStr">
        <is>
          <t>Gastos bancarios fijos (mantenimiento de cuenta)</t>
        </is>
      </c>
      <c r="C14" s="43" t="inlineStr">
        <is>
          <t>GENERAL</t>
        </is>
      </c>
      <c r="D14" s="43" t="inlineStr">
        <is>
          <t>Otros gastos monetarios</t>
        </is>
      </c>
      <c r="E14" s="43" t="inlineStr">
        <is>
          <t>No</t>
        </is>
      </c>
      <c r="F14" s="46" t="n">
        <v>10</v>
      </c>
      <c r="G14" s="46">
        <f>$F14</f>
        <v>10</v>
      </c>
      <c r="H14" s="46">
        <f>$F14</f>
        <v>10</v>
      </c>
      <c r="I14" s="46">
        <f>$F14</f>
        <v>10</v>
      </c>
      <c r="J14" s="46">
        <f>$F14</f>
        <v>10</v>
      </c>
      <c r="K14" s="46">
        <f>$F14</f>
        <v>10</v>
      </c>
      <c r="L14" s="46">
        <f>$F14</f>
        <v>10</v>
      </c>
      <c r="M14" s="46">
        <f>$F14</f>
        <v>10</v>
      </c>
      <c r="N14" s="46">
        <f>$F14</f>
        <v>10</v>
      </c>
      <c r="O14" s="46">
        <f>$F14</f>
        <v>10</v>
      </c>
      <c r="P14" s="46">
        <f>$F14</f>
        <v>10</v>
      </c>
      <c r="Q14" s="46">
        <f>$F14</f>
        <v>10</v>
      </c>
      <c r="R14" s="46">
        <f>$F14</f>
        <v>10</v>
      </c>
      <c r="S14" s="46">
        <f>$F14</f>
        <v>10</v>
      </c>
      <c r="T14" s="46">
        <f>$F14</f>
        <v>10</v>
      </c>
      <c r="U14" s="46">
        <f>$F14</f>
        <v>10</v>
      </c>
      <c r="V14" s="46">
        <f>$F14</f>
        <v>10</v>
      </c>
      <c r="W14" s="46">
        <f>$F14</f>
        <v>10</v>
      </c>
      <c r="X14" s="46">
        <f>$F14</f>
        <v>10</v>
      </c>
      <c r="Y14" s="46">
        <f>$F14</f>
        <v>10</v>
      </c>
      <c r="Z14" s="46">
        <f>$F14</f>
        <v>10</v>
      </c>
      <c r="AA14" s="46">
        <f>$F14</f>
        <v>10</v>
      </c>
      <c r="AB14" s="46">
        <f>$F14</f>
        <v>10</v>
      </c>
      <c r="AC14" s="46">
        <f>$F14</f>
        <v>10</v>
      </c>
      <c r="AD14" s="46">
        <f>$F14</f>
        <v>10</v>
      </c>
      <c r="AE14" s="59">
        <f>SUM(G14:AD14)</f>
        <v>240</v>
      </c>
    </row>
    <row r="15">
      <c r="A15" s="8" t="inlineStr">
        <is>
          <t>CF10</t>
        </is>
      </c>
      <c r="B15" s="8" t="inlineStr">
        <is>
          <t>Depreciación de activos fijos (desde ACTIVOS)</t>
        </is>
      </c>
      <c r="C15" s="43" t="inlineStr">
        <is>
          <t>GENERAL</t>
        </is>
      </c>
      <c r="D15" s="43" t="inlineStr">
        <is>
          <t>Depreciación y amortización</t>
        </is>
      </c>
      <c r="E15" s="43" t="inlineStr">
        <is>
          <t>No</t>
        </is>
      </c>
      <c r="F15" s="48">
        <f>ACTIVOS!I16</f>
        <v>441.666666666667</v>
      </c>
      <c r="G15" s="55">
        <f>SUMPRODUCT((ACTIVOS!$D$6:$D$15&gt;0)*(ACTIVOS!$D$6:$D$15&lt;=EOMONTH(G$5,0))*(((ACTIVOS!$K$6:$K$15=0)+(ACTIVOS!$K$6:$K$15&gt;G$5))&gt;0)*(ACTIVOS!$J$6:$J$15&gt;G$5)*ACTIVOS!$I$6:$I$15)</f>
        <v>441.666666666667</v>
      </c>
      <c r="H15" s="55">
        <f>SUMPRODUCT((ACTIVOS!$D$6:$D$15&gt;0)*(ACTIVOS!$D$6:$D$15&lt;=EOMONTH(H$5,0))*(((ACTIVOS!$K$6:$K$15=0)+(ACTIVOS!$K$6:$K$15&gt;H$5))&gt;0)*(ACTIVOS!$J$6:$J$15&gt;H$5)*ACTIVOS!$I$6:$I$15)</f>
        <v>441.666666666667</v>
      </c>
      <c r="I15" s="55">
        <f>SUMPRODUCT((ACTIVOS!$D$6:$D$15&gt;0)*(ACTIVOS!$D$6:$D$15&lt;=EOMONTH(I$5,0))*(((ACTIVOS!$K$6:$K$15=0)+(ACTIVOS!$K$6:$K$15&gt;I$5))&gt;0)*(ACTIVOS!$J$6:$J$15&gt;I$5)*ACTIVOS!$I$6:$I$15)</f>
        <v>441.666666666667</v>
      </c>
      <c r="J15" s="55">
        <f>SUMPRODUCT((ACTIVOS!$D$6:$D$15&gt;0)*(ACTIVOS!$D$6:$D$15&lt;=EOMONTH(J$5,0))*(((ACTIVOS!$K$6:$K$15=0)+(ACTIVOS!$K$6:$K$15&gt;J$5))&gt;0)*(ACTIVOS!$J$6:$J$15&gt;J$5)*ACTIVOS!$I$6:$I$15)</f>
        <v>441.666666666667</v>
      </c>
      <c r="K15" s="55">
        <f>SUMPRODUCT((ACTIVOS!$D$6:$D$15&gt;0)*(ACTIVOS!$D$6:$D$15&lt;=EOMONTH(K$5,0))*(((ACTIVOS!$K$6:$K$15=0)+(ACTIVOS!$K$6:$K$15&gt;K$5))&gt;0)*(ACTIVOS!$J$6:$J$15&gt;K$5)*ACTIVOS!$I$6:$I$15)</f>
        <v>441.666666666667</v>
      </c>
      <c r="L15" s="55">
        <f>SUMPRODUCT((ACTIVOS!$D$6:$D$15&gt;0)*(ACTIVOS!$D$6:$D$15&lt;=EOMONTH(L$5,0))*(((ACTIVOS!$K$6:$K$15=0)+(ACTIVOS!$K$6:$K$15&gt;L$5))&gt;0)*(ACTIVOS!$J$6:$J$15&gt;L$5)*ACTIVOS!$I$6:$I$15)</f>
        <v>441.666666666667</v>
      </c>
      <c r="M15" s="55">
        <f>SUMPRODUCT((ACTIVOS!$D$6:$D$15&gt;0)*(ACTIVOS!$D$6:$D$15&lt;=EOMONTH(M$5,0))*(((ACTIVOS!$K$6:$K$15=0)+(ACTIVOS!$K$6:$K$15&gt;M$5))&gt;0)*(ACTIVOS!$J$6:$J$15&gt;M$5)*ACTIVOS!$I$6:$I$15)</f>
        <v>441.666666666667</v>
      </c>
      <c r="N15" s="55">
        <f>SUMPRODUCT((ACTIVOS!$D$6:$D$15&gt;0)*(ACTIVOS!$D$6:$D$15&lt;=EOMONTH(N$5,0))*(((ACTIVOS!$K$6:$K$15=0)+(ACTIVOS!$K$6:$K$15&gt;N$5))&gt;0)*(ACTIVOS!$J$6:$J$15&gt;N$5)*ACTIVOS!$I$6:$I$15)</f>
        <v>441.666666666667</v>
      </c>
      <c r="O15" s="55">
        <f>SUMPRODUCT((ACTIVOS!$D$6:$D$15&gt;0)*(ACTIVOS!$D$6:$D$15&lt;=EOMONTH(O$5,0))*(((ACTIVOS!$K$6:$K$15=0)+(ACTIVOS!$K$6:$K$15&gt;O$5))&gt;0)*(ACTIVOS!$J$6:$J$15&gt;O$5)*ACTIVOS!$I$6:$I$15)</f>
        <v>441.666666666667</v>
      </c>
      <c r="P15" s="55">
        <f>SUMPRODUCT((ACTIVOS!$D$6:$D$15&gt;0)*(ACTIVOS!$D$6:$D$15&lt;=EOMONTH(P$5,0))*(((ACTIVOS!$K$6:$K$15=0)+(ACTIVOS!$K$6:$K$15&gt;P$5))&gt;0)*(ACTIVOS!$J$6:$J$15&gt;P$5)*ACTIVOS!$I$6:$I$15)</f>
        <v>441.666666666667</v>
      </c>
      <c r="Q15" s="55">
        <f>SUMPRODUCT((ACTIVOS!$D$6:$D$15&gt;0)*(ACTIVOS!$D$6:$D$15&lt;=EOMONTH(Q$5,0))*(((ACTIVOS!$K$6:$K$15=0)+(ACTIVOS!$K$6:$K$15&gt;Q$5))&gt;0)*(ACTIVOS!$J$6:$J$15&gt;Q$5)*ACTIVOS!$I$6:$I$15)</f>
        <v>441.666666666667</v>
      </c>
      <c r="R15" s="55">
        <f>SUMPRODUCT((ACTIVOS!$D$6:$D$15&gt;0)*(ACTIVOS!$D$6:$D$15&lt;=EOMONTH(R$5,0))*(((ACTIVOS!$K$6:$K$15=0)+(ACTIVOS!$K$6:$K$15&gt;R$5))&gt;0)*(ACTIVOS!$J$6:$J$15&gt;R$5)*ACTIVOS!$I$6:$I$15)</f>
        <v>441.666666666667</v>
      </c>
      <c r="S15" s="55">
        <f>SUMPRODUCT((ACTIVOS!$D$6:$D$15&gt;0)*(ACTIVOS!$D$6:$D$15&lt;=EOMONTH(S$5,0))*(((ACTIVOS!$K$6:$K$15=0)+(ACTIVOS!$K$6:$K$15&gt;S$5))&gt;0)*(ACTIVOS!$J$6:$J$15&gt;S$5)*ACTIVOS!$I$6:$I$15)</f>
        <v>441.666666666667</v>
      </c>
      <c r="T15" s="55">
        <f>SUMPRODUCT((ACTIVOS!$D$6:$D$15&gt;0)*(ACTIVOS!$D$6:$D$15&lt;=EOMONTH(T$5,0))*(((ACTIVOS!$K$6:$K$15=0)+(ACTIVOS!$K$6:$K$15&gt;T$5))&gt;0)*(ACTIVOS!$J$6:$J$15&gt;T$5)*ACTIVOS!$I$6:$I$15)</f>
        <v>441.666666666667</v>
      </c>
      <c r="U15" s="55">
        <f>SUMPRODUCT((ACTIVOS!$D$6:$D$15&gt;0)*(ACTIVOS!$D$6:$D$15&lt;=EOMONTH(U$5,0))*(((ACTIVOS!$K$6:$K$15=0)+(ACTIVOS!$K$6:$K$15&gt;U$5))&gt;0)*(ACTIVOS!$J$6:$J$15&gt;U$5)*ACTIVOS!$I$6:$I$15)</f>
        <v>441.666666666667</v>
      </c>
      <c r="V15" s="55">
        <f>SUMPRODUCT((ACTIVOS!$D$6:$D$15&gt;0)*(ACTIVOS!$D$6:$D$15&lt;=EOMONTH(V$5,0))*(((ACTIVOS!$K$6:$K$15=0)+(ACTIVOS!$K$6:$K$15&gt;V$5))&gt;0)*(ACTIVOS!$J$6:$J$15&gt;V$5)*ACTIVOS!$I$6:$I$15)</f>
        <v>441.666666666667</v>
      </c>
      <c r="W15" s="55">
        <f>SUMPRODUCT((ACTIVOS!$D$6:$D$15&gt;0)*(ACTIVOS!$D$6:$D$15&lt;=EOMONTH(W$5,0))*(((ACTIVOS!$K$6:$K$15=0)+(ACTIVOS!$K$6:$K$15&gt;W$5))&gt;0)*(ACTIVOS!$J$6:$J$15&gt;W$5)*ACTIVOS!$I$6:$I$15)</f>
        <v>441.666666666667</v>
      </c>
      <c r="X15" s="55">
        <f>SUMPRODUCT((ACTIVOS!$D$6:$D$15&gt;0)*(ACTIVOS!$D$6:$D$15&lt;=EOMONTH(X$5,0))*(((ACTIVOS!$K$6:$K$15=0)+(ACTIVOS!$K$6:$K$15&gt;X$5))&gt;0)*(ACTIVOS!$J$6:$J$15&gt;X$5)*ACTIVOS!$I$6:$I$15)</f>
        <v>441.666666666667</v>
      </c>
      <c r="Y15" s="55">
        <f>SUMPRODUCT((ACTIVOS!$D$6:$D$15&gt;0)*(ACTIVOS!$D$6:$D$15&lt;=EOMONTH(Y$5,0))*(((ACTIVOS!$K$6:$K$15=0)+(ACTIVOS!$K$6:$K$15&gt;Y$5))&gt;0)*(ACTIVOS!$J$6:$J$15&gt;Y$5)*ACTIVOS!$I$6:$I$15)</f>
        <v>441.666666666667</v>
      </c>
      <c r="Z15" s="55">
        <f>SUMPRODUCT((ACTIVOS!$D$6:$D$15&gt;0)*(ACTIVOS!$D$6:$D$15&lt;=EOMONTH(Z$5,0))*(((ACTIVOS!$K$6:$K$15=0)+(ACTIVOS!$K$6:$K$15&gt;Z$5))&gt;0)*(ACTIVOS!$J$6:$J$15&gt;Z$5)*ACTIVOS!$I$6:$I$15)</f>
        <v>441.666666666667</v>
      </c>
      <c r="AA15" s="55">
        <f>SUMPRODUCT((ACTIVOS!$D$6:$D$15&gt;0)*(ACTIVOS!$D$6:$D$15&lt;=EOMONTH(AA$5,0))*(((ACTIVOS!$K$6:$K$15=0)+(ACTIVOS!$K$6:$K$15&gt;AA$5))&gt;0)*(ACTIVOS!$J$6:$J$15&gt;AA$5)*ACTIVOS!$I$6:$I$15)</f>
        <v>441.666666666667</v>
      </c>
      <c r="AB15" s="55">
        <f>SUMPRODUCT((ACTIVOS!$D$6:$D$15&gt;0)*(ACTIVOS!$D$6:$D$15&lt;=EOMONTH(AB$5,0))*(((ACTIVOS!$K$6:$K$15=0)+(ACTIVOS!$K$6:$K$15&gt;AB$5))&gt;0)*(ACTIVOS!$J$6:$J$15&gt;AB$5)*ACTIVOS!$I$6:$I$15)</f>
        <v>441.666666666667</v>
      </c>
      <c r="AC15" s="55">
        <f>SUMPRODUCT((ACTIVOS!$D$6:$D$15&gt;0)*(ACTIVOS!$D$6:$D$15&lt;=EOMONTH(AC$5,0))*(((ACTIVOS!$K$6:$K$15=0)+(ACTIVOS!$K$6:$K$15&gt;AC$5))&gt;0)*(ACTIVOS!$J$6:$J$15&gt;AC$5)*ACTIVOS!$I$6:$I$15)</f>
        <v>441.666666666667</v>
      </c>
      <c r="AD15" s="55">
        <f>SUMPRODUCT((ACTIVOS!$D$6:$D$15&gt;0)*(ACTIVOS!$D$6:$D$15&lt;=EOMONTH(AD$5,0))*(((ACTIVOS!$K$6:$K$15=0)+(ACTIVOS!$K$6:$K$15&gt;AD$5))&gt;0)*(ACTIVOS!$J$6:$J$15&gt;AD$5)*ACTIVOS!$I$6:$I$15)</f>
        <v>441.666666666667</v>
      </c>
      <c r="AE15" s="59">
        <f>SUM(G15:AD15)</f>
        <v>10600</v>
      </c>
    </row>
    <row r="16">
      <c r="A16" s="8" t="inlineStr">
        <is>
          <t>CF11</t>
        </is>
      </c>
      <c r="B16" s="8" t="inlineStr">
        <is>
          <t>Mantenimiento preventivo de la flota propia (desde ACTIVOS)</t>
        </is>
      </c>
      <c r="C16" s="43" t="inlineStr">
        <is>
          <t>GENERAL</t>
        </is>
      </c>
      <c r="D16" s="43" t="inlineStr">
        <is>
          <t>Materias primas y materiales</t>
        </is>
      </c>
      <c r="E16" s="43" t="inlineStr">
        <is>
          <t>No</t>
        </is>
      </c>
      <c r="F16" s="48">
        <f>ACTIVOS!L16</f>
        <v>150</v>
      </c>
      <c r="G16" s="55">
        <f>SUMPRODUCT((ACTIVOS!$D$6:$D$15&gt;0)*(ACTIVOS!$D$6:$D$15&lt;=EOMONTH(G$5,0))*(((ACTIVOS!$K$6:$K$15=0)+(ACTIVOS!$K$6:$K$15&gt;G$5))&gt;0)*ACTIVOS!$L$6:$L$15)</f>
        <v>150</v>
      </c>
      <c r="H16" s="55">
        <f>SUMPRODUCT((ACTIVOS!$D$6:$D$15&gt;0)*(ACTIVOS!$D$6:$D$15&lt;=EOMONTH(H$5,0))*(((ACTIVOS!$K$6:$K$15=0)+(ACTIVOS!$K$6:$K$15&gt;H$5))&gt;0)*ACTIVOS!$L$6:$L$15)</f>
        <v>150</v>
      </c>
      <c r="I16" s="55">
        <f>SUMPRODUCT((ACTIVOS!$D$6:$D$15&gt;0)*(ACTIVOS!$D$6:$D$15&lt;=EOMONTH(I$5,0))*(((ACTIVOS!$K$6:$K$15=0)+(ACTIVOS!$K$6:$K$15&gt;I$5))&gt;0)*ACTIVOS!$L$6:$L$15)</f>
        <v>150</v>
      </c>
      <c r="J16" s="55">
        <f>SUMPRODUCT((ACTIVOS!$D$6:$D$15&gt;0)*(ACTIVOS!$D$6:$D$15&lt;=EOMONTH(J$5,0))*(((ACTIVOS!$K$6:$K$15=0)+(ACTIVOS!$K$6:$K$15&gt;J$5))&gt;0)*ACTIVOS!$L$6:$L$15)</f>
        <v>150</v>
      </c>
      <c r="K16" s="55">
        <f>SUMPRODUCT((ACTIVOS!$D$6:$D$15&gt;0)*(ACTIVOS!$D$6:$D$15&lt;=EOMONTH(K$5,0))*(((ACTIVOS!$K$6:$K$15=0)+(ACTIVOS!$K$6:$K$15&gt;K$5))&gt;0)*ACTIVOS!$L$6:$L$15)</f>
        <v>150</v>
      </c>
      <c r="L16" s="55">
        <f>SUMPRODUCT((ACTIVOS!$D$6:$D$15&gt;0)*(ACTIVOS!$D$6:$D$15&lt;=EOMONTH(L$5,0))*(((ACTIVOS!$K$6:$K$15=0)+(ACTIVOS!$K$6:$K$15&gt;L$5))&gt;0)*ACTIVOS!$L$6:$L$15)</f>
        <v>150</v>
      </c>
      <c r="M16" s="55">
        <f>SUMPRODUCT((ACTIVOS!$D$6:$D$15&gt;0)*(ACTIVOS!$D$6:$D$15&lt;=EOMONTH(M$5,0))*(((ACTIVOS!$K$6:$K$15=0)+(ACTIVOS!$K$6:$K$15&gt;M$5))&gt;0)*ACTIVOS!$L$6:$L$15)</f>
        <v>150</v>
      </c>
      <c r="N16" s="55">
        <f>SUMPRODUCT((ACTIVOS!$D$6:$D$15&gt;0)*(ACTIVOS!$D$6:$D$15&lt;=EOMONTH(N$5,0))*(((ACTIVOS!$K$6:$K$15=0)+(ACTIVOS!$K$6:$K$15&gt;N$5))&gt;0)*ACTIVOS!$L$6:$L$15)</f>
        <v>150</v>
      </c>
      <c r="O16" s="55">
        <f>SUMPRODUCT((ACTIVOS!$D$6:$D$15&gt;0)*(ACTIVOS!$D$6:$D$15&lt;=EOMONTH(O$5,0))*(((ACTIVOS!$K$6:$K$15=0)+(ACTIVOS!$K$6:$K$15&gt;O$5))&gt;0)*ACTIVOS!$L$6:$L$15)</f>
        <v>150</v>
      </c>
      <c r="P16" s="55">
        <f>SUMPRODUCT((ACTIVOS!$D$6:$D$15&gt;0)*(ACTIVOS!$D$6:$D$15&lt;=EOMONTH(P$5,0))*(((ACTIVOS!$K$6:$K$15=0)+(ACTIVOS!$K$6:$K$15&gt;P$5))&gt;0)*ACTIVOS!$L$6:$L$15)</f>
        <v>150</v>
      </c>
      <c r="Q16" s="55">
        <f>SUMPRODUCT((ACTIVOS!$D$6:$D$15&gt;0)*(ACTIVOS!$D$6:$D$15&lt;=EOMONTH(Q$5,0))*(((ACTIVOS!$K$6:$K$15=0)+(ACTIVOS!$K$6:$K$15&gt;Q$5))&gt;0)*ACTIVOS!$L$6:$L$15)</f>
        <v>150</v>
      </c>
      <c r="R16" s="55">
        <f>SUMPRODUCT((ACTIVOS!$D$6:$D$15&gt;0)*(ACTIVOS!$D$6:$D$15&lt;=EOMONTH(R$5,0))*(((ACTIVOS!$K$6:$K$15=0)+(ACTIVOS!$K$6:$K$15&gt;R$5))&gt;0)*ACTIVOS!$L$6:$L$15)</f>
        <v>150</v>
      </c>
      <c r="S16" s="55">
        <f>SUMPRODUCT((ACTIVOS!$D$6:$D$15&gt;0)*(ACTIVOS!$D$6:$D$15&lt;=EOMONTH(S$5,0))*(((ACTIVOS!$K$6:$K$15=0)+(ACTIVOS!$K$6:$K$15&gt;S$5))&gt;0)*ACTIVOS!$L$6:$L$15)</f>
        <v>150</v>
      </c>
      <c r="T16" s="55">
        <f>SUMPRODUCT((ACTIVOS!$D$6:$D$15&gt;0)*(ACTIVOS!$D$6:$D$15&lt;=EOMONTH(T$5,0))*(((ACTIVOS!$K$6:$K$15=0)+(ACTIVOS!$K$6:$K$15&gt;T$5))&gt;0)*ACTIVOS!$L$6:$L$15)</f>
        <v>150</v>
      </c>
      <c r="U16" s="55">
        <f>SUMPRODUCT((ACTIVOS!$D$6:$D$15&gt;0)*(ACTIVOS!$D$6:$D$15&lt;=EOMONTH(U$5,0))*(((ACTIVOS!$K$6:$K$15=0)+(ACTIVOS!$K$6:$K$15&gt;U$5))&gt;0)*ACTIVOS!$L$6:$L$15)</f>
        <v>150</v>
      </c>
      <c r="V16" s="55">
        <f>SUMPRODUCT((ACTIVOS!$D$6:$D$15&gt;0)*(ACTIVOS!$D$6:$D$15&lt;=EOMONTH(V$5,0))*(((ACTIVOS!$K$6:$K$15=0)+(ACTIVOS!$K$6:$K$15&gt;V$5))&gt;0)*ACTIVOS!$L$6:$L$15)</f>
        <v>150</v>
      </c>
      <c r="W16" s="55">
        <f>SUMPRODUCT((ACTIVOS!$D$6:$D$15&gt;0)*(ACTIVOS!$D$6:$D$15&lt;=EOMONTH(W$5,0))*(((ACTIVOS!$K$6:$K$15=0)+(ACTIVOS!$K$6:$K$15&gt;W$5))&gt;0)*ACTIVOS!$L$6:$L$15)</f>
        <v>150</v>
      </c>
      <c r="X16" s="55">
        <f>SUMPRODUCT((ACTIVOS!$D$6:$D$15&gt;0)*(ACTIVOS!$D$6:$D$15&lt;=EOMONTH(X$5,0))*(((ACTIVOS!$K$6:$K$15=0)+(ACTIVOS!$K$6:$K$15&gt;X$5))&gt;0)*ACTIVOS!$L$6:$L$15)</f>
        <v>150</v>
      </c>
      <c r="Y16" s="55">
        <f>SUMPRODUCT((ACTIVOS!$D$6:$D$15&gt;0)*(ACTIVOS!$D$6:$D$15&lt;=EOMONTH(Y$5,0))*(((ACTIVOS!$K$6:$K$15=0)+(ACTIVOS!$K$6:$K$15&gt;Y$5))&gt;0)*ACTIVOS!$L$6:$L$15)</f>
        <v>150</v>
      </c>
      <c r="Z16" s="55">
        <f>SUMPRODUCT((ACTIVOS!$D$6:$D$15&gt;0)*(ACTIVOS!$D$6:$D$15&lt;=EOMONTH(Z$5,0))*(((ACTIVOS!$K$6:$K$15=0)+(ACTIVOS!$K$6:$K$15&gt;Z$5))&gt;0)*ACTIVOS!$L$6:$L$15)</f>
        <v>150</v>
      </c>
      <c r="AA16" s="55">
        <f>SUMPRODUCT((ACTIVOS!$D$6:$D$15&gt;0)*(ACTIVOS!$D$6:$D$15&lt;=EOMONTH(AA$5,0))*(((ACTIVOS!$K$6:$K$15=0)+(ACTIVOS!$K$6:$K$15&gt;AA$5))&gt;0)*ACTIVOS!$L$6:$L$15)</f>
        <v>150</v>
      </c>
      <c r="AB16" s="55">
        <f>SUMPRODUCT((ACTIVOS!$D$6:$D$15&gt;0)*(ACTIVOS!$D$6:$D$15&lt;=EOMONTH(AB$5,0))*(((ACTIVOS!$K$6:$K$15=0)+(ACTIVOS!$K$6:$K$15&gt;AB$5))&gt;0)*ACTIVOS!$L$6:$L$15)</f>
        <v>150</v>
      </c>
      <c r="AC16" s="55">
        <f>SUMPRODUCT((ACTIVOS!$D$6:$D$15&gt;0)*(ACTIVOS!$D$6:$D$15&lt;=EOMONTH(AC$5,0))*(((ACTIVOS!$K$6:$K$15=0)+(ACTIVOS!$K$6:$K$15&gt;AC$5))&gt;0)*ACTIVOS!$L$6:$L$15)</f>
        <v>150</v>
      </c>
      <c r="AD16" s="55">
        <f>SUMPRODUCT((ACTIVOS!$D$6:$D$15&gt;0)*(ACTIVOS!$D$6:$D$15&lt;=EOMONTH(AD$5,0))*(((ACTIVOS!$K$6:$K$15=0)+(ACTIVOS!$K$6:$K$15&gt;AD$5))&gt;0)*ACTIVOS!$L$6:$L$15)</f>
        <v>150</v>
      </c>
      <c r="AE16" s="59">
        <f>SUM(G16:AD16)</f>
        <v>3600</v>
      </c>
    </row>
    <row r="17">
      <c r="A17" s="8" t="inlineStr">
        <is>
          <t>CF12</t>
        </is>
      </c>
      <c r="B17" s="8" t="inlineStr">
        <is>
          <t>Seguros, licencias e inspecciones de la flota (desde ACTIVOS)</t>
        </is>
      </c>
      <c r="C17" s="43" t="inlineStr">
        <is>
          <t>GENERAL</t>
        </is>
      </c>
      <c r="D17" s="43" t="inlineStr">
        <is>
          <t>Otros gastos monetarios</t>
        </is>
      </c>
      <c r="E17" s="43" t="inlineStr">
        <is>
          <t>No</t>
        </is>
      </c>
      <c r="F17" s="48">
        <f>ACTIVOS!N16</f>
        <v>85</v>
      </c>
      <c r="G17" s="55">
        <f>SUMPRODUCT((ACTIVOS!$D$6:$D$15&gt;0)*(ACTIVOS!$D$6:$D$15&lt;=EOMONTH(G$5,0))*(((ACTIVOS!$K$6:$K$15=0)+(ACTIVOS!$K$6:$K$15&gt;G$5))&gt;0)*ACTIVOS!$N$6:$N$15)</f>
        <v>85</v>
      </c>
      <c r="H17" s="55">
        <f>SUMPRODUCT((ACTIVOS!$D$6:$D$15&gt;0)*(ACTIVOS!$D$6:$D$15&lt;=EOMONTH(H$5,0))*(((ACTIVOS!$K$6:$K$15=0)+(ACTIVOS!$K$6:$K$15&gt;H$5))&gt;0)*ACTIVOS!$N$6:$N$15)</f>
        <v>85</v>
      </c>
      <c r="I17" s="55">
        <f>SUMPRODUCT((ACTIVOS!$D$6:$D$15&gt;0)*(ACTIVOS!$D$6:$D$15&lt;=EOMONTH(I$5,0))*(((ACTIVOS!$K$6:$K$15=0)+(ACTIVOS!$K$6:$K$15&gt;I$5))&gt;0)*ACTIVOS!$N$6:$N$15)</f>
        <v>85</v>
      </c>
      <c r="J17" s="55">
        <f>SUMPRODUCT((ACTIVOS!$D$6:$D$15&gt;0)*(ACTIVOS!$D$6:$D$15&lt;=EOMONTH(J$5,0))*(((ACTIVOS!$K$6:$K$15=0)+(ACTIVOS!$K$6:$K$15&gt;J$5))&gt;0)*ACTIVOS!$N$6:$N$15)</f>
        <v>85</v>
      </c>
      <c r="K17" s="55">
        <f>SUMPRODUCT((ACTIVOS!$D$6:$D$15&gt;0)*(ACTIVOS!$D$6:$D$15&lt;=EOMONTH(K$5,0))*(((ACTIVOS!$K$6:$K$15=0)+(ACTIVOS!$K$6:$K$15&gt;K$5))&gt;0)*ACTIVOS!$N$6:$N$15)</f>
        <v>85</v>
      </c>
      <c r="L17" s="55">
        <f>SUMPRODUCT((ACTIVOS!$D$6:$D$15&gt;0)*(ACTIVOS!$D$6:$D$15&lt;=EOMONTH(L$5,0))*(((ACTIVOS!$K$6:$K$15=0)+(ACTIVOS!$K$6:$K$15&gt;L$5))&gt;0)*ACTIVOS!$N$6:$N$15)</f>
        <v>85</v>
      </c>
      <c r="M17" s="55">
        <f>SUMPRODUCT((ACTIVOS!$D$6:$D$15&gt;0)*(ACTIVOS!$D$6:$D$15&lt;=EOMONTH(M$5,0))*(((ACTIVOS!$K$6:$K$15=0)+(ACTIVOS!$K$6:$K$15&gt;M$5))&gt;0)*ACTIVOS!$N$6:$N$15)</f>
        <v>85</v>
      </c>
      <c r="N17" s="55">
        <f>SUMPRODUCT((ACTIVOS!$D$6:$D$15&gt;0)*(ACTIVOS!$D$6:$D$15&lt;=EOMONTH(N$5,0))*(((ACTIVOS!$K$6:$K$15=0)+(ACTIVOS!$K$6:$K$15&gt;N$5))&gt;0)*ACTIVOS!$N$6:$N$15)</f>
        <v>85</v>
      </c>
      <c r="O17" s="55">
        <f>SUMPRODUCT((ACTIVOS!$D$6:$D$15&gt;0)*(ACTIVOS!$D$6:$D$15&lt;=EOMONTH(O$5,0))*(((ACTIVOS!$K$6:$K$15=0)+(ACTIVOS!$K$6:$K$15&gt;O$5))&gt;0)*ACTIVOS!$N$6:$N$15)</f>
        <v>85</v>
      </c>
      <c r="P17" s="55">
        <f>SUMPRODUCT((ACTIVOS!$D$6:$D$15&gt;0)*(ACTIVOS!$D$6:$D$15&lt;=EOMONTH(P$5,0))*(((ACTIVOS!$K$6:$K$15=0)+(ACTIVOS!$K$6:$K$15&gt;P$5))&gt;0)*ACTIVOS!$N$6:$N$15)</f>
        <v>85</v>
      </c>
      <c r="Q17" s="55">
        <f>SUMPRODUCT((ACTIVOS!$D$6:$D$15&gt;0)*(ACTIVOS!$D$6:$D$15&lt;=EOMONTH(Q$5,0))*(((ACTIVOS!$K$6:$K$15=0)+(ACTIVOS!$K$6:$K$15&gt;Q$5))&gt;0)*ACTIVOS!$N$6:$N$15)</f>
        <v>85</v>
      </c>
      <c r="R17" s="55">
        <f>SUMPRODUCT((ACTIVOS!$D$6:$D$15&gt;0)*(ACTIVOS!$D$6:$D$15&lt;=EOMONTH(R$5,0))*(((ACTIVOS!$K$6:$K$15=0)+(ACTIVOS!$K$6:$K$15&gt;R$5))&gt;0)*ACTIVOS!$N$6:$N$15)</f>
        <v>85</v>
      </c>
      <c r="S17" s="55">
        <f>SUMPRODUCT((ACTIVOS!$D$6:$D$15&gt;0)*(ACTIVOS!$D$6:$D$15&lt;=EOMONTH(S$5,0))*(((ACTIVOS!$K$6:$K$15=0)+(ACTIVOS!$K$6:$K$15&gt;S$5))&gt;0)*ACTIVOS!$N$6:$N$15)</f>
        <v>85</v>
      </c>
      <c r="T17" s="55">
        <f>SUMPRODUCT((ACTIVOS!$D$6:$D$15&gt;0)*(ACTIVOS!$D$6:$D$15&lt;=EOMONTH(T$5,0))*(((ACTIVOS!$K$6:$K$15=0)+(ACTIVOS!$K$6:$K$15&gt;T$5))&gt;0)*ACTIVOS!$N$6:$N$15)</f>
        <v>85</v>
      </c>
      <c r="U17" s="55">
        <f>SUMPRODUCT((ACTIVOS!$D$6:$D$15&gt;0)*(ACTIVOS!$D$6:$D$15&lt;=EOMONTH(U$5,0))*(((ACTIVOS!$K$6:$K$15=0)+(ACTIVOS!$K$6:$K$15&gt;U$5))&gt;0)*ACTIVOS!$N$6:$N$15)</f>
        <v>85</v>
      </c>
      <c r="V17" s="55">
        <f>SUMPRODUCT((ACTIVOS!$D$6:$D$15&gt;0)*(ACTIVOS!$D$6:$D$15&lt;=EOMONTH(V$5,0))*(((ACTIVOS!$K$6:$K$15=0)+(ACTIVOS!$K$6:$K$15&gt;V$5))&gt;0)*ACTIVOS!$N$6:$N$15)</f>
        <v>85</v>
      </c>
      <c r="W17" s="55">
        <f>SUMPRODUCT((ACTIVOS!$D$6:$D$15&gt;0)*(ACTIVOS!$D$6:$D$15&lt;=EOMONTH(W$5,0))*(((ACTIVOS!$K$6:$K$15=0)+(ACTIVOS!$K$6:$K$15&gt;W$5))&gt;0)*ACTIVOS!$N$6:$N$15)</f>
        <v>85</v>
      </c>
      <c r="X17" s="55">
        <f>SUMPRODUCT((ACTIVOS!$D$6:$D$15&gt;0)*(ACTIVOS!$D$6:$D$15&lt;=EOMONTH(X$5,0))*(((ACTIVOS!$K$6:$K$15=0)+(ACTIVOS!$K$6:$K$15&gt;X$5))&gt;0)*ACTIVOS!$N$6:$N$15)</f>
        <v>85</v>
      </c>
      <c r="Y17" s="55">
        <f>SUMPRODUCT((ACTIVOS!$D$6:$D$15&gt;0)*(ACTIVOS!$D$6:$D$15&lt;=EOMONTH(Y$5,0))*(((ACTIVOS!$K$6:$K$15=0)+(ACTIVOS!$K$6:$K$15&gt;Y$5))&gt;0)*ACTIVOS!$N$6:$N$15)</f>
        <v>85</v>
      </c>
      <c r="Z17" s="55">
        <f>SUMPRODUCT((ACTIVOS!$D$6:$D$15&gt;0)*(ACTIVOS!$D$6:$D$15&lt;=EOMONTH(Z$5,0))*(((ACTIVOS!$K$6:$K$15=0)+(ACTIVOS!$K$6:$K$15&gt;Z$5))&gt;0)*ACTIVOS!$N$6:$N$15)</f>
        <v>85</v>
      </c>
      <c r="AA17" s="55">
        <f>SUMPRODUCT((ACTIVOS!$D$6:$D$15&gt;0)*(ACTIVOS!$D$6:$D$15&lt;=EOMONTH(AA$5,0))*(((ACTIVOS!$K$6:$K$15=0)+(ACTIVOS!$K$6:$K$15&gt;AA$5))&gt;0)*ACTIVOS!$N$6:$N$15)</f>
        <v>85</v>
      </c>
      <c r="AB17" s="55">
        <f>SUMPRODUCT((ACTIVOS!$D$6:$D$15&gt;0)*(ACTIVOS!$D$6:$D$15&lt;=EOMONTH(AB$5,0))*(((ACTIVOS!$K$6:$K$15=0)+(ACTIVOS!$K$6:$K$15&gt;AB$5))&gt;0)*ACTIVOS!$N$6:$N$15)</f>
        <v>85</v>
      </c>
      <c r="AC17" s="55">
        <f>SUMPRODUCT((ACTIVOS!$D$6:$D$15&gt;0)*(ACTIVOS!$D$6:$D$15&lt;=EOMONTH(AC$5,0))*(((ACTIVOS!$K$6:$K$15=0)+(ACTIVOS!$K$6:$K$15&gt;AC$5))&gt;0)*ACTIVOS!$N$6:$N$15)</f>
        <v>85</v>
      </c>
      <c r="AD17" s="55">
        <f>SUMPRODUCT((ACTIVOS!$D$6:$D$15&gt;0)*(ACTIVOS!$D$6:$D$15&lt;=EOMONTH(AD$5,0))*(((ACTIVOS!$K$6:$K$15=0)+(ACTIVOS!$K$6:$K$15&gt;AD$5))&gt;0)*ACTIVOS!$N$6:$N$15)</f>
        <v>85</v>
      </c>
      <c r="AE17" s="59">
        <f>SUM(G17:AD17)</f>
        <v>2040</v>
      </c>
    </row>
    <row r="18">
      <c r="A18" s="8" t="inlineStr">
        <is>
          <t>CF13</t>
        </is>
      </c>
      <c r="B18" s="43" t="inlineStr">
        <is>
          <t>Otros gastos fijos generales</t>
        </is>
      </c>
      <c r="C18" s="43" t="inlineStr">
        <is>
          <t>GENERAL</t>
        </is>
      </c>
      <c r="D18" s="43" t="inlineStr">
        <is>
          <t>Otros gastos monetarios</t>
        </is>
      </c>
      <c r="E18" s="43" t="inlineStr">
        <is>
          <t>No</t>
        </is>
      </c>
      <c r="F18" s="46" t="n">
        <v>0</v>
      </c>
      <c r="G18" s="46">
        <f>$F18</f>
        <v>0</v>
      </c>
      <c r="H18" s="46">
        <f>$F18</f>
        <v>0</v>
      </c>
      <c r="I18" s="46">
        <f>$F18</f>
        <v>0</v>
      </c>
      <c r="J18" s="46">
        <f>$F18</f>
        <v>0</v>
      </c>
      <c r="K18" s="46">
        <f>$F18</f>
        <v>0</v>
      </c>
      <c r="L18" s="46">
        <f>$F18</f>
        <v>0</v>
      </c>
      <c r="M18" s="46">
        <f>$F18</f>
        <v>0</v>
      </c>
      <c r="N18" s="46">
        <f>$F18</f>
        <v>0</v>
      </c>
      <c r="O18" s="46">
        <f>$F18</f>
        <v>0</v>
      </c>
      <c r="P18" s="46">
        <f>$F18</f>
        <v>0</v>
      </c>
      <c r="Q18" s="46">
        <f>$F18</f>
        <v>0</v>
      </c>
      <c r="R18" s="46">
        <f>$F18</f>
        <v>0</v>
      </c>
      <c r="S18" s="46">
        <f>$F18</f>
        <v>0</v>
      </c>
      <c r="T18" s="46">
        <f>$F18</f>
        <v>0</v>
      </c>
      <c r="U18" s="46">
        <f>$F18</f>
        <v>0</v>
      </c>
      <c r="V18" s="46">
        <f>$F18</f>
        <v>0</v>
      </c>
      <c r="W18" s="46">
        <f>$F18</f>
        <v>0</v>
      </c>
      <c r="X18" s="46">
        <f>$F18</f>
        <v>0</v>
      </c>
      <c r="Y18" s="46">
        <f>$F18</f>
        <v>0</v>
      </c>
      <c r="Z18" s="46">
        <f>$F18</f>
        <v>0</v>
      </c>
      <c r="AA18" s="46">
        <f>$F18</f>
        <v>0</v>
      </c>
      <c r="AB18" s="46">
        <f>$F18</f>
        <v>0</v>
      </c>
      <c r="AC18" s="46">
        <f>$F18</f>
        <v>0</v>
      </c>
      <c r="AD18" s="46">
        <f>$F18</f>
        <v>0</v>
      </c>
      <c r="AE18" s="59">
        <f>SUM(G18:AD18)</f>
        <v>0</v>
      </c>
    </row>
    <row r="19">
      <c r="A19" s="8" t="inlineStr">
        <is>
          <t>CF14</t>
        </is>
      </c>
      <c r="B19" s="43" t="inlineStr">
        <is>
          <t>Occidente – chofer (servicio contratado)</t>
        </is>
      </c>
      <c r="C19" s="43" t="inlineStr">
        <is>
          <t>OCC</t>
        </is>
      </c>
      <c r="D19" s="43" t="inlineStr">
        <is>
          <t>Otros gastos monetarios</t>
        </is>
      </c>
      <c r="E19" s="43" t="inlineStr">
        <is>
          <t>No</t>
        </is>
      </c>
      <c r="F19" s="46" t="n">
        <v>120</v>
      </c>
      <c r="G19" s="46">
        <f>$F19</f>
        <v>120</v>
      </c>
      <c r="H19" s="46">
        <f>$F19</f>
        <v>120</v>
      </c>
      <c r="I19" s="46">
        <f>$F19</f>
        <v>120</v>
      </c>
      <c r="J19" s="46">
        <f>$F19</f>
        <v>120</v>
      </c>
      <c r="K19" s="46">
        <f>$F19</f>
        <v>120</v>
      </c>
      <c r="L19" s="46">
        <f>$F19</f>
        <v>120</v>
      </c>
      <c r="M19" s="46">
        <f>$F19</f>
        <v>120</v>
      </c>
      <c r="N19" s="46">
        <f>$F19</f>
        <v>120</v>
      </c>
      <c r="O19" s="46">
        <f>$F19</f>
        <v>120</v>
      </c>
      <c r="P19" s="46">
        <f>$F19</f>
        <v>120</v>
      </c>
      <c r="Q19" s="46">
        <f>$F19</f>
        <v>120</v>
      </c>
      <c r="R19" s="46">
        <f>$F19</f>
        <v>120</v>
      </c>
      <c r="S19" s="46">
        <f>$F19</f>
        <v>120</v>
      </c>
      <c r="T19" s="46">
        <f>$F19</f>
        <v>120</v>
      </c>
      <c r="U19" s="46">
        <f>$F19</f>
        <v>120</v>
      </c>
      <c r="V19" s="46">
        <f>$F19</f>
        <v>120</v>
      </c>
      <c r="W19" s="46">
        <f>$F19</f>
        <v>120</v>
      </c>
      <c r="X19" s="46">
        <f>$F19</f>
        <v>120</v>
      </c>
      <c r="Y19" s="46">
        <f>$F19</f>
        <v>120</v>
      </c>
      <c r="Z19" s="46">
        <f>$F19</f>
        <v>120</v>
      </c>
      <c r="AA19" s="46">
        <f>$F19</f>
        <v>120</v>
      </c>
      <c r="AB19" s="46">
        <f>$F19</f>
        <v>120</v>
      </c>
      <c r="AC19" s="46">
        <f>$F19</f>
        <v>120</v>
      </c>
      <c r="AD19" s="46">
        <f>$F19</f>
        <v>120</v>
      </c>
      <c r="AE19" s="59">
        <f>SUM(G19:AD19)</f>
        <v>2880</v>
      </c>
    </row>
    <row r="20">
      <c r="A20" s="8" t="inlineStr">
        <is>
          <t>CF15</t>
        </is>
      </c>
      <c r="B20" s="43" t="inlineStr">
        <is>
          <t>Occidente – ayudante (servicio contratado)</t>
        </is>
      </c>
      <c r="C20" s="43" t="inlineStr">
        <is>
          <t>OCC</t>
        </is>
      </c>
      <c r="D20" s="43" t="inlineStr">
        <is>
          <t>Otros gastos monetarios</t>
        </is>
      </c>
      <c r="E20" s="43" t="inlineStr">
        <is>
          <t>No</t>
        </is>
      </c>
      <c r="F20" s="46" t="n">
        <v>80</v>
      </c>
      <c r="G20" s="46">
        <f>$F20</f>
        <v>80</v>
      </c>
      <c r="H20" s="46">
        <f>$F20</f>
        <v>80</v>
      </c>
      <c r="I20" s="46">
        <f>$F20</f>
        <v>80</v>
      </c>
      <c r="J20" s="46">
        <f>$F20</f>
        <v>80</v>
      </c>
      <c r="K20" s="46">
        <f>$F20</f>
        <v>80</v>
      </c>
      <c r="L20" s="46">
        <f>$F20</f>
        <v>80</v>
      </c>
      <c r="M20" s="46">
        <f>$F20</f>
        <v>80</v>
      </c>
      <c r="N20" s="46">
        <f>$F20</f>
        <v>80</v>
      </c>
      <c r="O20" s="46">
        <f>$F20</f>
        <v>80</v>
      </c>
      <c r="P20" s="46">
        <f>$F20</f>
        <v>80</v>
      </c>
      <c r="Q20" s="46">
        <f>$F20</f>
        <v>80</v>
      </c>
      <c r="R20" s="46">
        <f>$F20</f>
        <v>80</v>
      </c>
      <c r="S20" s="46">
        <f>$F20</f>
        <v>80</v>
      </c>
      <c r="T20" s="46">
        <f>$F20</f>
        <v>80</v>
      </c>
      <c r="U20" s="46">
        <f>$F20</f>
        <v>80</v>
      </c>
      <c r="V20" s="46">
        <f>$F20</f>
        <v>80</v>
      </c>
      <c r="W20" s="46">
        <f>$F20</f>
        <v>80</v>
      </c>
      <c r="X20" s="46">
        <f>$F20</f>
        <v>80</v>
      </c>
      <c r="Y20" s="46">
        <f>$F20</f>
        <v>80</v>
      </c>
      <c r="Z20" s="46">
        <f>$F20</f>
        <v>80</v>
      </c>
      <c r="AA20" s="46">
        <f>$F20</f>
        <v>80</v>
      </c>
      <c r="AB20" s="46">
        <f>$F20</f>
        <v>80</v>
      </c>
      <c r="AC20" s="46">
        <f>$F20</f>
        <v>80</v>
      </c>
      <c r="AD20" s="46">
        <f>$F20</f>
        <v>80</v>
      </c>
      <c r="AE20" s="59">
        <f>SUM(G20:AD20)</f>
        <v>1920</v>
      </c>
    </row>
    <row r="21">
      <c r="A21" s="8" t="inlineStr">
        <is>
          <t>CF16</t>
        </is>
      </c>
      <c r="B21" s="43" t="inlineStr">
        <is>
          <t>Occidente – otros gastos fijos</t>
        </is>
      </c>
      <c r="C21" s="43" t="inlineStr">
        <is>
          <t>OCC</t>
        </is>
      </c>
      <c r="D21" s="43" t="inlineStr">
        <is>
          <t>Otros gastos monetarios</t>
        </is>
      </c>
      <c r="E21" s="43" t="inlineStr">
        <is>
          <t>No</t>
        </is>
      </c>
      <c r="F21" s="46" t="n">
        <v>0</v>
      </c>
      <c r="G21" s="46">
        <f>$F21</f>
        <v>0</v>
      </c>
      <c r="H21" s="46">
        <f>$F21</f>
        <v>0</v>
      </c>
      <c r="I21" s="46">
        <f>$F21</f>
        <v>0</v>
      </c>
      <c r="J21" s="46">
        <f>$F21</f>
        <v>0</v>
      </c>
      <c r="K21" s="46">
        <f>$F21</f>
        <v>0</v>
      </c>
      <c r="L21" s="46">
        <f>$F21</f>
        <v>0</v>
      </c>
      <c r="M21" s="46">
        <f>$F21</f>
        <v>0</v>
      </c>
      <c r="N21" s="46">
        <f>$F21</f>
        <v>0</v>
      </c>
      <c r="O21" s="46">
        <f>$F21</f>
        <v>0</v>
      </c>
      <c r="P21" s="46">
        <f>$F21</f>
        <v>0</v>
      </c>
      <c r="Q21" s="46">
        <f>$F21</f>
        <v>0</v>
      </c>
      <c r="R21" s="46">
        <f>$F21</f>
        <v>0</v>
      </c>
      <c r="S21" s="46">
        <f>$F21</f>
        <v>0</v>
      </c>
      <c r="T21" s="46">
        <f>$F21</f>
        <v>0</v>
      </c>
      <c r="U21" s="46">
        <f>$F21</f>
        <v>0</v>
      </c>
      <c r="V21" s="46">
        <f>$F21</f>
        <v>0</v>
      </c>
      <c r="W21" s="46">
        <f>$F21</f>
        <v>0</v>
      </c>
      <c r="X21" s="46">
        <f>$F21</f>
        <v>0</v>
      </c>
      <c r="Y21" s="46">
        <f>$F21</f>
        <v>0</v>
      </c>
      <c r="Z21" s="46">
        <f>$F21</f>
        <v>0</v>
      </c>
      <c r="AA21" s="46">
        <f>$F21</f>
        <v>0</v>
      </c>
      <c r="AB21" s="46">
        <f>$F21</f>
        <v>0</v>
      </c>
      <c r="AC21" s="46">
        <f>$F21</f>
        <v>0</v>
      </c>
      <c r="AD21" s="46">
        <f>$F21</f>
        <v>0</v>
      </c>
      <c r="AE21" s="59">
        <f>SUM(G21:AD21)</f>
        <v>0</v>
      </c>
    </row>
    <row r="22">
      <c r="A22" s="8" t="inlineStr">
        <is>
          <t>CF17</t>
        </is>
      </c>
      <c r="B22" s="43" t="inlineStr">
        <is>
          <t>Centro – chofer (servicio contratado)</t>
        </is>
      </c>
      <c r="C22" s="43" t="inlineStr">
        <is>
          <t>CEN</t>
        </is>
      </c>
      <c r="D22" s="43" t="inlineStr">
        <is>
          <t>Otros gastos monetarios</t>
        </is>
      </c>
      <c r="E22" s="43" t="inlineStr">
        <is>
          <t>No</t>
        </is>
      </c>
      <c r="F22" s="46" t="n">
        <v>120</v>
      </c>
      <c r="G22" s="46">
        <f>$F22</f>
        <v>120</v>
      </c>
      <c r="H22" s="46">
        <f>$F22</f>
        <v>120</v>
      </c>
      <c r="I22" s="46">
        <f>$F22</f>
        <v>120</v>
      </c>
      <c r="J22" s="46">
        <f>$F22</f>
        <v>120</v>
      </c>
      <c r="K22" s="46">
        <f>$F22</f>
        <v>120</v>
      </c>
      <c r="L22" s="46">
        <f>$F22</f>
        <v>120</v>
      </c>
      <c r="M22" s="46">
        <f>$F22</f>
        <v>120</v>
      </c>
      <c r="N22" s="46">
        <f>$F22</f>
        <v>120</v>
      </c>
      <c r="O22" s="46">
        <f>$F22</f>
        <v>120</v>
      </c>
      <c r="P22" s="46">
        <f>$F22</f>
        <v>120</v>
      </c>
      <c r="Q22" s="46">
        <f>$F22</f>
        <v>120</v>
      </c>
      <c r="R22" s="46">
        <f>$F22</f>
        <v>120</v>
      </c>
      <c r="S22" s="46">
        <f>$F22</f>
        <v>120</v>
      </c>
      <c r="T22" s="46">
        <f>$F22</f>
        <v>120</v>
      </c>
      <c r="U22" s="46">
        <f>$F22</f>
        <v>120</v>
      </c>
      <c r="V22" s="46">
        <f>$F22</f>
        <v>120</v>
      </c>
      <c r="W22" s="46">
        <f>$F22</f>
        <v>120</v>
      </c>
      <c r="X22" s="46">
        <f>$F22</f>
        <v>120</v>
      </c>
      <c r="Y22" s="46">
        <f>$F22</f>
        <v>120</v>
      </c>
      <c r="Z22" s="46">
        <f>$F22</f>
        <v>120</v>
      </c>
      <c r="AA22" s="46">
        <f>$F22</f>
        <v>120</v>
      </c>
      <c r="AB22" s="46">
        <f>$F22</f>
        <v>120</v>
      </c>
      <c r="AC22" s="46">
        <f>$F22</f>
        <v>120</v>
      </c>
      <c r="AD22" s="46">
        <f>$F22</f>
        <v>120</v>
      </c>
      <c r="AE22" s="59">
        <f>SUM(G22:AD22)</f>
        <v>2880</v>
      </c>
    </row>
    <row r="23">
      <c r="A23" s="8" t="inlineStr">
        <is>
          <t>CF18</t>
        </is>
      </c>
      <c r="B23" s="43" t="inlineStr">
        <is>
          <t>Centro – ayudante (servicio contratado)</t>
        </is>
      </c>
      <c r="C23" s="43" t="inlineStr">
        <is>
          <t>CEN</t>
        </is>
      </c>
      <c r="D23" s="43" t="inlineStr">
        <is>
          <t>Otros gastos monetarios</t>
        </is>
      </c>
      <c r="E23" s="43" t="inlineStr">
        <is>
          <t>No</t>
        </is>
      </c>
      <c r="F23" s="46" t="n">
        <v>80</v>
      </c>
      <c r="G23" s="46">
        <f>$F23</f>
        <v>80</v>
      </c>
      <c r="H23" s="46">
        <f>$F23</f>
        <v>80</v>
      </c>
      <c r="I23" s="46">
        <f>$F23</f>
        <v>80</v>
      </c>
      <c r="J23" s="46">
        <f>$F23</f>
        <v>80</v>
      </c>
      <c r="K23" s="46">
        <f>$F23</f>
        <v>80</v>
      </c>
      <c r="L23" s="46">
        <f>$F23</f>
        <v>80</v>
      </c>
      <c r="M23" s="46">
        <f>$F23</f>
        <v>80</v>
      </c>
      <c r="N23" s="46">
        <f>$F23</f>
        <v>80</v>
      </c>
      <c r="O23" s="46">
        <f>$F23</f>
        <v>80</v>
      </c>
      <c r="P23" s="46">
        <f>$F23</f>
        <v>80</v>
      </c>
      <c r="Q23" s="46">
        <f>$F23</f>
        <v>80</v>
      </c>
      <c r="R23" s="46">
        <f>$F23</f>
        <v>80</v>
      </c>
      <c r="S23" s="46">
        <f>$F23</f>
        <v>80</v>
      </c>
      <c r="T23" s="46">
        <f>$F23</f>
        <v>80</v>
      </c>
      <c r="U23" s="46">
        <f>$F23</f>
        <v>80</v>
      </c>
      <c r="V23" s="46">
        <f>$F23</f>
        <v>80</v>
      </c>
      <c r="W23" s="46">
        <f>$F23</f>
        <v>80</v>
      </c>
      <c r="X23" s="46">
        <f>$F23</f>
        <v>80</v>
      </c>
      <c r="Y23" s="46">
        <f>$F23</f>
        <v>80</v>
      </c>
      <c r="Z23" s="46">
        <f>$F23</f>
        <v>80</v>
      </c>
      <c r="AA23" s="46">
        <f>$F23</f>
        <v>80</v>
      </c>
      <c r="AB23" s="46">
        <f>$F23</f>
        <v>80</v>
      </c>
      <c r="AC23" s="46">
        <f>$F23</f>
        <v>80</v>
      </c>
      <c r="AD23" s="46">
        <f>$F23</f>
        <v>80</v>
      </c>
      <c r="AE23" s="59">
        <f>SUM(G23:AD23)</f>
        <v>1920</v>
      </c>
    </row>
    <row r="24">
      <c r="A24" s="8" t="inlineStr">
        <is>
          <t>CF19</t>
        </is>
      </c>
      <c r="B24" s="43" t="inlineStr">
        <is>
          <t>Centro – otros gastos fijos (centro transitorio)</t>
        </is>
      </c>
      <c r="C24" s="43" t="inlineStr">
        <is>
          <t>CEN</t>
        </is>
      </c>
      <c r="D24" s="43" t="inlineStr">
        <is>
          <t>Otros gastos monetarios</t>
        </is>
      </c>
      <c r="E24" s="43" t="inlineStr">
        <is>
          <t>No</t>
        </is>
      </c>
      <c r="F24" s="46" t="n">
        <v>0</v>
      </c>
      <c r="G24" s="46">
        <f>$F24</f>
        <v>0</v>
      </c>
      <c r="H24" s="46">
        <f>$F24</f>
        <v>0</v>
      </c>
      <c r="I24" s="46">
        <f>$F24</f>
        <v>0</v>
      </c>
      <c r="J24" s="46">
        <f>$F24</f>
        <v>0</v>
      </c>
      <c r="K24" s="46">
        <f>$F24</f>
        <v>0</v>
      </c>
      <c r="L24" s="46">
        <f>$F24</f>
        <v>0</v>
      </c>
      <c r="M24" s="46">
        <f>$F24</f>
        <v>0</v>
      </c>
      <c r="N24" s="46">
        <f>$F24</f>
        <v>0</v>
      </c>
      <c r="O24" s="46">
        <f>$F24</f>
        <v>0</v>
      </c>
      <c r="P24" s="46">
        <f>$F24</f>
        <v>0</v>
      </c>
      <c r="Q24" s="46">
        <f>$F24</f>
        <v>0</v>
      </c>
      <c r="R24" s="46">
        <f>$F24</f>
        <v>0</v>
      </c>
      <c r="S24" s="46">
        <f>$F24</f>
        <v>0</v>
      </c>
      <c r="T24" s="46">
        <f>$F24</f>
        <v>0</v>
      </c>
      <c r="U24" s="46">
        <f>$F24</f>
        <v>0</v>
      </c>
      <c r="V24" s="46">
        <f>$F24</f>
        <v>0</v>
      </c>
      <c r="W24" s="46">
        <f>$F24</f>
        <v>0</v>
      </c>
      <c r="X24" s="46">
        <f>$F24</f>
        <v>0</v>
      </c>
      <c r="Y24" s="46">
        <f>$F24</f>
        <v>0</v>
      </c>
      <c r="Z24" s="46">
        <f>$F24</f>
        <v>0</v>
      </c>
      <c r="AA24" s="46">
        <f>$F24</f>
        <v>0</v>
      </c>
      <c r="AB24" s="46">
        <f>$F24</f>
        <v>0</v>
      </c>
      <c r="AC24" s="46">
        <f>$F24</f>
        <v>0</v>
      </c>
      <c r="AD24" s="46">
        <f>$F24</f>
        <v>0</v>
      </c>
      <c r="AE24" s="59">
        <f>SUM(G24:AD24)</f>
        <v>0</v>
      </c>
    </row>
    <row r="25">
      <c r="A25" s="8" t="inlineStr">
        <is>
          <t>CF20</t>
        </is>
      </c>
      <c r="B25" s="43" t="inlineStr">
        <is>
          <t>Oriente – chofer (servicio contratado)</t>
        </is>
      </c>
      <c r="C25" s="43" t="inlineStr">
        <is>
          <t>ORI</t>
        </is>
      </c>
      <c r="D25" s="43" t="inlineStr">
        <is>
          <t>Otros gastos monetarios</t>
        </is>
      </c>
      <c r="E25" s="43" t="inlineStr">
        <is>
          <t>No</t>
        </is>
      </c>
      <c r="F25" s="46" t="n">
        <v>120</v>
      </c>
      <c r="G25" s="46">
        <f>$F25</f>
        <v>120</v>
      </c>
      <c r="H25" s="46">
        <f>$F25</f>
        <v>120</v>
      </c>
      <c r="I25" s="46">
        <f>$F25</f>
        <v>120</v>
      </c>
      <c r="J25" s="46">
        <f>$F25</f>
        <v>120</v>
      </c>
      <c r="K25" s="46">
        <f>$F25</f>
        <v>120</v>
      </c>
      <c r="L25" s="46">
        <f>$F25</f>
        <v>120</v>
      </c>
      <c r="M25" s="46">
        <f>$F25</f>
        <v>120</v>
      </c>
      <c r="N25" s="46">
        <f>$F25</f>
        <v>120</v>
      </c>
      <c r="O25" s="46">
        <f>$F25</f>
        <v>120</v>
      </c>
      <c r="P25" s="46">
        <f>$F25</f>
        <v>120</v>
      </c>
      <c r="Q25" s="46">
        <f>$F25</f>
        <v>120</v>
      </c>
      <c r="R25" s="46">
        <f>$F25</f>
        <v>120</v>
      </c>
      <c r="S25" s="46">
        <f>$F25</f>
        <v>120</v>
      </c>
      <c r="T25" s="46">
        <f>$F25</f>
        <v>120</v>
      </c>
      <c r="U25" s="46">
        <f>$F25</f>
        <v>120</v>
      </c>
      <c r="V25" s="46">
        <f>$F25</f>
        <v>120</v>
      </c>
      <c r="W25" s="46">
        <f>$F25</f>
        <v>120</v>
      </c>
      <c r="X25" s="46">
        <f>$F25</f>
        <v>120</v>
      </c>
      <c r="Y25" s="46">
        <f>$F25</f>
        <v>120</v>
      </c>
      <c r="Z25" s="46">
        <f>$F25</f>
        <v>120</v>
      </c>
      <c r="AA25" s="46">
        <f>$F25</f>
        <v>120</v>
      </c>
      <c r="AB25" s="46">
        <f>$F25</f>
        <v>120</v>
      </c>
      <c r="AC25" s="46">
        <f>$F25</f>
        <v>120</v>
      </c>
      <c r="AD25" s="46">
        <f>$F25</f>
        <v>120</v>
      </c>
      <c r="AE25" s="59">
        <f>SUM(G25:AD25)</f>
        <v>2880</v>
      </c>
    </row>
    <row r="26">
      <c r="A26" s="8" t="inlineStr">
        <is>
          <t>CF21</t>
        </is>
      </c>
      <c r="B26" s="43" t="inlineStr">
        <is>
          <t>Oriente – ayudante (servicio contratado)</t>
        </is>
      </c>
      <c r="C26" s="43" t="inlineStr">
        <is>
          <t>ORI</t>
        </is>
      </c>
      <c r="D26" s="43" t="inlineStr">
        <is>
          <t>Otros gastos monetarios</t>
        </is>
      </c>
      <c r="E26" s="43" t="inlineStr">
        <is>
          <t>No</t>
        </is>
      </c>
      <c r="F26" s="46" t="n">
        <v>80</v>
      </c>
      <c r="G26" s="46">
        <f>$F26</f>
        <v>80</v>
      </c>
      <c r="H26" s="46">
        <f>$F26</f>
        <v>80</v>
      </c>
      <c r="I26" s="46">
        <f>$F26</f>
        <v>80</v>
      </c>
      <c r="J26" s="46">
        <f>$F26</f>
        <v>80</v>
      </c>
      <c r="K26" s="46">
        <f>$F26</f>
        <v>80</v>
      </c>
      <c r="L26" s="46">
        <f>$F26</f>
        <v>80</v>
      </c>
      <c r="M26" s="46">
        <f>$F26</f>
        <v>80</v>
      </c>
      <c r="N26" s="46">
        <f>$F26</f>
        <v>80</v>
      </c>
      <c r="O26" s="46">
        <f>$F26</f>
        <v>80</v>
      </c>
      <c r="P26" s="46">
        <f>$F26</f>
        <v>80</v>
      </c>
      <c r="Q26" s="46">
        <f>$F26</f>
        <v>80</v>
      </c>
      <c r="R26" s="46">
        <f>$F26</f>
        <v>80</v>
      </c>
      <c r="S26" s="46">
        <f>$F26</f>
        <v>80</v>
      </c>
      <c r="T26" s="46">
        <f>$F26</f>
        <v>80</v>
      </c>
      <c r="U26" s="46">
        <f>$F26</f>
        <v>80</v>
      </c>
      <c r="V26" s="46">
        <f>$F26</f>
        <v>80</v>
      </c>
      <c r="W26" s="46">
        <f>$F26</f>
        <v>80</v>
      </c>
      <c r="X26" s="46">
        <f>$F26</f>
        <v>80</v>
      </c>
      <c r="Y26" s="46">
        <f>$F26</f>
        <v>80</v>
      </c>
      <c r="Z26" s="46">
        <f>$F26</f>
        <v>80</v>
      </c>
      <c r="AA26" s="46">
        <f>$F26</f>
        <v>80</v>
      </c>
      <c r="AB26" s="46">
        <f>$F26</f>
        <v>80</v>
      </c>
      <c r="AC26" s="46">
        <f>$F26</f>
        <v>80</v>
      </c>
      <c r="AD26" s="46">
        <f>$F26</f>
        <v>80</v>
      </c>
      <c r="AE26" s="59">
        <f>SUM(G26:AD26)</f>
        <v>1920</v>
      </c>
    </row>
    <row r="27">
      <c r="A27" s="8" t="inlineStr">
        <is>
          <t>CF22</t>
        </is>
      </c>
      <c r="B27" s="43" t="inlineStr">
        <is>
          <t>Oriente – otros gastos fijos (centro transitorio)</t>
        </is>
      </c>
      <c r="C27" s="43" t="inlineStr">
        <is>
          <t>ORI</t>
        </is>
      </c>
      <c r="D27" s="43" t="inlineStr">
        <is>
          <t>Otros gastos monetarios</t>
        </is>
      </c>
      <c r="E27" s="43" t="inlineStr">
        <is>
          <t>No</t>
        </is>
      </c>
      <c r="F27" s="46" t="n">
        <v>0</v>
      </c>
      <c r="G27" s="46">
        <f>$F27</f>
        <v>0</v>
      </c>
      <c r="H27" s="46">
        <f>$F27</f>
        <v>0</v>
      </c>
      <c r="I27" s="46">
        <f>$F27</f>
        <v>0</v>
      </c>
      <c r="J27" s="46">
        <f>$F27</f>
        <v>0</v>
      </c>
      <c r="K27" s="46">
        <f>$F27</f>
        <v>0</v>
      </c>
      <c r="L27" s="46">
        <f>$F27</f>
        <v>0</v>
      </c>
      <c r="M27" s="46">
        <f>$F27</f>
        <v>0</v>
      </c>
      <c r="N27" s="46">
        <f>$F27</f>
        <v>0</v>
      </c>
      <c r="O27" s="46">
        <f>$F27</f>
        <v>0</v>
      </c>
      <c r="P27" s="46">
        <f>$F27</f>
        <v>0</v>
      </c>
      <c r="Q27" s="46">
        <f>$F27</f>
        <v>0</v>
      </c>
      <c r="R27" s="46">
        <f>$F27</f>
        <v>0</v>
      </c>
      <c r="S27" s="46">
        <f>$F27</f>
        <v>0</v>
      </c>
      <c r="T27" s="46">
        <f>$F27</f>
        <v>0</v>
      </c>
      <c r="U27" s="46">
        <f>$F27</f>
        <v>0</v>
      </c>
      <c r="V27" s="46">
        <f>$F27</f>
        <v>0</v>
      </c>
      <c r="W27" s="46">
        <f>$F27</f>
        <v>0</v>
      </c>
      <c r="X27" s="46">
        <f>$F27</f>
        <v>0</v>
      </c>
      <c r="Y27" s="46">
        <f>$F27</f>
        <v>0</v>
      </c>
      <c r="Z27" s="46">
        <f>$F27</f>
        <v>0</v>
      </c>
      <c r="AA27" s="46">
        <f>$F27</f>
        <v>0</v>
      </c>
      <c r="AB27" s="46">
        <f>$F27</f>
        <v>0</v>
      </c>
      <c r="AC27" s="46">
        <f>$F27</f>
        <v>0</v>
      </c>
      <c r="AD27" s="46">
        <f>$F27</f>
        <v>0</v>
      </c>
      <c r="AE27" s="59">
        <f>SUM(G27:AD27)</f>
        <v>0</v>
      </c>
    </row>
    <row r="28">
      <c r="B28" s="18" t="inlineStr">
        <is>
          <t>Tributos sobre salarios de trabajadores propios (calculados)</t>
        </is>
      </c>
    </row>
    <row r="29">
      <c r="A29" s="8" t="inlineStr">
        <is>
          <t>SS-GENERAL</t>
        </is>
      </c>
      <c r="B29" s="8" t="inlineStr">
        <is>
          <t>Contribución a la seguridad social – GENERAL</t>
        </is>
      </c>
      <c r="C29" s="8" t="inlineStr">
        <is>
          <t>GENERAL</t>
        </is>
      </c>
      <c r="D29" s="8" t="inlineStr">
        <is>
          <t>Gastos de fuerza de trabajo</t>
        </is>
      </c>
      <c r="E29" s="40" t="inlineStr">
        <is>
          <t>—</t>
        </is>
      </c>
      <c r="F29" s="55">
        <f>Contrib_SS*SUMIFS($F$6:$F$27,$C$6:$C$27,$C29,$E$6:$E$27,"Sí")</f>
        <v>190.4</v>
      </c>
      <c r="G29" s="55">
        <f>Contrib_SS*SUMIFS(G$6:G$27,$C$6:$C$27,$C29,$E$6:$E$27,"Sí")</f>
        <v>190.4</v>
      </c>
      <c r="H29" s="55">
        <f>Contrib_SS*SUMIFS(H$6:H$27,$C$6:$C$27,$C29,$E$6:$E$27,"Sí")</f>
        <v>190.4</v>
      </c>
      <c r="I29" s="55">
        <f>Contrib_SS*SUMIFS(I$6:I$27,$C$6:$C$27,$C29,$E$6:$E$27,"Sí")</f>
        <v>190.4</v>
      </c>
      <c r="J29" s="55">
        <f>Contrib_SS*SUMIFS(J$6:J$27,$C$6:$C$27,$C29,$E$6:$E$27,"Sí")</f>
        <v>190.4</v>
      </c>
      <c r="K29" s="55">
        <f>Contrib_SS*SUMIFS(K$6:K$27,$C$6:$C$27,$C29,$E$6:$E$27,"Sí")</f>
        <v>190.4</v>
      </c>
      <c r="L29" s="55">
        <f>Contrib_SS*SUMIFS(L$6:L$27,$C$6:$C$27,$C29,$E$6:$E$27,"Sí")</f>
        <v>190.4</v>
      </c>
      <c r="M29" s="55">
        <f>Contrib_SS*SUMIFS(M$6:M$27,$C$6:$C$27,$C29,$E$6:$E$27,"Sí")</f>
        <v>190.4</v>
      </c>
      <c r="N29" s="55">
        <f>Contrib_SS*SUMIFS(N$6:N$27,$C$6:$C$27,$C29,$E$6:$E$27,"Sí")</f>
        <v>190.4</v>
      </c>
      <c r="O29" s="55">
        <f>Contrib_SS*SUMIFS(O$6:O$27,$C$6:$C$27,$C29,$E$6:$E$27,"Sí")</f>
        <v>190.4</v>
      </c>
      <c r="P29" s="55">
        <f>Contrib_SS*SUMIFS(P$6:P$27,$C$6:$C$27,$C29,$E$6:$E$27,"Sí")</f>
        <v>190.4</v>
      </c>
      <c r="Q29" s="55">
        <f>Contrib_SS*SUMIFS(Q$6:Q$27,$C$6:$C$27,$C29,$E$6:$E$27,"Sí")</f>
        <v>190.4</v>
      </c>
      <c r="R29" s="55">
        <f>Contrib_SS*SUMIFS(R$6:R$27,$C$6:$C$27,$C29,$E$6:$E$27,"Sí")</f>
        <v>190.4</v>
      </c>
      <c r="S29" s="55">
        <f>Contrib_SS*SUMIFS(S$6:S$27,$C$6:$C$27,$C29,$E$6:$E$27,"Sí")</f>
        <v>190.4</v>
      </c>
      <c r="T29" s="55">
        <f>Contrib_SS*SUMIFS(T$6:T$27,$C$6:$C$27,$C29,$E$6:$E$27,"Sí")</f>
        <v>190.4</v>
      </c>
      <c r="U29" s="55">
        <f>Contrib_SS*SUMIFS(U$6:U$27,$C$6:$C$27,$C29,$E$6:$E$27,"Sí")</f>
        <v>190.4</v>
      </c>
      <c r="V29" s="55">
        <f>Contrib_SS*SUMIFS(V$6:V$27,$C$6:$C$27,$C29,$E$6:$E$27,"Sí")</f>
        <v>190.4</v>
      </c>
      <c r="W29" s="55">
        <f>Contrib_SS*SUMIFS(W$6:W$27,$C$6:$C$27,$C29,$E$6:$E$27,"Sí")</f>
        <v>190.4</v>
      </c>
      <c r="X29" s="55">
        <f>Contrib_SS*SUMIFS(X$6:X$27,$C$6:$C$27,$C29,$E$6:$E$27,"Sí")</f>
        <v>190.4</v>
      </c>
      <c r="Y29" s="55">
        <f>Contrib_SS*SUMIFS(Y$6:Y$27,$C$6:$C$27,$C29,$E$6:$E$27,"Sí")</f>
        <v>190.4</v>
      </c>
      <c r="Z29" s="55">
        <f>Contrib_SS*SUMIFS(Z$6:Z$27,$C$6:$C$27,$C29,$E$6:$E$27,"Sí")</f>
        <v>190.4</v>
      </c>
      <c r="AA29" s="55">
        <f>Contrib_SS*SUMIFS(AA$6:AA$27,$C$6:$C$27,$C29,$E$6:$E$27,"Sí")</f>
        <v>190.4</v>
      </c>
      <c r="AB29" s="55">
        <f>Contrib_SS*SUMIFS(AB$6:AB$27,$C$6:$C$27,$C29,$E$6:$E$27,"Sí")</f>
        <v>190.4</v>
      </c>
      <c r="AC29" s="55">
        <f>Contrib_SS*SUMIFS(AC$6:AC$27,$C$6:$C$27,$C29,$E$6:$E$27,"Sí")</f>
        <v>190.4</v>
      </c>
      <c r="AD29" s="55">
        <f>Contrib_SS*SUMIFS(AD$6:AD$27,$C$6:$C$27,$C29,$E$6:$E$27,"Sí")</f>
        <v>190.4</v>
      </c>
      <c r="AE29" s="59">
        <f>SUM(G29:AD29)</f>
        <v>4569.6</v>
      </c>
    </row>
    <row r="30">
      <c r="A30" s="8" t="inlineStr">
        <is>
          <t>FT-GENERAL</t>
        </is>
      </c>
      <c r="B30" s="8" t="inlineStr">
        <is>
          <t>Impuesto por utilización de la fuerza de trabajo – GENERAL</t>
        </is>
      </c>
      <c r="C30" s="8" t="inlineStr">
        <is>
          <t>GENERAL</t>
        </is>
      </c>
      <c r="D30" s="8" t="inlineStr">
        <is>
          <t>Gastos de fuerza de trabajo</t>
        </is>
      </c>
      <c r="E30" s="40" t="inlineStr">
        <is>
          <t>—</t>
        </is>
      </c>
      <c r="F30" s="55">
        <f>Imp_Fuerza_Trabajo*SUMIFS($F$6:$F$27,$C$6:$C$27,$C30,$E$6:$E$27,"Sí")</f>
        <v>68</v>
      </c>
      <c r="G30" s="55">
        <f>Imp_Fuerza_Trabajo*SUMIFS(G$6:G$27,$C$6:$C$27,$C30,$E$6:$E$27,"Sí")</f>
        <v>68</v>
      </c>
      <c r="H30" s="55">
        <f>Imp_Fuerza_Trabajo*SUMIFS(H$6:H$27,$C$6:$C$27,$C30,$E$6:$E$27,"Sí")</f>
        <v>68</v>
      </c>
      <c r="I30" s="55">
        <f>Imp_Fuerza_Trabajo*SUMIFS(I$6:I$27,$C$6:$C$27,$C30,$E$6:$E$27,"Sí")</f>
        <v>68</v>
      </c>
      <c r="J30" s="55">
        <f>Imp_Fuerza_Trabajo*SUMIFS(J$6:J$27,$C$6:$C$27,$C30,$E$6:$E$27,"Sí")</f>
        <v>68</v>
      </c>
      <c r="K30" s="55">
        <f>Imp_Fuerza_Trabajo*SUMIFS(K$6:K$27,$C$6:$C$27,$C30,$E$6:$E$27,"Sí")</f>
        <v>68</v>
      </c>
      <c r="L30" s="55">
        <f>Imp_Fuerza_Trabajo*SUMIFS(L$6:L$27,$C$6:$C$27,$C30,$E$6:$E$27,"Sí")</f>
        <v>68</v>
      </c>
      <c r="M30" s="55">
        <f>Imp_Fuerza_Trabajo*SUMIFS(M$6:M$27,$C$6:$C$27,$C30,$E$6:$E$27,"Sí")</f>
        <v>68</v>
      </c>
      <c r="N30" s="55">
        <f>Imp_Fuerza_Trabajo*SUMIFS(N$6:N$27,$C$6:$C$27,$C30,$E$6:$E$27,"Sí")</f>
        <v>68</v>
      </c>
      <c r="O30" s="55">
        <f>Imp_Fuerza_Trabajo*SUMIFS(O$6:O$27,$C$6:$C$27,$C30,$E$6:$E$27,"Sí")</f>
        <v>68</v>
      </c>
      <c r="P30" s="55">
        <f>Imp_Fuerza_Trabajo*SUMIFS(P$6:P$27,$C$6:$C$27,$C30,$E$6:$E$27,"Sí")</f>
        <v>68</v>
      </c>
      <c r="Q30" s="55">
        <f>Imp_Fuerza_Trabajo*SUMIFS(Q$6:Q$27,$C$6:$C$27,$C30,$E$6:$E$27,"Sí")</f>
        <v>68</v>
      </c>
      <c r="R30" s="55">
        <f>Imp_Fuerza_Trabajo*SUMIFS(R$6:R$27,$C$6:$C$27,$C30,$E$6:$E$27,"Sí")</f>
        <v>68</v>
      </c>
      <c r="S30" s="55">
        <f>Imp_Fuerza_Trabajo*SUMIFS(S$6:S$27,$C$6:$C$27,$C30,$E$6:$E$27,"Sí")</f>
        <v>68</v>
      </c>
      <c r="T30" s="55">
        <f>Imp_Fuerza_Trabajo*SUMIFS(T$6:T$27,$C$6:$C$27,$C30,$E$6:$E$27,"Sí")</f>
        <v>68</v>
      </c>
      <c r="U30" s="55">
        <f>Imp_Fuerza_Trabajo*SUMIFS(U$6:U$27,$C$6:$C$27,$C30,$E$6:$E$27,"Sí")</f>
        <v>68</v>
      </c>
      <c r="V30" s="55">
        <f>Imp_Fuerza_Trabajo*SUMIFS(V$6:V$27,$C$6:$C$27,$C30,$E$6:$E$27,"Sí")</f>
        <v>68</v>
      </c>
      <c r="W30" s="55">
        <f>Imp_Fuerza_Trabajo*SUMIFS(W$6:W$27,$C$6:$C$27,$C30,$E$6:$E$27,"Sí")</f>
        <v>68</v>
      </c>
      <c r="X30" s="55">
        <f>Imp_Fuerza_Trabajo*SUMIFS(X$6:X$27,$C$6:$C$27,$C30,$E$6:$E$27,"Sí")</f>
        <v>68</v>
      </c>
      <c r="Y30" s="55">
        <f>Imp_Fuerza_Trabajo*SUMIFS(Y$6:Y$27,$C$6:$C$27,$C30,$E$6:$E$27,"Sí")</f>
        <v>68</v>
      </c>
      <c r="Z30" s="55">
        <f>Imp_Fuerza_Trabajo*SUMIFS(Z$6:Z$27,$C$6:$C$27,$C30,$E$6:$E$27,"Sí")</f>
        <v>68</v>
      </c>
      <c r="AA30" s="55">
        <f>Imp_Fuerza_Trabajo*SUMIFS(AA$6:AA$27,$C$6:$C$27,$C30,$E$6:$E$27,"Sí")</f>
        <v>68</v>
      </c>
      <c r="AB30" s="55">
        <f>Imp_Fuerza_Trabajo*SUMIFS(AB$6:AB$27,$C$6:$C$27,$C30,$E$6:$E$27,"Sí")</f>
        <v>68</v>
      </c>
      <c r="AC30" s="55">
        <f>Imp_Fuerza_Trabajo*SUMIFS(AC$6:AC$27,$C$6:$C$27,$C30,$E$6:$E$27,"Sí")</f>
        <v>68</v>
      </c>
      <c r="AD30" s="55">
        <f>Imp_Fuerza_Trabajo*SUMIFS(AD$6:AD$27,$C$6:$C$27,$C30,$E$6:$E$27,"Sí")</f>
        <v>68</v>
      </c>
      <c r="AE30" s="59">
        <f>SUM(G30:AD30)</f>
        <v>1632</v>
      </c>
    </row>
    <row r="31">
      <c r="A31" s="8" t="inlineStr">
        <is>
          <t>SS-OCC</t>
        </is>
      </c>
      <c r="B31" s="8" t="inlineStr">
        <is>
          <t>Contribución a la seguridad social – OCC</t>
        </is>
      </c>
      <c r="C31" s="8" t="inlineStr">
        <is>
          <t>OCC</t>
        </is>
      </c>
      <c r="D31" s="8" t="inlineStr">
        <is>
          <t>Gastos de fuerza de trabajo</t>
        </is>
      </c>
      <c r="E31" s="40" t="inlineStr">
        <is>
          <t>—</t>
        </is>
      </c>
      <c r="F31" s="55">
        <f>Contrib_SS*SUMIFS($F$6:$F$27,$C$6:$C$27,$C31,$E$6:$E$27,"Sí")</f>
        <v>0</v>
      </c>
      <c r="G31" s="55">
        <f>Contrib_SS*SUMIFS(G$6:G$27,$C$6:$C$27,$C31,$E$6:$E$27,"Sí")</f>
        <v>0</v>
      </c>
      <c r="H31" s="55">
        <f>Contrib_SS*SUMIFS(H$6:H$27,$C$6:$C$27,$C31,$E$6:$E$27,"Sí")</f>
        <v>0</v>
      </c>
      <c r="I31" s="55">
        <f>Contrib_SS*SUMIFS(I$6:I$27,$C$6:$C$27,$C31,$E$6:$E$27,"Sí")</f>
        <v>0</v>
      </c>
      <c r="J31" s="55">
        <f>Contrib_SS*SUMIFS(J$6:J$27,$C$6:$C$27,$C31,$E$6:$E$27,"Sí")</f>
        <v>0</v>
      </c>
      <c r="K31" s="55">
        <f>Contrib_SS*SUMIFS(K$6:K$27,$C$6:$C$27,$C31,$E$6:$E$27,"Sí")</f>
        <v>0</v>
      </c>
      <c r="L31" s="55">
        <f>Contrib_SS*SUMIFS(L$6:L$27,$C$6:$C$27,$C31,$E$6:$E$27,"Sí")</f>
        <v>0</v>
      </c>
      <c r="M31" s="55">
        <f>Contrib_SS*SUMIFS(M$6:M$27,$C$6:$C$27,$C31,$E$6:$E$27,"Sí")</f>
        <v>0</v>
      </c>
      <c r="N31" s="55">
        <f>Contrib_SS*SUMIFS(N$6:N$27,$C$6:$C$27,$C31,$E$6:$E$27,"Sí")</f>
        <v>0</v>
      </c>
      <c r="O31" s="55">
        <f>Contrib_SS*SUMIFS(O$6:O$27,$C$6:$C$27,$C31,$E$6:$E$27,"Sí")</f>
        <v>0</v>
      </c>
      <c r="P31" s="55">
        <f>Contrib_SS*SUMIFS(P$6:P$27,$C$6:$C$27,$C31,$E$6:$E$27,"Sí")</f>
        <v>0</v>
      </c>
      <c r="Q31" s="55">
        <f>Contrib_SS*SUMIFS(Q$6:Q$27,$C$6:$C$27,$C31,$E$6:$E$27,"Sí")</f>
        <v>0</v>
      </c>
      <c r="R31" s="55">
        <f>Contrib_SS*SUMIFS(R$6:R$27,$C$6:$C$27,$C31,$E$6:$E$27,"Sí")</f>
        <v>0</v>
      </c>
      <c r="S31" s="55">
        <f>Contrib_SS*SUMIFS(S$6:S$27,$C$6:$C$27,$C31,$E$6:$E$27,"Sí")</f>
        <v>0</v>
      </c>
      <c r="T31" s="55">
        <f>Contrib_SS*SUMIFS(T$6:T$27,$C$6:$C$27,$C31,$E$6:$E$27,"Sí")</f>
        <v>0</v>
      </c>
      <c r="U31" s="55">
        <f>Contrib_SS*SUMIFS(U$6:U$27,$C$6:$C$27,$C31,$E$6:$E$27,"Sí")</f>
        <v>0</v>
      </c>
      <c r="V31" s="55">
        <f>Contrib_SS*SUMIFS(V$6:V$27,$C$6:$C$27,$C31,$E$6:$E$27,"Sí")</f>
        <v>0</v>
      </c>
      <c r="W31" s="55">
        <f>Contrib_SS*SUMIFS(W$6:W$27,$C$6:$C$27,$C31,$E$6:$E$27,"Sí")</f>
        <v>0</v>
      </c>
      <c r="X31" s="55">
        <f>Contrib_SS*SUMIFS(X$6:X$27,$C$6:$C$27,$C31,$E$6:$E$27,"Sí")</f>
        <v>0</v>
      </c>
      <c r="Y31" s="55">
        <f>Contrib_SS*SUMIFS(Y$6:Y$27,$C$6:$C$27,$C31,$E$6:$E$27,"Sí")</f>
        <v>0</v>
      </c>
      <c r="Z31" s="55">
        <f>Contrib_SS*SUMIFS(Z$6:Z$27,$C$6:$C$27,$C31,$E$6:$E$27,"Sí")</f>
        <v>0</v>
      </c>
      <c r="AA31" s="55">
        <f>Contrib_SS*SUMIFS(AA$6:AA$27,$C$6:$C$27,$C31,$E$6:$E$27,"Sí")</f>
        <v>0</v>
      </c>
      <c r="AB31" s="55">
        <f>Contrib_SS*SUMIFS(AB$6:AB$27,$C$6:$C$27,$C31,$E$6:$E$27,"Sí")</f>
        <v>0</v>
      </c>
      <c r="AC31" s="55">
        <f>Contrib_SS*SUMIFS(AC$6:AC$27,$C$6:$C$27,$C31,$E$6:$E$27,"Sí")</f>
        <v>0</v>
      </c>
      <c r="AD31" s="55">
        <f>Contrib_SS*SUMIFS(AD$6:AD$27,$C$6:$C$27,$C31,$E$6:$E$27,"Sí")</f>
        <v>0</v>
      </c>
      <c r="AE31" s="59">
        <f>SUM(G31:AD31)</f>
        <v>0</v>
      </c>
    </row>
    <row r="32">
      <c r="A32" s="8" t="inlineStr">
        <is>
          <t>FT-OCC</t>
        </is>
      </c>
      <c r="B32" s="8" t="inlineStr">
        <is>
          <t>Impuesto por utilización de la fuerza de trabajo – OCC</t>
        </is>
      </c>
      <c r="C32" s="8" t="inlineStr">
        <is>
          <t>OCC</t>
        </is>
      </c>
      <c r="D32" s="8" t="inlineStr">
        <is>
          <t>Gastos de fuerza de trabajo</t>
        </is>
      </c>
      <c r="E32" s="40" t="inlineStr">
        <is>
          <t>—</t>
        </is>
      </c>
      <c r="F32" s="55">
        <f>Imp_Fuerza_Trabajo*SUMIFS($F$6:$F$27,$C$6:$C$27,$C32,$E$6:$E$27,"Sí")</f>
        <v>0</v>
      </c>
      <c r="G32" s="55">
        <f>Imp_Fuerza_Trabajo*SUMIFS(G$6:G$27,$C$6:$C$27,$C32,$E$6:$E$27,"Sí")</f>
        <v>0</v>
      </c>
      <c r="H32" s="55">
        <f>Imp_Fuerza_Trabajo*SUMIFS(H$6:H$27,$C$6:$C$27,$C32,$E$6:$E$27,"Sí")</f>
        <v>0</v>
      </c>
      <c r="I32" s="55">
        <f>Imp_Fuerza_Trabajo*SUMIFS(I$6:I$27,$C$6:$C$27,$C32,$E$6:$E$27,"Sí")</f>
        <v>0</v>
      </c>
      <c r="J32" s="55">
        <f>Imp_Fuerza_Trabajo*SUMIFS(J$6:J$27,$C$6:$C$27,$C32,$E$6:$E$27,"Sí")</f>
        <v>0</v>
      </c>
      <c r="K32" s="55">
        <f>Imp_Fuerza_Trabajo*SUMIFS(K$6:K$27,$C$6:$C$27,$C32,$E$6:$E$27,"Sí")</f>
        <v>0</v>
      </c>
      <c r="L32" s="55">
        <f>Imp_Fuerza_Trabajo*SUMIFS(L$6:L$27,$C$6:$C$27,$C32,$E$6:$E$27,"Sí")</f>
        <v>0</v>
      </c>
      <c r="M32" s="55">
        <f>Imp_Fuerza_Trabajo*SUMIFS(M$6:M$27,$C$6:$C$27,$C32,$E$6:$E$27,"Sí")</f>
        <v>0</v>
      </c>
      <c r="N32" s="55">
        <f>Imp_Fuerza_Trabajo*SUMIFS(N$6:N$27,$C$6:$C$27,$C32,$E$6:$E$27,"Sí")</f>
        <v>0</v>
      </c>
      <c r="O32" s="55">
        <f>Imp_Fuerza_Trabajo*SUMIFS(O$6:O$27,$C$6:$C$27,$C32,$E$6:$E$27,"Sí")</f>
        <v>0</v>
      </c>
      <c r="P32" s="55">
        <f>Imp_Fuerza_Trabajo*SUMIFS(P$6:P$27,$C$6:$C$27,$C32,$E$6:$E$27,"Sí")</f>
        <v>0</v>
      </c>
      <c r="Q32" s="55">
        <f>Imp_Fuerza_Trabajo*SUMIFS(Q$6:Q$27,$C$6:$C$27,$C32,$E$6:$E$27,"Sí")</f>
        <v>0</v>
      </c>
      <c r="R32" s="55">
        <f>Imp_Fuerza_Trabajo*SUMIFS(R$6:R$27,$C$6:$C$27,$C32,$E$6:$E$27,"Sí")</f>
        <v>0</v>
      </c>
      <c r="S32" s="55">
        <f>Imp_Fuerza_Trabajo*SUMIFS(S$6:S$27,$C$6:$C$27,$C32,$E$6:$E$27,"Sí")</f>
        <v>0</v>
      </c>
      <c r="T32" s="55">
        <f>Imp_Fuerza_Trabajo*SUMIFS(T$6:T$27,$C$6:$C$27,$C32,$E$6:$E$27,"Sí")</f>
        <v>0</v>
      </c>
      <c r="U32" s="55">
        <f>Imp_Fuerza_Trabajo*SUMIFS(U$6:U$27,$C$6:$C$27,$C32,$E$6:$E$27,"Sí")</f>
        <v>0</v>
      </c>
      <c r="V32" s="55">
        <f>Imp_Fuerza_Trabajo*SUMIFS(V$6:V$27,$C$6:$C$27,$C32,$E$6:$E$27,"Sí")</f>
        <v>0</v>
      </c>
      <c r="W32" s="55">
        <f>Imp_Fuerza_Trabajo*SUMIFS(W$6:W$27,$C$6:$C$27,$C32,$E$6:$E$27,"Sí")</f>
        <v>0</v>
      </c>
      <c r="X32" s="55">
        <f>Imp_Fuerza_Trabajo*SUMIFS(X$6:X$27,$C$6:$C$27,$C32,$E$6:$E$27,"Sí")</f>
        <v>0</v>
      </c>
      <c r="Y32" s="55">
        <f>Imp_Fuerza_Trabajo*SUMIFS(Y$6:Y$27,$C$6:$C$27,$C32,$E$6:$E$27,"Sí")</f>
        <v>0</v>
      </c>
      <c r="Z32" s="55">
        <f>Imp_Fuerza_Trabajo*SUMIFS(Z$6:Z$27,$C$6:$C$27,$C32,$E$6:$E$27,"Sí")</f>
        <v>0</v>
      </c>
      <c r="AA32" s="55">
        <f>Imp_Fuerza_Trabajo*SUMIFS(AA$6:AA$27,$C$6:$C$27,$C32,$E$6:$E$27,"Sí")</f>
        <v>0</v>
      </c>
      <c r="AB32" s="55">
        <f>Imp_Fuerza_Trabajo*SUMIFS(AB$6:AB$27,$C$6:$C$27,$C32,$E$6:$E$27,"Sí")</f>
        <v>0</v>
      </c>
      <c r="AC32" s="55">
        <f>Imp_Fuerza_Trabajo*SUMIFS(AC$6:AC$27,$C$6:$C$27,$C32,$E$6:$E$27,"Sí")</f>
        <v>0</v>
      </c>
      <c r="AD32" s="55">
        <f>Imp_Fuerza_Trabajo*SUMIFS(AD$6:AD$27,$C$6:$C$27,$C32,$E$6:$E$27,"Sí")</f>
        <v>0</v>
      </c>
      <c r="AE32" s="59">
        <f>SUM(G32:AD32)</f>
        <v>0</v>
      </c>
    </row>
    <row r="33">
      <c r="A33" s="8" t="inlineStr">
        <is>
          <t>SS-CEN</t>
        </is>
      </c>
      <c r="B33" s="8" t="inlineStr">
        <is>
          <t>Contribución a la seguridad social – CEN</t>
        </is>
      </c>
      <c r="C33" s="8" t="inlineStr">
        <is>
          <t>CEN</t>
        </is>
      </c>
      <c r="D33" s="8" t="inlineStr">
        <is>
          <t>Gastos de fuerza de trabajo</t>
        </is>
      </c>
      <c r="E33" s="40" t="inlineStr">
        <is>
          <t>—</t>
        </is>
      </c>
      <c r="F33" s="55">
        <f>Contrib_SS*SUMIFS($F$6:$F$27,$C$6:$C$27,$C33,$E$6:$E$27,"Sí")</f>
        <v>0</v>
      </c>
      <c r="G33" s="55">
        <f>Contrib_SS*SUMIFS(G$6:G$27,$C$6:$C$27,$C33,$E$6:$E$27,"Sí")</f>
        <v>0</v>
      </c>
      <c r="H33" s="55">
        <f>Contrib_SS*SUMIFS(H$6:H$27,$C$6:$C$27,$C33,$E$6:$E$27,"Sí")</f>
        <v>0</v>
      </c>
      <c r="I33" s="55">
        <f>Contrib_SS*SUMIFS(I$6:I$27,$C$6:$C$27,$C33,$E$6:$E$27,"Sí")</f>
        <v>0</v>
      </c>
      <c r="J33" s="55">
        <f>Contrib_SS*SUMIFS(J$6:J$27,$C$6:$C$27,$C33,$E$6:$E$27,"Sí")</f>
        <v>0</v>
      </c>
      <c r="K33" s="55">
        <f>Contrib_SS*SUMIFS(K$6:K$27,$C$6:$C$27,$C33,$E$6:$E$27,"Sí")</f>
        <v>0</v>
      </c>
      <c r="L33" s="55">
        <f>Contrib_SS*SUMIFS(L$6:L$27,$C$6:$C$27,$C33,$E$6:$E$27,"Sí")</f>
        <v>0</v>
      </c>
      <c r="M33" s="55">
        <f>Contrib_SS*SUMIFS(M$6:M$27,$C$6:$C$27,$C33,$E$6:$E$27,"Sí")</f>
        <v>0</v>
      </c>
      <c r="N33" s="55">
        <f>Contrib_SS*SUMIFS(N$6:N$27,$C$6:$C$27,$C33,$E$6:$E$27,"Sí")</f>
        <v>0</v>
      </c>
      <c r="O33" s="55">
        <f>Contrib_SS*SUMIFS(O$6:O$27,$C$6:$C$27,$C33,$E$6:$E$27,"Sí")</f>
        <v>0</v>
      </c>
      <c r="P33" s="55">
        <f>Contrib_SS*SUMIFS(P$6:P$27,$C$6:$C$27,$C33,$E$6:$E$27,"Sí")</f>
        <v>0</v>
      </c>
      <c r="Q33" s="55">
        <f>Contrib_SS*SUMIFS(Q$6:Q$27,$C$6:$C$27,$C33,$E$6:$E$27,"Sí")</f>
        <v>0</v>
      </c>
      <c r="R33" s="55">
        <f>Contrib_SS*SUMIFS(R$6:R$27,$C$6:$C$27,$C33,$E$6:$E$27,"Sí")</f>
        <v>0</v>
      </c>
      <c r="S33" s="55">
        <f>Contrib_SS*SUMIFS(S$6:S$27,$C$6:$C$27,$C33,$E$6:$E$27,"Sí")</f>
        <v>0</v>
      </c>
      <c r="T33" s="55">
        <f>Contrib_SS*SUMIFS(T$6:T$27,$C$6:$C$27,$C33,$E$6:$E$27,"Sí")</f>
        <v>0</v>
      </c>
      <c r="U33" s="55">
        <f>Contrib_SS*SUMIFS(U$6:U$27,$C$6:$C$27,$C33,$E$6:$E$27,"Sí")</f>
        <v>0</v>
      </c>
      <c r="V33" s="55">
        <f>Contrib_SS*SUMIFS(V$6:V$27,$C$6:$C$27,$C33,$E$6:$E$27,"Sí")</f>
        <v>0</v>
      </c>
      <c r="W33" s="55">
        <f>Contrib_SS*SUMIFS(W$6:W$27,$C$6:$C$27,$C33,$E$6:$E$27,"Sí")</f>
        <v>0</v>
      </c>
      <c r="X33" s="55">
        <f>Contrib_SS*SUMIFS(X$6:X$27,$C$6:$C$27,$C33,$E$6:$E$27,"Sí")</f>
        <v>0</v>
      </c>
      <c r="Y33" s="55">
        <f>Contrib_SS*SUMIFS(Y$6:Y$27,$C$6:$C$27,$C33,$E$6:$E$27,"Sí")</f>
        <v>0</v>
      </c>
      <c r="Z33" s="55">
        <f>Contrib_SS*SUMIFS(Z$6:Z$27,$C$6:$C$27,$C33,$E$6:$E$27,"Sí")</f>
        <v>0</v>
      </c>
      <c r="AA33" s="55">
        <f>Contrib_SS*SUMIFS(AA$6:AA$27,$C$6:$C$27,$C33,$E$6:$E$27,"Sí")</f>
        <v>0</v>
      </c>
      <c r="AB33" s="55">
        <f>Contrib_SS*SUMIFS(AB$6:AB$27,$C$6:$C$27,$C33,$E$6:$E$27,"Sí")</f>
        <v>0</v>
      </c>
      <c r="AC33" s="55">
        <f>Contrib_SS*SUMIFS(AC$6:AC$27,$C$6:$C$27,$C33,$E$6:$E$27,"Sí")</f>
        <v>0</v>
      </c>
      <c r="AD33" s="55">
        <f>Contrib_SS*SUMIFS(AD$6:AD$27,$C$6:$C$27,$C33,$E$6:$E$27,"Sí")</f>
        <v>0</v>
      </c>
      <c r="AE33" s="59">
        <f>SUM(G33:AD33)</f>
        <v>0</v>
      </c>
    </row>
    <row r="34">
      <c r="A34" s="8" t="inlineStr">
        <is>
          <t>FT-CEN</t>
        </is>
      </c>
      <c r="B34" s="8" t="inlineStr">
        <is>
          <t>Impuesto por utilización de la fuerza de trabajo – CEN</t>
        </is>
      </c>
      <c r="C34" s="8" t="inlineStr">
        <is>
          <t>CEN</t>
        </is>
      </c>
      <c r="D34" s="8" t="inlineStr">
        <is>
          <t>Gastos de fuerza de trabajo</t>
        </is>
      </c>
      <c r="E34" s="40" t="inlineStr">
        <is>
          <t>—</t>
        </is>
      </c>
      <c r="F34" s="55">
        <f>Imp_Fuerza_Trabajo*SUMIFS($F$6:$F$27,$C$6:$C$27,$C34,$E$6:$E$27,"Sí")</f>
        <v>0</v>
      </c>
      <c r="G34" s="55">
        <f>Imp_Fuerza_Trabajo*SUMIFS(G$6:G$27,$C$6:$C$27,$C34,$E$6:$E$27,"Sí")</f>
        <v>0</v>
      </c>
      <c r="H34" s="55">
        <f>Imp_Fuerza_Trabajo*SUMIFS(H$6:H$27,$C$6:$C$27,$C34,$E$6:$E$27,"Sí")</f>
        <v>0</v>
      </c>
      <c r="I34" s="55">
        <f>Imp_Fuerza_Trabajo*SUMIFS(I$6:I$27,$C$6:$C$27,$C34,$E$6:$E$27,"Sí")</f>
        <v>0</v>
      </c>
      <c r="J34" s="55">
        <f>Imp_Fuerza_Trabajo*SUMIFS(J$6:J$27,$C$6:$C$27,$C34,$E$6:$E$27,"Sí")</f>
        <v>0</v>
      </c>
      <c r="K34" s="55">
        <f>Imp_Fuerza_Trabajo*SUMIFS(K$6:K$27,$C$6:$C$27,$C34,$E$6:$E$27,"Sí")</f>
        <v>0</v>
      </c>
      <c r="L34" s="55">
        <f>Imp_Fuerza_Trabajo*SUMIFS(L$6:L$27,$C$6:$C$27,$C34,$E$6:$E$27,"Sí")</f>
        <v>0</v>
      </c>
      <c r="M34" s="55">
        <f>Imp_Fuerza_Trabajo*SUMIFS(M$6:M$27,$C$6:$C$27,$C34,$E$6:$E$27,"Sí")</f>
        <v>0</v>
      </c>
      <c r="N34" s="55">
        <f>Imp_Fuerza_Trabajo*SUMIFS(N$6:N$27,$C$6:$C$27,$C34,$E$6:$E$27,"Sí")</f>
        <v>0</v>
      </c>
      <c r="O34" s="55">
        <f>Imp_Fuerza_Trabajo*SUMIFS(O$6:O$27,$C$6:$C$27,$C34,$E$6:$E$27,"Sí")</f>
        <v>0</v>
      </c>
      <c r="P34" s="55">
        <f>Imp_Fuerza_Trabajo*SUMIFS(P$6:P$27,$C$6:$C$27,$C34,$E$6:$E$27,"Sí")</f>
        <v>0</v>
      </c>
      <c r="Q34" s="55">
        <f>Imp_Fuerza_Trabajo*SUMIFS(Q$6:Q$27,$C$6:$C$27,$C34,$E$6:$E$27,"Sí")</f>
        <v>0</v>
      </c>
      <c r="R34" s="55">
        <f>Imp_Fuerza_Trabajo*SUMIFS(R$6:R$27,$C$6:$C$27,$C34,$E$6:$E$27,"Sí")</f>
        <v>0</v>
      </c>
      <c r="S34" s="55">
        <f>Imp_Fuerza_Trabajo*SUMIFS(S$6:S$27,$C$6:$C$27,$C34,$E$6:$E$27,"Sí")</f>
        <v>0</v>
      </c>
      <c r="T34" s="55">
        <f>Imp_Fuerza_Trabajo*SUMIFS(T$6:T$27,$C$6:$C$27,$C34,$E$6:$E$27,"Sí")</f>
        <v>0</v>
      </c>
      <c r="U34" s="55">
        <f>Imp_Fuerza_Trabajo*SUMIFS(U$6:U$27,$C$6:$C$27,$C34,$E$6:$E$27,"Sí")</f>
        <v>0</v>
      </c>
      <c r="V34" s="55">
        <f>Imp_Fuerza_Trabajo*SUMIFS(V$6:V$27,$C$6:$C$27,$C34,$E$6:$E$27,"Sí")</f>
        <v>0</v>
      </c>
      <c r="W34" s="55">
        <f>Imp_Fuerza_Trabajo*SUMIFS(W$6:W$27,$C$6:$C$27,$C34,$E$6:$E$27,"Sí")</f>
        <v>0</v>
      </c>
      <c r="X34" s="55">
        <f>Imp_Fuerza_Trabajo*SUMIFS(X$6:X$27,$C$6:$C$27,$C34,$E$6:$E$27,"Sí")</f>
        <v>0</v>
      </c>
      <c r="Y34" s="55">
        <f>Imp_Fuerza_Trabajo*SUMIFS(Y$6:Y$27,$C$6:$C$27,$C34,$E$6:$E$27,"Sí")</f>
        <v>0</v>
      </c>
      <c r="Z34" s="55">
        <f>Imp_Fuerza_Trabajo*SUMIFS(Z$6:Z$27,$C$6:$C$27,$C34,$E$6:$E$27,"Sí")</f>
        <v>0</v>
      </c>
      <c r="AA34" s="55">
        <f>Imp_Fuerza_Trabajo*SUMIFS(AA$6:AA$27,$C$6:$C$27,$C34,$E$6:$E$27,"Sí")</f>
        <v>0</v>
      </c>
      <c r="AB34" s="55">
        <f>Imp_Fuerza_Trabajo*SUMIFS(AB$6:AB$27,$C$6:$C$27,$C34,$E$6:$E$27,"Sí")</f>
        <v>0</v>
      </c>
      <c r="AC34" s="55">
        <f>Imp_Fuerza_Trabajo*SUMIFS(AC$6:AC$27,$C$6:$C$27,$C34,$E$6:$E$27,"Sí")</f>
        <v>0</v>
      </c>
      <c r="AD34" s="55">
        <f>Imp_Fuerza_Trabajo*SUMIFS(AD$6:AD$27,$C$6:$C$27,$C34,$E$6:$E$27,"Sí")</f>
        <v>0</v>
      </c>
      <c r="AE34" s="59">
        <f>SUM(G34:AD34)</f>
        <v>0</v>
      </c>
    </row>
    <row r="35">
      <c r="A35" s="8" t="inlineStr">
        <is>
          <t>SS-ORI</t>
        </is>
      </c>
      <c r="B35" s="8" t="inlineStr">
        <is>
          <t>Contribución a la seguridad social – ORI</t>
        </is>
      </c>
      <c r="C35" s="8" t="inlineStr">
        <is>
          <t>ORI</t>
        </is>
      </c>
      <c r="D35" s="8" t="inlineStr">
        <is>
          <t>Gastos de fuerza de trabajo</t>
        </is>
      </c>
      <c r="E35" s="40" t="inlineStr">
        <is>
          <t>—</t>
        </is>
      </c>
      <c r="F35" s="55">
        <f>Contrib_SS*SUMIFS($F$6:$F$27,$C$6:$C$27,$C35,$E$6:$E$27,"Sí")</f>
        <v>0</v>
      </c>
      <c r="G35" s="55">
        <f>Contrib_SS*SUMIFS(G$6:G$27,$C$6:$C$27,$C35,$E$6:$E$27,"Sí")</f>
        <v>0</v>
      </c>
      <c r="H35" s="55">
        <f>Contrib_SS*SUMIFS(H$6:H$27,$C$6:$C$27,$C35,$E$6:$E$27,"Sí")</f>
        <v>0</v>
      </c>
      <c r="I35" s="55">
        <f>Contrib_SS*SUMIFS(I$6:I$27,$C$6:$C$27,$C35,$E$6:$E$27,"Sí")</f>
        <v>0</v>
      </c>
      <c r="J35" s="55">
        <f>Contrib_SS*SUMIFS(J$6:J$27,$C$6:$C$27,$C35,$E$6:$E$27,"Sí")</f>
        <v>0</v>
      </c>
      <c r="K35" s="55">
        <f>Contrib_SS*SUMIFS(K$6:K$27,$C$6:$C$27,$C35,$E$6:$E$27,"Sí")</f>
        <v>0</v>
      </c>
      <c r="L35" s="55">
        <f>Contrib_SS*SUMIFS(L$6:L$27,$C$6:$C$27,$C35,$E$6:$E$27,"Sí")</f>
        <v>0</v>
      </c>
      <c r="M35" s="55">
        <f>Contrib_SS*SUMIFS(M$6:M$27,$C$6:$C$27,$C35,$E$6:$E$27,"Sí")</f>
        <v>0</v>
      </c>
      <c r="N35" s="55">
        <f>Contrib_SS*SUMIFS(N$6:N$27,$C$6:$C$27,$C35,$E$6:$E$27,"Sí")</f>
        <v>0</v>
      </c>
      <c r="O35" s="55">
        <f>Contrib_SS*SUMIFS(O$6:O$27,$C$6:$C$27,$C35,$E$6:$E$27,"Sí")</f>
        <v>0</v>
      </c>
      <c r="P35" s="55">
        <f>Contrib_SS*SUMIFS(P$6:P$27,$C$6:$C$27,$C35,$E$6:$E$27,"Sí")</f>
        <v>0</v>
      </c>
      <c r="Q35" s="55">
        <f>Contrib_SS*SUMIFS(Q$6:Q$27,$C$6:$C$27,$C35,$E$6:$E$27,"Sí")</f>
        <v>0</v>
      </c>
      <c r="R35" s="55">
        <f>Contrib_SS*SUMIFS(R$6:R$27,$C$6:$C$27,$C35,$E$6:$E$27,"Sí")</f>
        <v>0</v>
      </c>
      <c r="S35" s="55">
        <f>Contrib_SS*SUMIFS(S$6:S$27,$C$6:$C$27,$C35,$E$6:$E$27,"Sí")</f>
        <v>0</v>
      </c>
      <c r="T35" s="55">
        <f>Contrib_SS*SUMIFS(T$6:T$27,$C$6:$C$27,$C35,$E$6:$E$27,"Sí")</f>
        <v>0</v>
      </c>
      <c r="U35" s="55">
        <f>Contrib_SS*SUMIFS(U$6:U$27,$C$6:$C$27,$C35,$E$6:$E$27,"Sí")</f>
        <v>0</v>
      </c>
      <c r="V35" s="55">
        <f>Contrib_SS*SUMIFS(V$6:V$27,$C$6:$C$27,$C35,$E$6:$E$27,"Sí")</f>
        <v>0</v>
      </c>
      <c r="W35" s="55">
        <f>Contrib_SS*SUMIFS(W$6:W$27,$C$6:$C$27,$C35,$E$6:$E$27,"Sí")</f>
        <v>0</v>
      </c>
      <c r="X35" s="55">
        <f>Contrib_SS*SUMIFS(X$6:X$27,$C$6:$C$27,$C35,$E$6:$E$27,"Sí")</f>
        <v>0</v>
      </c>
      <c r="Y35" s="55">
        <f>Contrib_SS*SUMIFS(Y$6:Y$27,$C$6:$C$27,$C35,$E$6:$E$27,"Sí")</f>
        <v>0</v>
      </c>
      <c r="Z35" s="55">
        <f>Contrib_SS*SUMIFS(Z$6:Z$27,$C$6:$C$27,$C35,$E$6:$E$27,"Sí")</f>
        <v>0</v>
      </c>
      <c r="AA35" s="55">
        <f>Contrib_SS*SUMIFS(AA$6:AA$27,$C$6:$C$27,$C35,$E$6:$E$27,"Sí")</f>
        <v>0</v>
      </c>
      <c r="AB35" s="55">
        <f>Contrib_SS*SUMIFS(AB$6:AB$27,$C$6:$C$27,$C35,$E$6:$E$27,"Sí")</f>
        <v>0</v>
      </c>
      <c r="AC35" s="55">
        <f>Contrib_SS*SUMIFS(AC$6:AC$27,$C$6:$C$27,$C35,$E$6:$E$27,"Sí")</f>
        <v>0</v>
      </c>
      <c r="AD35" s="55">
        <f>Contrib_SS*SUMIFS(AD$6:AD$27,$C$6:$C$27,$C35,$E$6:$E$27,"Sí")</f>
        <v>0</v>
      </c>
      <c r="AE35" s="59">
        <f>SUM(G35:AD35)</f>
        <v>0</v>
      </c>
    </row>
    <row r="36">
      <c r="A36" s="8" t="inlineStr">
        <is>
          <t>FT-ORI</t>
        </is>
      </c>
      <c r="B36" s="8" t="inlineStr">
        <is>
          <t>Impuesto por utilización de la fuerza de trabajo – ORI</t>
        </is>
      </c>
      <c r="C36" s="8" t="inlineStr">
        <is>
          <t>ORI</t>
        </is>
      </c>
      <c r="D36" s="8" t="inlineStr">
        <is>
          <t>Gastos de fuerza de trabajo</t>
        </is>
      </c>
      <c r="E36" s="40" t="inlineStr">
        <is>
          <t>—</t>
        </is>
      </c>
      <c r="F36" s="55">
        <f>Imp_Fuerza_Trabajo*SUMIFS($F$6:$F$27,$C$6:$C$27,$C36,$E$6:$E$27,"Sí")</f>
        <v>0</v>
      </c>
      <c r="G36" s="55">
        <f>Imp_Fuerza_Trabajo*SUMIFS(G$6:G$27,$C$6:$C$27,$C36,$E$6:$E$27,"Sí")</f>
        <v>0</v>
      </c>
      <c r="H36" s="55">
        <f>Imp_Fuerza_Trabajo*SUMIFS(H$6:H$27,$C$6:$C$27,$C36,$E$6:$E$27,"Sí")</f>
        <v>0</v>
      </c>
      <c r="I36" s="55">
        <f>Imp_Fuerza_Trabajo*SUMIFS(I$6:I$27,$C$6:$C$27,$C36,$E$6:$E$27,"Sí")</f>
        <v>0</v>
      </c>
      <c r="J36" s="55">
        <f>Imp_Fuerza_Trabajo*SUMIFS(J$6:J$27,$C$6:$C$27,$C36,$E$6:$E$27,"Sí")</f>
        <v>0</v>
      </c>
      <c r="K36" s="55">
        <f>Imp_Fuerza_Trabajo*SUMIFS(K$6:K$27,$C$6:$C$27,$C36,$E$6:$E$27,"Sí")</f>
        <v>0</v>
      </c>
      <c r="L36" s="55">
        <f>Imp_Fuerza_Trabajo*SUMIFS(L$6:L$27,$C$6:$C$27,$C36,$E$6:$E$27,"Sí")</f>
        <v>0</v>
      </c>
      <c r="M36" s="55">
        <f>Imp_Fuerza_Trabajo*SUMIFS(M$6:M$27,$C$6:$C$27,$C36,$E$6:$E$27,"Sí")</f>
        <v>0</v>
      </c>
      <c r="N36" s="55">
        <f>Imp_Fuerza_Trabajo*SUMIFS(N$6:N$27,$C$6:$C$27,$C36,$E$6:$E$27,"Sí")</f>
        <v>0</v>
      </c>
      <c r="O36" s="55">
        <f>Imp_Fuerza_Trabajo*SUMIFS(O$6:O$27,$C$6:$C$27,$C36,$E$6:$E$27,"Sí")</f>
        <v>0</v>
      </c>
      <c r="P36" s="55">
        <f>Imp_Fuerza_Trabajo*SUMIFS(P$6:P$27,$C$6:$C$27,$C36,$E$6:$E$27,"Sí")</f>
        <v>0</v>
      </c>
      <c r="Q36" s="55">
        <f>Imp_Fuerza_Trabajo*SUMIFS(Q$6:Q$27,$C$6:$C$27,$C36,$E$6:$E$27,"Sí")</f>
        <v>0</v>
      </c>
      <c r="R36" s="55">
        <f>Imp_Fuerza_Trabajo*SUMIFS(R$6:R$27,$C$6:$C$27,$C36,$E$6:$E$27,"Sí")</f>
        <v>0</v>
      </c>
      <c r="S36" s="55">
        <f>Imp_Fuerza_Trabajo*SUMIFS(S$6:S$27,$C$6:$C$27,$C36,$E$6:$E$27,"Sí")</f>
        <v>0</v>
      </c>
      <c r="T36" s="55">
        <f>Imp_Fuerza_Trabajo*SUMIFS(T$6:T$27,$C$6:$C$27,$C36,$E$6:$E$27,"Sí")</f>
        <v>0</v>
      </c>
      <c r="U36" s="55">
        <f>Imp_Fuerza_Trabajo*SUMIFS(U$6:U$27,$C$6:$C$27,$C36,$E$6:$E$27,"Sí")</f>
        <v>0</v>
      </c>
      <c r="V36" s="55">
        <f>Imp_Fuerza_Trabajo*SUMIFS(V$6:V$27,$C$6:$C$27,$C36,$E$6:$E$27,"Sí")</f>
        <v>0</v>
      </c>
      <c r="W36" s="55">
        <f>Imp_Fuerza_Trabajo*SUMIFS(W$6:W$27,$C$6:$C$27,$C36,$E$6:$E$27,"Sí")</f>
        <v>0</v>
      </c>
      <c r="X36" s="55">
        <f>Imp_Fuerza_Trabajo*SUMIFS(X$6:X$27,$C$6:$C$27,$C36,$E$6:$E$27,"Sí")</f>
        <v>0</v>
      </c>
      <c r="Y36" s="55">
        <f>Imp_Fuerza_Trabajo*SUMIFS(Y$6:Y$27,$C$6:$C$27,$C36,$E$6:$E$27,"Sí")</f>
        <v>0</v>
      </c>
      <c r="Z36" s="55">
        <f>Imp_Fuerza_Trabajo*SUMIFS(Z$6:Z$27,$C$6:$C$27,$C36,$E$6:$E$27,"Sí")</f>
        <v>0</v>
      </c>
      <c r="AA36" s="55">
        <f>Imp_Fuerza_Trabajo*SUMIFS(AA$6:AA$27,$C$6:$C$27,$C36,$E$6:$E$27,"Sí")</f>
        <v>0</v>
      </c>
      <c r="AB36" s="55">
        <f>Imp_Fuerza_Trabajo*SUMIFS(AB$6:AB$27,$C$6:$C$27,$C36,$E$6:$E$27,"Sí")</f>
        <v>0</v>
      </c>
      <c r="AC36" s="55">
        <f>Imp_Fuerza_Trabajo*SUMIFS(AC$6:AC$27,$C$6:$C$27,$C36,$E$6:$E$27,"Sí")</f>
        <v>0</v>
      </c>
      <c r="AD36" s="55">
        <f>Imp_Fuerza_Trabajo*SUMIFS(AD$6:AD$27,$C$6:$C$27,$C36,$E$6:$E$27,"Sí")</f>
        <v>0</v>
      </c>
      <c r="AE36" s="59">
        <f>SUM(G36:AD36)</f>
        <v>0</v>
      </c>
    </row>
    <row r="38">
      <c r="A38" s="32" t="n"/>
      <c r="B38" s="32" t="inlineStr">
        <is>
          <t>TOTAL FIJOS GENERALES (se reparten entre todos los kg)</t>
        </is>
      </c>
      <c r="C38" s="32" t="inlineStr">
        <is>
          <t>GENERAL</t>
        </is>
      </c>
      <c r="D38" s="32" t="n"/>
      <c r="E38" s="32" t="n"/>
      <c r="F38" s="57">
        <f>SUMIF($C$6:$C$36,"GENERAL",$F$6:$F$36)</f>
        <v>2640.06666666667</v>
      </c>
      <c r="G38" s="57">
        <f>SUMIF($C$6:$C$36,"GENERAL",G$6:G$36)</f>
        <v>2640.06666666667</v>
      </c>
      <c r="H38" s="57">
        <f>SUMIF($C$6:$C$36,"GENERAL",H$6:H$36)</f>
        <v>2640.06666666667</v>
      </c>
      <c r="I38" s="57">
        <f>SUMIF($C$6:$C$36,"GENERAL",I$6:I$36)</f>
        <v>2640.06666666667</v>
      </c>
      <c r="J38" s="57">
        <f>SUMIF($C$6:$C$36,"GENERAL",J$6:J$36)</f>
        <v>2640.06666666667</v>
      </c>
      <c r="K38" s="57">
        <f>SUMIF($C$6:$C$36,"GENERAL",K$6:K$36)</f>
        <v>2640.06666666667</v>
      </c>
      <c r="L38" s="57">
        <f>SUMIF($C$6:$C$36,"GENERAL",L$6:L$36)</f>
        <v>2640.06666666667</v>
      </c>
      <c r="M38" s="57">
        <f>SUMIF($C$6:$C$36,"GENERAL",M$6:M$36)</f>
        <v>2640.06666666667</v>
      </c>
      <c r="N38" s="57">
        <f>SUMIF($C$6:$C$36,"GENERAL",N$6:N$36)</f>
        <v>2640.06666666667</v>
      </c>
      <c r="O38" s="57">
        <f>SUMIF($C$6:$C$36,"GENERAL",O$6:O$36)</f>
        <v>2640.06666666667</v>
      </c>
      <c r="P38" s="57">
        <f>SUMIF($C$6:$C$36,"GENERAL",P$6:P$36)</f>
        <v>2640.06666666667</v>
      </c>
      <c r="Q38" s="57">
        <f>SUMIF($C$6:$C$36,"GENERAL",Q$6:Q$36)</f>
        <v>2640.06666666667</v>
      </c>
      <c r="R38" s="57">
        <f>SUMIF($C$6:$C$36,"GENERAL",R$6:R$36)</f>
        <v>2640.06666666667</v>
      </c>
      <c r="S38" s="57">
        <f>SUMIF($C$6:$C$36,"GENERAL",S$6:S$36)</f>
        <v>2640.06666666667</v>
      </c>
      <c r="T38" s="57">
        <f>SUMIF($C$6:$C$36,"GENERAL",T$6:T$36)</f>
        <v>2640.06666666667</v>
      </c>
      <c r="U38" s="57">
        <f>SUMIF($C$6:$C$36,"GENERAL",U$6:U$36)</f>
        <v>2640.06666666667</v>
      </c>
      <c r="V38" s="57">
        <f>SUMIF($C$6:$C$36,"GENERAL",V$6:V$36)</f>
        <v>2640.06666666667</v>
      </c>
      <c r="W38" s="57">
        <f>SUMIF($C$6:$C$36,"GENERAL",W$6:W$36)</f>
        <v>2640.06666666667</v>
      </c>
      <c r="X38" s="57">
        <f>SUMIF($C$6:$C$36,"GENERAL",X$6:X$36)</f>
        <v>2640.06666666667</v>
      </c>
      <c r="Y38" s="57">
        <f>SUMIF($C$6:$C$36,"GENERAL",Y$6:Y$36)</f>
        <v>2640.06666666667</v>
      </c>
      <c r="Z38" s="57">
        <f>SUMIF($C$6:$C$36,"GENERAL",Z$6:Z$36)</f>
        <v>2640.06666666667</v>
      </c>
      <c r="AA38" s="57">
        <f>SUMIF($C$6:$C$36,"GENERAL",AA$6:AA$36)</f>
        <v>2640.06666666667</v>
      </c>
      <c r="AB38" s="57">
        <f>SUMIF($C$6:$C$36,"GENERAL",AB$6:AB$36)</f>
        <v>2640.06666666667</v>
      </c>
      <c r="AC38" s="57">
        <f>SUMIF($C$6:$C$36,"GENERAL",AC$6:AC$36)</f>
        <v>2640.06666666667</v>
      </c>
      <c r="AD38" s="57">
        <f>SUMIF($C$6:$C$36,"GENERAL",AD$6:AD$36)</f>
        <v>2640.06666666667</v>
      </c>
      <c r="AE38" s="57">
        <f>SUMIF($C$6:$C$36,"GENERAL",AE$6:AE$36)</f>
        <v>63361.6</v>
      </c>
    </row>
    <row r="39">
      <c r="A39" s="32" t="n"/>
      <c r="B39" s="32" t="inlineStr">
        <is>
          <t>TOTAL FIJOS OCCIDENTE</t>
        </is>
      </c>
      <c r="C39" s="32" t="inlineStr">
        <is>
          <t>OCC</t>
        </is>
      </c>
      <c r="D39" s="32" t="n"/>
      <c r="E39" s="32" t="n"/>
      <c r="F39" s="57">
        <f>SUMIF($C$6:$C$36,"OCC",$F$6:$F$36)</f>
        <v>200</v>
      </c>
      <c r="G39" s="57">
        <f>SUMIF($C$6:$C$36,"OCC",G$6:G$36)</f>
        <v>200</v>
      </c>
      <c r="H39" s="57">
        <f>SUMIF($C$6:$C$36,"OCC",H$6:H$36)</f>
        <v>200</v>
      </c>
      <c r="I39" s="57">
        <f>SUMIF($C$6:$C$36,"OCC",I$6:I$36)</f>
        <v>200</v>
      </c>
      <c r="J39" s="57">
        <f>SUMIF($C$6:$C$36,"OCC",J$6:J$36)</f>
        <v>200</v>
      </c>
      <c r="K39" s="57">
        <f>SUMIF($C$6:$C$36,"OCC",K$6:K$36)</f>
        <v>200</v>
      </c>
      <c r="L39" s="57">
        <f>SUMIF($C$6:$C$36,"OCC",L$6:L$36)</f>
        <v>200</v>
      </c>
      <c r="M39" s="57">
        <f>SUMIF($C$6:$C$36,"OCC",M$6:M$36)</f>
        <v>200</v>
      </c>
      <c r="N39" s="57">
        <f>SUMIF($C$6:$C$36,"OCC",N$6:N$36)</f>
        <v>200</v>
      </c>
      <c r="O39" s="57">
        <f>SUMIF($C$6:$C$36,"OCC",O$6:O$36)</f>
        <v>200</v>
      </c>
      <c r="P39" s="57">
        <f>SUMIF($C$6:$C$36,"OCC",P$6:P$36)</f>
        <v>200</v>
      </c>
      <c r="Q39" s="57">
        <f>SUMIF($C$6:$C$36,"OCC",Q$6:Q$36)</f>
        <v>200</v>
      </c>
      <c r="R39" s="57">
        <f>SUMIF($C$6:$C$36,"OCC",R$6:R$36)</f>
        <v>200</v>
      </c>
      <c r="S39" s="57">
        <f>SUMIF($C$6:$C$36,"OCC",S$6:S$36)</f>
        <v>200</v>
      </c>
      <c r="T39" s="57">
        <f>SUMIF($C$6:$C$36,"OCC",T$6:T$36)</f>
        <v>200</v>
      </c>
      <c r="U39" s="57">
        <f>SUMIF($C$6:$C$36,"OCC",U$6:U$36)</f>
        <v>200</v>
      </c>
      <c r="V39" s="57">
        <f>SUMIF($C$6:$C$36,"OCC",V$6:V$36)</f>
        <v>200</v>
      </c>
      <c r="W39" s="57">
        <f>SUMIF($C$6:$C$36,"OCC",W$6:W$36)</f>
        <v>200</v>
      </c>
      <c r="X39" s="57">
        <f>SUMIF($C$6:$C$36,"OCC",X$6:X$36)</f>
        <v>200</v>
      </c>
      <c r="Y39" s="57">
        <f>SUMIF($C$6:$C$36,"OCC",Y$6:Y$36)</f>
        <v>200</v>
      </c>
      <c r="Z39" s="57">
        <f>SUMIF($C$6:$C$36,"OCC",Z$6:Z$36)</f>
        <v>200</v>
      </c>
      <c r="AA39" s="57">
        <f>SUMIF($C$6:$C$36,"OCC",AA$6:AA$36)</f>
        <v>200</v>
      </c>
      <c r="AB39" s="57">
        <f>SUMIF($C$6:$C$36,"OCC",AB$6:AB$36)</f>
        <v>200</v>
      </c>
      <c r="AC39" s="57">
        <f>SUMIF($C$6:$C$36,"OCC",AC$6:AC$36)</f>
        <v>200</v>
      </c>
      <c r="AD39" s="57">
        <f>SUMIF($C$6:$C$36,"OCC",AD$6:AD$36)</f>
        <v>200</v>
      </c>
      <c r="AE39" s="57">
        <f>SUMIF($C$6:$C$36,"OCC",AE$6:AE$36)</f>
        <v>4800</v>
      </c>
    </row>
    <row r="40">
      <c r="A40" s="32" t="n"/>
      <c r="B40" s="32" t="inlineStr">
        <is>
          <t>TOTAL FIJOS CENTRO</t>
        </is>
      </c>
      <c r="C40" s="32" t="inlineStr">
        <is>
          <t>CEN</t>
        </is>
      </c>
      <c r="D40" s="32" t="n"/>
      <c r="E40" s="32" t="n"/>
      <c r="F40" s="57">
        <f>SUMIF($C$6:$C$36,"CEN",$F$6:$F$36)</f>
        <v>200</v>
      </c>
      <c r="G40" s="57">
        <f>SUMIF($C$6:$C$36,"CEN",G$6:G$36)</f>
        <v>200</v>
      </c>
      <c r="H40" s="57">
        <f>SUMIF($C$6:$C$36,"CEN",H$6:H$36)</f>
        <v>200</v>
      </c>
      <c r="I40" s="57">
        <f>SUMIF($C$6:$C$36,"CEN",I$6:I$36)</f>
        <v>200</v>
      </c>
      <c r="J40" s="57">
        <f>SUMIF($C$6:$C$36,"CEN",J$6:J$36)</f>
        <v>200</v>
      </c>
      <c r="K40" s="57">
        <f>SUMIF($C$6:$C$36,"CEN",K$6:K$36)</f>
        <v>200</v>
      </c>
      <c r="L40" s="57">
        <f>SUMIF($C$6:$C$36,"CEN",L$6:L$36)</f>
        <v>200</v>
      </c>
      <c r="M40" s="57">
        <f>SUMIF($C$6:$C$36,"CEN",M$6:M$36)</f>
        <v>200</v>
      </c>
      <c r="N40" s="57">
        <f>SUMIF($C$6:$C$36,"CEN",N$6:N$36)</f>
        <v>200</v>
      </c>
      <c r="O40" s="57">
        <f>SUMIF($C$6:$C$36,"CEN",O$6:O$36)</f>
        <v>200</v>
      </c>
      <c r="P40" s="57">
        <f>SUMIF($C$6:$C$36,"CEN",P$6:P$36)</f>
        <v>200</v>
      </c>
      <c r="Q40" s="57">
        <f>SUMIF($C$6:$C$36,"CEN",Q$6:Q$36)</f>
        <v>200</v>
      </c>
      <c r="R40" s="57">
        <f>SUMIF($C$6:$C$36,"CEN",R$6:R$36)</f>
        <v>200</v>
      </c>
      <c r="S40" s="57">
        <f>SUMIF($C$6:$C$36,"CEN",S$6:S$36)</f>
        <v>200</v>
      </c>
      <c r="T40" s="57">
        <f>SUMIF($C$6:$C$36,"CEN",T$6:T$36)</f>
        <v>200</v>
      </c>
      <c r="U40" s="57">
        <f>SUMIF($C$6:$C$36,"CEN",U$6:U$36)</f>
        <v>200</v>
      </c>
      <c r="V40" s="57">
        <f>SUMIF($C$6:$C$36,"CEN",V$6:V$36)</f>
        <v>200</v>
      </c>
      <c r="W40" s="57">
        <f>SUMIF($C$6:$C$36,"CEN",W$6:W$36)</f>
        <v>200</v>
      </c>
      <c r="X40" s="57">
        <f>SUMIF($C$6:$C$36,"CEN",X$6:X$36)</f>
        <v>200</v>
      </c>
      <c r="Y40" s="57">
        <f>SUMIF($C$6:$C$36,"CEN",Y$6:Y$36)</f>
        <v>200</v>
      </c>
      <c r="Z40" s="57">
        <f>SUMIF($C$6:$C$36,"CEN",Z$6:Z$36)</f>
        <v>200</v>
      </c>
      <c r="AA40" s="57">
        <f>SUMIF($C$6:$C$36,"CEN",AA$6:AA$36)</f>
        <v>200</v>
      </c>
      <c r="AB40" s="57">
        <f>SUMIF($C$6:$C$36,"CEN",AB$6:AB$36)</f>
        <v>200</v>
      </c>
      <c r="AC40" s="57">
        <f>SUMIF($C$6:$C$36,"CEN",AC$6:AC$36)</f>
        <v>200</v>
      </c>
      <c r="AD40" s="57">
        <f>SUMIF($C$6:$C$36,"CEN",AD$6:AD$36)</f>
        <v>200</v>
      </c>
      <c r="AE40" s="57">
        <f>SUMIF($C$6:$C$36,"CEN",AE$6:AE$36)</f>
        <v>4800</v>
      </c>
    </row>
    <row r="41">
      <c r="A41" s="32" t="n"/>
      <c r="B41" s="32" t="inlineStr">
        <is>
          <t>TOTAL FIJOS ORIENTE</t>
        </is>
      </c>
      <c r="C41" s="32" t="inlineStr">
        <is>
          <t>ORI</t>
        </is>
      </c>
      <c r="D41" s="32" t="n"/>
      <c r="E41" s="32" t="n"/>
      <c r="F41" s="57">
        <f>SUMIF($C$6:$C$36,"ORI",$F$6:$F$36)</f>
        <v>200</v>
      </c>
      <c r="G41" s="57">
        <f>SUMIF($C$6:$C$36,"ORI",G$6:G$36)</f>
        <v>200</v>
      </c>
      <c r="H41" s="57">
        <f>SUMIF($C$6:$C$36,"ORI",H$6:H$36)</f>
        <v>200</v>
      </c>
      <c r="I41" s="57">
        <f>SUMIF($C$6:$C$36,"ORI",I$6:I$36)</f>
        <v>200</v>
      </c>
      <c r="J41" s="57">
        <f>SUMIF($C$6:$C$36,"ORI",J$6:J$36)</f>
        <v>200</v>
      </c>
      <c r="K41" s="57">
        <f>SUMIF($C$6:$C$36,"ORI",K$6:K$36)</f>
        <v>200</v>
      </c>
      <c r="L41" s="57">
        <f>SUMIF($C$6:$C$36,"ORI",L$6:L$36)</f>
        <v>200</v>
      </c>
      <c r="M41" s="57">
        <f>SUMIF($C$6:$C$36,"ORI",M$6:M$36)</f>
        <v>200</v>
      </c>
      <c r="N41" s="57">
        <f>SUMIF($C$6:$C$36,"ORI",N$6:N$36)</f>
        <v>200</v>
      </c>
      <c r="O41" s="57">
        <f>SUMIF($C$6:$C$36,"ORI",O$6:O$36)</f>
        <v>200</v>
      </c>
      <c r="P41" s="57">
        <f>SUMIF($C$6:$C$36,"ORI",P$6:P$36)</f>
        <v>200</v>
      </c>
      <c r="Q41" s="57">
        <f>SUMIF($C$6:$C$36,"ORI",Q$6:Q$36)</f>
        <v>200</v>
      </c>
      <c r="R41" s="57">
        <f>SUMIF($C$6:$C$36,"ORI",R$6:R$36)</f>
        <v>200</v>
      </c>
      <c r="S41" s="57">
        <f>SUMIF($C$6:$C$36,"ORI",S$6:S$36)</f>
        <v>200</v>
      </c>
      <c r="T41" s="57">
        <f>SUMIF($C$6:$C$36,"ORI",T$6:T$36)</f>
        <v>200</v>
      </c>
      <c r="U41" s="57">
        <f>SUMIF($C$6:$C$36,"ORI",U$6:U$36)</f>
        <v>200</v>
      </c>
      <c r="V41" s="57">
        <f>SUMIF($C$6:$C$36,"ORI",V$6:V$36)</f>
        <v>200</v>
      </c>
      <c r="W41" s="57">
        <f>SUMIF($C$6:$C$36,"ORI",W$6:W$36)</f>
        <v>200</v>
      </c>
      <c r="X41" s="57">
        <f>SUMIF($C$6:$C$36,"ORI",X$6:X$36)</f>
        <v>200</v>
      </c>
      <c r="Y41" s="57">
        <f>SUMIF($C$6:$C$36,"ORI",Y$6:Y$36)</f>
        <v>200</v>
      </c>
      <c r="Z41" s="57">
        <f>SUMIF($C$6:$C$36,"ORI",Z$6:Z$36)</f>
        <v>200</v>
      </c>
      <c r="AA41" s="57">
        <f>SUMIF($C$6:$C$36,"ORI",AA$6:AA$36)</f>
        <v>200</v>
      </c>
      <c r="AB41" s="57">
        <f>SUMIF($C$6:$C$36,"ORI",AB$6:AB$36)</f>
        <v>200</v>
      </c>
      <c r="AC41" s="57">
        <f>SUMIF($C$6:$C$36,"ORI",AC$6:AC$36)</f>
        <v>200</v>
      </c>
      <c r="AD41" s="57">
        <f>SUMIF($C$6:$C$36,"ORI",AD$6:AD$36)</f>
        <v>200</v>
      </c>
      <c r="AE41" s="57">
        <f>SUMIF($C$6:$C$36,"ORI",AE$6:AE$36)</f>
        <v>4800</v>
      </c>
    </row>
    <row r="42">
      <c r="A42" s="32" t="n"/>
      <c r="B42" s="32" t="inlineStr">
        <is>
          <t>TOTAL COSTOS FIJOS DEL MES</t>
        </is>
      </c>
      <c r="C42" s="32" t="n"/>
      <c r="D42" s="32" t="n"/>
      <c r="E42" s="32" t="n"/>
      <c r="F42" s="57">
        <f>SUM(F38:F41)</f>
        <v>3240.06666666667</v>
      </c>
      <c r="G42" s="57">
        <f>SUM(G38:G41)</f>
        <v>3240.06666666667</v>
      </c>
      <c r="H42" s="57">
        <f>SUM(H38:H41)</f>
        <v>3240.06666666667</v>
      </c>
      <c r="I42" s="57">
        <f>SUM(I38:I41)</f>
        <v>3240.06666666667</v>
      </c>
      <c r="J42" s="57">
        <f>SUM(J38:J41)</f>
        <v>3240.06666666667</v>
      </c>
      <c r="K42" s="57">
        <f>SUM(K38:K41)</f>
        <v>3240.06666666667</v>
      </c>
      <c r="L42" s="57">
        <f>SUM(L38:L41)</f>
        <v>3240.06666666667</v>
      </c>
      <c r="M42" s="57">
        <f>SUM(M38:M41)</f>
        <v>3240.06666666667</v>
      </c>
      <c r="N42" s="57">
        <f>SUM(N38:N41)</f>
        <v>3240.06666666667</v>
      </c>
      <c r="O42" s="57">
        <f>SUM(O38:O41)</f>
        <v>3240.06666666667</v>
      </c>
      <c r="P42" s="57">
        <f>SUM(P38:P41)</f>
        <v>3240.06666666667</v>
      </c>
      <c r="Q42" s="57">
        <f>SUM(Q38:Q41)</f>
        <v>3240.06666666667</v>
      </c>
      <c r="R42" s="57">
        <f>SUM(R38:R41)</f>
        <v>3240.06666666667</v>
      </c>
      <c r="S42" s="57">
        <f>SUM(S38:S41)</f>
        <v>3240.06666666667</v>
      </c>
      <c r="T42" s="57">
        <f>SUM(T38:T41)</f>
        <v>3240.06666666667</v>
      </c>
      <c r="U42" s="57">
        <f>SUM(U38:U41)</f>
        <v>3240.06666666667</v>
      </c>
      <c r="V42" s="57">
        <f>SUM(V38:V41)</f>
        <v>3240.06666666667</v>
      </c>
      <c r="W42" s="57">
        <f>SUM(W38:W41)</f>
        <v>3240.06666666667</v>
      </c>
      <c r="X42" s="57">
        <f>SUM(X38:X41)</f>
        <v>3240.06666666667</v>
      </c>
      <c r="Y42" s="57">
        <f>SUM(Y38:Y41)</f>
        <v>3240.06666666667</v>
      </c>
      <c r="Z42" s="57">
        <f>SUM(Z38:Z41)</f>
        <v>3240.06666666667</v>
      </c>
      <c r="AA42" s="57">
        <f>SUM(AA38:AA41)</f>
        <v>3240.06666666667</v>
      </c>
      <c r="AB42" s="57">
        <f>SUM(AB38:AB41)</f>
        <v>3240.06666666667</v>
      </c>
      <c r="AC42" s="57">
        <f>SUM(AC38:AC41)</f>
        <v>3240.06666666667</v>
      </c>
      <c r="AD42" s="57">
        <f>SUM(AD38:AD41)</f>
        <v>3240.06666666667</v>
      </c>
      <c r="AE42" s="57">
        <f>SUM(AE38:AE41)</f>
        <v>77761.6</v>
      </c>
    </row>
  </sheetData>
  <sheetProtection selectLockedCells="0" selectUnlockedCells="0" sheet="1" objects="0" insertRows="1" insertHyperlinks="1" autoFilter="0" scenarios="0" formatColumns="0" deleteColumns="1" insertColumns="1" pivotTables="1" deleteRows="1" formatCells="1" formatRows="0" sort="1"/>
  <dataValidations count="3">
    <dataValidation sqref="C6:C27" showDropDown="0" showInputMessage="0" showErrorMessage="1" allowBlank="0" errorTitle="Valor no válido" error="Seleccione un valor de la lista." type="list">
      <formula1>=L_Centro</formula1>
    </dataValidation>
    <dataValidation sqref="D6:D27" showDropDown="0" showInputMessage="0" showErrorMessage="1" allowBlank="1" errorTitle="Valor no válido" error="Seleccione un valor de la lista." type="list">
      <formula1>=L_Elemento</formula1>
    </dataValidation>
    <dataValidation sqref="E6:E27" showDropDown="0" showInputMessage="0" showErrorMessage="1" allowBlank="0" errorTitle="Valor no válido" error="Seleccione un valor de la lista." type="list">
      <formula1>=L_SiNo</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I42"/>
  <sheetViews>
    <sheetView showGridLines="0" zoomScale="90" workbookViewId="0">
      <pane ySplit="11" topLeftCell="A12" activePane="bottomLeft" state="frozen"/>
      <selection pane="bottomLeft" activeCell="A1" sqref="A1"/>
    </sheetView>
  </sheetViews>
  <sheetFormatPr baseColWidth="8" defaultRowHeight="15"/>
  <cols>
    <col width="5" customWidth="1" min="1" max="1"/>
    <col width="26" customWidth="1" min="2" max="2"/>
    <col width="15" customWidth="1" min="3" max="3"/>
    <col width="20" customWidth="1" min="4" max="4"/>
    <col width="11" customWidth="1" min="5" max="5"/>
    <col width="13" customWidth="1" min="6" max="6"/>
    <col width="16" customWidth="1" min="7" max="7"/>
    <col width="13" customWidth="1" min="8" max="8"/>
    <col width="14" customWidth="1" min="9" max="9"/>
  </cols>
  <sheetData>
    <row r="1" ht="24" customHeight="1">
      <c r="A1" s="1" t="inlineStr">
        <is>
          <t>Comercialización: 21 gestores y liquidación mensual</t>
        </is>
      </c>
    </row>
    <row r="2">
      <c r="A2" s="2" t="inlineStr">
        <is>
          <t>El pago fijo de todos los gestores pasa a COSTOS_FIJOS. La parte variable se liquida cada mes y se concilia con los kg o ingresos reales del mes.</t>
        </is>
      </c>
    </row>
    <row r="4">
      <c r="A4" s="18" t="inlineStr">
        <is>
          <t>Mes a liquidar</t>
        </is>
      </c>
      <c r="C4" s="19" t="n">
        <v>46296</v>
      </c>
    </row>
    <row r="5">
      <c r="A5" s="18" t="inlineStr">
        <is>
          <t>Vigencia de precios del mes</t>
        </is>
      </c>
      <c r="C5" s="60">
        <f>IFERROR(MATCH(SUMPRODUCT(MAX((PRECIOS!$A$6:$A$55&lt;=EOMONTH(C4,0))*PRECIOS!$A$6:$A$55)),PRECIOS!$A$6:$A$55,0),1)</f>
        <v>1</v>
      </c>
    </row>
    <row r="6">
      <c r="A6" s="18" t="inlineStr">
        <is>
          <t>Base de la comisión</t>
        </is>
      </c>
      <c r="C6" s="61" t="str">
        <f>Base_Comision</f>
        <v>% DEL INGRESO</v>
      </c>
    </row>
    <row r="7">
      <c r="A7" s="18" t="inlineStr">
        <is>
          <t>Tasa variable aplicable</t>
        </is>
      </c>
      <c r="C7" s="62">
        <f>IF(C6="% DEL INGRESO",INDEX(PRECIOS!$L$6:$L$55,C5),INDEX(PRECIOS!$M$6:$M$55,C5))</f>
        <v>0.03</v>
      </c>
      <c r="D7" s="2" t="str">
        <f>IF(C6="% DEL INGRESO","de lo cobrado (USD)","USD por kg entregado")</f>
        <v>de lo cobrado (USD)</v>
      </c>
    </row>
    <row r="8">
      <c r="A8" s="18" t="inlineStr">
        <is>
          <t>Pago fijo mensual por defecto (USD)</t>
        </is>
      </c>
      <c r="C8" s="46" t="n">
        <v>50</v>
      </c>
      <c r="D8" s="2" t="inlineStr">
        <is>
          <t>ILUSTRATIVO. Todos los gestores cobran lo mismo; se puede ajustar por persona en la columna F.</t>
        </is>
      </c>
    </row>
    <row r="11" ht="45" customHeight="1">
      <c r="A11" s="5" t="inlineStr">
        <is>
          <t>Nº</t>
        </is>
      </c>
      <c r="B11" s="5" t="inlineStr">
        <is>
          <t>Nombre del gestor</t>
        </is>
      </c>
      <c r="C11" s="5" t="inlineStr">
        <is>
          <t>Grupo</t>
        </is>
      </c>
      <c r="D11" s="5" t="inlineStr">
        <is>
          <t>Territorio</t>
        </is>
      </c>
      <c r="E11" s="5" t="inlineStr">
        <is>
          <t>Región</t>
        </is>
      </c>
      <c r="F11" s="5" t="inlineStr">
        <is>
          <t>Pago fijo mensual (USD)</t>
        </is>
      </c>
      <c r="G11" s="5" t="inlineStr">
        <is>
          <t>Base variable del mes (USD cobrados o kg)</t>
        </is>
      </c>
      <c r="H11" s="5" t="inlineStr">
        <is>
          <t>Pago variable (USD)</t>
        </is>
      </c>
      <c r="I11" s="5" t="inlineStr">
        <is>
          <t>TOTAL A PAGAR (USD)</t>
        </is>
      </c>
    </row>
    <row r="12">
      <c r="A12" s="40" t="n">
        <v>1</v>
      </c>
      <c r="B12" s="43" t="inlineStr">
        <is>
          <t>Gestor 01 (editar)</t>
        </is>
      </c>
      <c r="C12" s="43" t="inlineStr">
        <is>
          <t>Grupo central</t>
        </is>
      </c>
      <c r="D12" s="43" t="inlineStr">
        <is>
          <t>Oficina central</t>
        </is>
      </c>
      <c r="E12" s="8" t="str">
        <f>IFERROR(INDEX(L_TerrRegion,MATCH(D12,L_Territorio,0)),"")</f>
        <v>General</v>
      </c>
      <c r="F12" s="46">
        <f>$C$8</f>
        <v>50</v>
      </c>
      <c r="G12" s="46" t="n">
        <v>0</v>
      </c>
      <c r="H12" s="55">
        <f>N(G12)*$C$7</f>
        <v>0</v>
      </c>
      <c r="I12" s="59">
        <f>N(F12)+H12</f>
        <v>50</v>
      </c>
    </row>
    <row r="13">
      <c r="A13" s="40" t="n">
        <v>2</v>
      </c>
      <c r="B13" s="43" t="inlineStr">
        <is>
          <t>Gestor 02 (editar)</t>
        </is>
      </c>
      <c r="C13" s="43" t="inlineStr">
        <is>
          <t>Grupo central</t>
        </is>
      </c>
      <c r="D13" s="43" t="inlineStr">
        <is>
          <t>Oficina central</t>
        </is>
      </c>
      <c r="E13" s="8" t="str">
        <f>IFERROR(INDEX(L_TerrRegion,MATCH(D13,L_Territorio,0)),"")</f>
        <v>General</v>
      </c>
      <c r="F13" s="46">
        <f>$C$8</f>
        <v>50</v>
      </c>
      <c r="G13" s="46" t="n">
        <v>0</v>
      </c>
      <c r="H13" s="55">
        <f>N(G13)*$C$7</f>
        <v>0</v>
      </c>
      <c r="I13" s="59">
        <f>N(F13)+H13</f>
        <v>50</v>
      </c>
    </row>
    <row r="14">
      <c r="A14" s="40" t="n">
        <v>3</v>
      </c>
      <c r="B14" s="43" t="inlineStr">
        <is>
          <t>Gestor 03 (editar)</t>
        </is>
      </c>
      <c r="C14" s="43" t="inlineStr">
        <is>
          <t>Grupo central</t>
        </is>
      </c>
      <c r="D14" s="43" t="inlineStr">
        <is>
          <t>Oficina central</t>
        </is>
      </c>
      <c r="E14" s="8" t="str">
        <f>IFERROR(INDEX(L_TerrRegion,MATCH(D14,L_Territorio,0)),"")</f>
        <v>General</v>
      </c>
      <c r="F14" s="46">
        <f>$C$8</f>
        <v>50</v>
      </c>
      <c r="G14" s="46" t="n">
        <v>0</v>
      </c>
      <c r="H14" s="55">
        <f>N(G14)*$C$7</f>
        <v>0</v>
      </c>
      <c r="I14" s="59">
        <f>N(F14)+H14</f>
        <v>50</v>
      </c>
    </row>
    <row r="15">
      <c r="A15" s="40" t="n">
        <v>4</v>
      </c>
      <c r="B15" s="43" t="inlineStr">
        <is>
          <t>Gestor 04 (editar)</t>
        </is>
      </c>
      <c r="C15" s="43" t="inlineStr">
        <is>
          <t>Grupo central</t>
        </is>
      </c>
      <c r="D15" s="43" t="inlineStr">
        <is>
          <t>Oficina central</t>
        </is>
      </c>
      <c r="E15" s="8" t="str">
        <f>IFERROR(INDEX(L_TerrRegion,MATCH(D15,L_Territorio,0)),"")</f>
        <v>General</v>
      </c>
      <c r="F15" s="46">
        <f>$C$8</f>
        <v>50</v>
      </c>
      <c r="G15" s="46" t="n">
        <v>0</v>
      </c>
      <c r="H15" s="55">
        <f>N(G15)*$C$7</f>
        <v>0</v>
      </c>
      <c r="I15" s="59">
        <f>N(F15)+H15</f>
        <v>50</v>
      </c>
    </row>
    <row r="16">
      <c r="A16" s="40" t="n">
        <v>5</v>
      </c>
      <c r="B16" s="43" t="inlineStr">
        <is>
          <t>Gestor 05 (editar)</t>
        </is>
      </c>
      <c r="C16" s="43" t="inlineStr">
        <is>
          <t>Grupo central</t>
        </is>
      </c>
      <c r="D16" s="43" t="inlineStr">
        <is>
          <t>Oficina central</t>
        </is>
      </c>
      <c r="E16" s="8" t="str">
        <f>IFERROR(INDEX(L_TerrRegion,MATCH(D16,L_Territorio,0)),"")</f>
        <v>General</v>
      </c>
      <c r="F16" s="46">
        <f>$C$8</f>
        <v>50</v>
      </c>
      <c r="G16" s="46" t="n">
        <v>0</v>
      </c>
      <c r="H16" s="55">
        <f>N(G16)*$C$7</f>
        <v>0</v>
      </c>
      <c r="I16" s="59">
        <f>N(F16)+H16</f>
        <v>50</v>
      </c>
    </row>
    <row r="17">
      <c r="A17" s="40" t="n">
        <v>6</v>
      </c>
      <c r="B17" s="43" t="inlineStr">
        <is>
          <t>Gestor 06 (editar)</t>
        </is>
      </c>
      <c r="C17" s="43" t="inlineStr">
        <is>
          <t>Provincial</t>
        </is>
      </c>
      <c r="D17" s="43" t="inlineStr">
        <is>
          <t>Pinar del Río</t>
        </is>
      </c>
      <c r="E17" s="8" t="str">
        <f>IFERROR(INDEX(L_TerrRegion,MATCH(D17,L_Territorio,0)),"")</f>
        <v>Occidente</v>
      </c>
      <c r="F17" s="46">
        <f>$C$8</f>
        <v>50</v>
      </c>
      <c r="G17" s="46" t="n">
        <v>833.6799999999999</v>
      </c>
      <c r="H17" s="55">
        <f>N(G17)*$C$7</f>
        <v>25.0104</v>
      </c>
      <c r="I17" s="59">
        <f>N(F17)+H17</f>
        <v>75.0104</v>
      </c>
    </row>
    <row r="18">
      <c r="A18" s="40" t="n">
        <v>7</v>
      </c>
      <c r="B18" s="43" t="inlineStr">
        <is>
          <t>Gestor 07 (editar)</t>
        </is>
      </c>
      <c r="C18" s="43" t="inlineStr">
        <is>
          <t>Provincial</t>
        </is>
      </c>
      <c r="D18" s="43" t="inlineStr">
        <is>
          <t>Artemisa</t>
        </is>
      </c>
      <c r="E18" s="8" t="str">
        <f>IFERROR(INDEX(L_TerrRegion,MATCH(D18,L_Territorio,0)),"")</f>
        <v>Occidente</v>
      </c>
      <c r="F18" s="46">
        <f>$C$8</f>
        <v>50</v>
      </c>
      <c r="G18" s="46" t="n">
        <v>833.6799999999999</v>
      </c>
      <c r="H18" s="55">
        <f>N(G18)*$C$7</f>
        <v>25.0104</v>
      </c>
      <c r="I18" s="59">
        <f>N(F18)+H18</f>
        <v>75.0104</v>
      </c>
    </row>
    <row r="19">
      <c r="A19" s="40" t="n">
        <v>8</v>
      </c>
      <c r="B19" s="43" t="inlineStr">
        <is>
          <t>Gestor 08 (editar)</t>
        </is>
      </c>
      <c r="C19" s="43" t="inlineStr">
        <is>
          <t>Provincial</t>
        </is>
      </c>
      <c r="D19" s="43" t="inlineStr">
        <is>
          <t>La Habana</t>
        </is>
      </c>
      <c r="E19" s="8" t="str">
        <f>IFERROR(INDEX(L_TerrRegion,MATCH(D19,L_Territorio,0)),"")</f>
        <v>Occidente</v>
      </c>
      <c r="F19" s="46">
        <f>$C$8</f>
        <v>50</v>
      </c>
      <c r="G19" s="46" t="n">
        <v>3334.74</v>
      </c>
      <c r="H19" s="55">
        <f>N(G19)*$C$7</f>
        <v>100.0422</v>
      </c>
      <c r="I19" s="59">
        <f>N(F19)+H19</f>
        <v>150.0422</v>
      </c>
    </row>
    <row r="20">
      <c r="A20" s="40" t="n">
        <v>9</v>
      </c>
      <c r="B20" s="43" t="inlineStr">
        <is>
          <t>Gestor 09 (editar)</t>
        </is>
      </c>
      <c r="C20" s="43" t="inlineStr">
        <is>
          <t>Provincial</t>
        </is>
      </c>
      <c r="D20" s="43" t="inlineStr">
        <is>
          <t>Mayabeque</t>
        </is>
      </c>
      <c r="E20" s="8" t="str">
        <f>IFERROR(INDEX(L_TerrRegion,MATCH(D20,L_Territorio,0)),"")</f>
        <v>Occidente</v>
      </c>
      <c r="F20" s="46">
        <f>$C$8</f>
        <v>50</v>
      </c>
      <c r="G20" s="46" t="n">
        <v>833.6799999999999</v>
      </c>
      <c r="H20" s="55">
        <f>N(G20)*$C$7</f>
        <v>25.0104</v>
      </c>
      <c r="I20" s="59">
        <f>N(F20)+H20</f>
        <v>75.0104</v>
      </c>
    </row>
    <row r="21">
      <c r="A21" s="40" t="n">
        <v>10</v>
      </c>
      <c r="B21" s="43" t="inlineStr">
        <is>
          <t>Gestor 10 (editar)</t>
        </is>
      </c>
      <c r="C21" s="43" t="inlineStr">
        <is>
          <t>Provincial</t>
        </is>
      </c>
      <c r="D21" s="43" t="inlineStr">
        <is>
          <t>Matanzas</t>
        </is>
      </c>
      <c r="E21" s="8" t="str">
        <f>IFERROR(INDEX(L_TerrRegion,MATCH(D21,L_Territorio,0)),"")</f>
        <v>Occidente</v>
      </c>
      <c r="F21" s="46">
        <f>$C$8</f>
        <v>50</v>
      </c>
      <c r="G21" s="46" t="n">
        <v>1667.37</v>
      </c>
      <c r="H21" s="55">
        <f>N(G21)*$C$7</f>
        <v>50.0211</v>
      </c>
      <c r="I21" s="59">
        <f>N(F21)+H21</f>
        <v>100.0211</v>
      </c>
    </row>
    <row r="22">
      <c r="A22" s="40" t="n">
        <v>11</v>
      </c>
      <c r="B22" s="43" t="inlineStr">
        <is>
          <t>Gestor 11 (editar)</t>
        </is>
      </c>
      <c r="C22" s="43" t="inlineStr">
        <is>
          <t>Provincial</t>
        </is>
      </c>
      <c r="D22" s="43" t="inlineStr">
        <is>
          <t>Isla de la Juventud</t>
        </is>
      </c>
      <c r="E22" s="8" t="str">
        <f>IFERROR(INDEX(L_TerrRegion,MATCH(D22,L_Territorio,0)),"")</f>
        <v>Occidente</v>
      </c>
      <c r="F22" s="46">
        <f>$C$8</f>
        <v>50</v>
      </c>
      <c r="G22" s="46" t="n">
        <v>416.85</v>
      </c>
      <c r="H22" s="55">
        <f>N(G22)*$C$7</f>
        <v>12.5055</v>
      </c>
      <c r="I22" s="59">
        <f>N(F22)+H22</f>
        <v>62.5055</v>
      </c>
    </row>
    <row r="23">
      <c r="A23" s="40" t="n">
        <v>12</v>
      </c>
      <c r="B23" s="43" t="inlineStr">
        <is>
          <t>Gestor 12 (editar)</t>
        </is>
      </c>
      <c r="C23" s="43" t="inlineStr">
        <is>
          <t>Provincial</t>
        </is>
      </c>
      <c r="D23" s="43" t="inlineStr">
        <is>
          <t>Cienfuegos</t>
        </is>
      </c>
      <c r="E23" s="8" t="str">
        <f>IFERROR(INDEX(L_TerrRegion,MATCH(D23,L_Territorio,0)),"")</f>
        <v>Centro</v>
      </c>
      <c r="F23" s="46">
        <f>$C$8</f>
        <v>50</v>
      </c>
      <c r="G23" s="46" t="n">
        <v>502.86</v>
      </c>
      <c r="H23" s="55">
        <f>N(G23)*$C$7</f>
        <v>15.0858</v>
      </c>
      <c r="I23" s="59">
        <f>N(F23)+H23</f>
        <v>65.0858</v>
      </c>
    </row>
    <row r="24">
      <c r="A24" s="40" t="n">
        <v>13</v>
      </c>
      <c r="B24" s="43" t="inlineStr">
        <is>
          <t>Gestor 13 (editar)</t>
        </is>
      </c>
      <c r="C24" s="43" t="inlineStr">
        <is>
          <t>Provincial</t>
        </is>
      </c>
      <c r="D24" s="43" t="inlineStr">
        <is>
          <t>Villa Clara</t>
        </is>
      </c>
      <c r="E24" s="8" t="str">
        <f>IFERROR(INDEX(L_TerrRegion,MATCH(D24,L_Territorio,0)),"")</f>
        <v>Centro</v>
      </c>
      <c r="F24" s="46">
        <f>$C$8</f>
        <v>50</v>
      </c>
      <c r="G24" s="46" t="n">
        <v>1005.71</v>
      </c>
      <c r="H24" s="55">
        <f>N(G24)*$C$7</f>
        <v>30.1713</v>
      </c>
      <c r="I24" s="59">
        <f>N(F24)+H24</f>
        <v>80.1713</v>
      </c>
    </row>
    <row r="25">
      <c r="A25" s="40" t="n">
        <v>14</v>
      </c>
      <c r="B25" s="43" t="inlineStr">
        <is>
          <t>Gestor 14 (editar)</t>
        </is>
      </c>
      <c r="C25" s="43" t="inlineStr">
        <is>
          <t>Provincial</t>
        </is>
      </c>
      <c r="D25" s="43" t="inlineStr">
        <is>
          <t>Sancti Spíritus</t>
        </is>
      </c>
      <c r="E25" s="8" t="str">
        <f>IFERROR(INDEX(L_TerrRegion,MATCH(D25,L_Territorio,0)),"")</f>
        <v>Centro</v>
      </c>
      <c r="F25" s="46">
        <f>$C$8</f>
        <v>50</v>
      </c>
      <c r="G25" s="46" t="n">
        <v>502.86</v>
      </c>
      <c r="H25" s="55">
        <f>N(G25)*$C$7</f>
        <v>15.0858</v>
      </c>
      <c r="I25" s="59">
        <f>N(F25)+H25</f>
        <v>65.0858</v>
      </c>
    </row>
    <row r="26">
      <c r="A26" s="40" t="n">
        <v>15</v>
      </c>
      <c r="B26" s="43" t="inlineStr">
        <is>
          <t>Gestor 15 (editar)</t>
        </is>
      </c>
      <c r="C26" s="43" t="inlineStr">
        <is>
          <t>Provincial</t>
        </is>
      </c>
      <c r="D26" s="43" t="inlineStr">
        <is>
          <t>Ciego de Ávila</t>
        </is>
      </c>
      <c r="E26" s="8" t="str">
        <f>IFERROR(INDEX(L_TerrRegion,MATCH(D26,L_Territorio,0)),"")</f>
        <v>Centro</v>
      </c>
      <c r="F26" s="46">
        <f>$C$8</f>
        <v>50</v>
      </c>
      <c r="G26" s="46" t="n">
        <v>502.86</v>
      </c>
      <c r="H26" s="55">
        <f>N(G26)*$C$7</f>
        <v>15.0858</v>
      </c>
      <c r="I26" s="59">
        <f>N(F26)+H26</f>
        <v>65.0858</v>
      </c>
    </row>
    <row r="27">
      <c r="A27" s="40" t="n">
        <v>16</v>
      </c>
      <c r="B27" s="43" t="inlineStr">
        <is>
          <t>Gestor 16 (editar)</t>
        </is>
      </c>
      <c r="C27" s="43" t="inlineStr">
        <is>
          <t>Provincial</t>
        </is>
      </c>
      <c r="D27" s="43" t="inlineStr">
        <is>
          <t>Camagüey</t>
        </is>
      </c>
      <c r="E27" s="8" t="str">
        <f>IFERROR(INDEX(L_TerrRegion,MATCH(D27,L_Territorio,0)),"")</f>
        <v>Centro</v>
      </c>
      <c r="F27" s="46">
        <f>$C$8</f>
        <v>50</v>
      </c>
      <c r="G27" s="46" t="n">
        <v>1005.71</v>
      </c>
      <c r="H27" s="55">
        <f>N(G27)*$C$7</f>
        <v>30.1713</v>
      </c>
      <c r="I27" s="59">
        <f>N(F27)+H27</f>
        <v>80.1713</v>
      </c>
    </row>
    <row r="28">
      <c r="A28" s="40" t="n">
        <v>17</v>
      </c>
      <c r="B28" s="43" t="inlineStr">
        <is>
          <t>Gestor 17 (editar)</t>
        </is>
      </c>
      <c r="C28" s="43" t="inlineStr">
        <is>
          <t>Provincial</t>
        </is>
      </c>
      <c r="D28" s="43" t="inlineStr">
        <is>
          <t>Las Tunas</t>
        </is>
      </c>
      <c r="E28" s="8" t="str">
        <f>IFERROR(INDEX(L_TerrRegion,MATCH(D28,L_Territorio,0)),"")</f>
        <v>Oriente</v>
      </c>
      <c r="F28" s="46">
        <f>$C$8</f>
        <v>50</v>
      </c>
      <c r="G28" s="46" t="n">
        <v>630</v>
      </c>
      <c r="H28" s="55">
        <f>N(G28)*$C$7</f>
        <v>18.9</v>
      </c>
      <c r="I28" s="59">
        <f>N(F28)+H28</f>
        <v>68.9</v>
      </c>
    </row>
    <row r="29">
      <c r="A29" s="40" t="n">
        <v>18</v>
      </c>
      <c r="B29" s="43" t="inlineStr">
        <is>
          <t>Gestor 18 (editar)</t>
        </is>
      </c>
      <c r="C29" s="43" t="inlineStr">
        <is>
          <t>Provincial</t>
        </is>
      </c>
      <c r="D29" s="43" t="inlineStr">
        <is>
          <t>Holguín</t>
        </is>
      </c>
      <c r="E29" s="8" t="str">
        <f>IFERROR(INDEX(L_TerrRegion,MATCH(D29,L_Territorio,0)),"")</f>
        <v>Oriente</v>
      </c>
      <c r="F29" s="46">
        <f>$C$8</f>
        <v>50</v>
      </c>
      <c r="G29" s="46" t="n">
        <v>1260</v>
      </c>
      <c r="H29" s="55">
        <f>N(G29)*$C$7</f>
        <v>37.8</v>
      </c>
      <c r="I29" s="59">
        <f>N(F29)+H29</f>
        <v>87.8</v>
      </c>
    </row>
    <row r="30">
      <c r="A30" s="40" t="n">
        <v>19</v>
      </c>
      <c r="B30" s="43" t="inlineStr">
        <is>
          <t>Gestor 19 (editar)</t>
        </is>
      </c>
      <c r="C30" s="43" t="inlineStr">
        <is>
          <t>Provincial</t>
        </is>
      </c>
      <c r="D30" s="43" t="inlineStr">
        <is>
          <t>Granma</t>
        </is>
      </c>
      <c r="E30" s="8" t="str">
        <f>IFERROR(INDEX(L_TerrRegion,MATCH(D30,L_Territorio,0)),"")</f>
        <v>Oriente</v>
      </c>
      <c r="F30" s="46">
        <f>$C$8</f>
        <v>50</v>
      </c>
      <c r="G30" s="46" t="n">
        <v>945</v>
      </c>
      <c r="H30" s="55">
        <f>N(G30)*$C$7</f>
        <v>28.35</v>
      </c>
      <c r="I30" s="59">
        <f>N(F30)+H30</f>
        <v>78.35</v>
      </c>
    </row>
    <row r="31">
      <c r="A31" s="40" t="n">
        <v>20</v>
      </c>
      <c r="B31" s="43" t="inlineStr">
        <is>
          <t>Gestor 20 (editar)</t>
        </is>
      </c>
      <c r="C31" s="43" t="inlineStr">
        <is>
          <t>Provincial</t>
        </is>
      </c>
      <c r="D31" s="43" t="inlineStr">
        <is>
          <t>Santiago de Cuba</t>
        </is>
      </c>
      <c r="E31" s="8" t="str">
        <f>IFERROR(INDEX(L_TerrRegion,MATCH(D31,L_Territorio,0)),"")</f>
        <v>Oriente</v>
      </c>
      <c r="F31" s="46">
        <f>$C$8</f>
        <v>50</v>
      </c>
      <c r="G31" s="46" t="n">
        <v>1575</v>
      </c>
      <c r="H31" s="55">
        <f>N(G31)*$C$7</f>
        <v>47.25</v>
      </c>
      <c r="I31" s="59">
        <f>N(F31)+H31</f>
        <v>97.25</v>
      </c>
    </row>
    <row r="32">
      <c r="A32" s="40" t="n">
        <v>21</v>
      </c>
      <c r="B32" s="43" t="inlineStr">
        <is>
          <t>Gestor 21 (editar)</t>
        </is>
      </c>
      <c r="C32" s="43" t="inlineStr">
        <is>
          <t>Provincial</t>
        </is>
      </c>
      <c r="D32" s="43" t="inlineStr">
        <is>
          <t>Guantánamo</t>
        </is>
      </c>
      <c r="E32" s="8" t="str">
        <f>IFERROR(INDEX(L_TerrRegion,MATCH(D32,L_Territorio,0)),"")</f>
        <v>Oriente</v>
      </c>
      <c r="F32" s="46">
        <f>$C$8</f>
        <v>50</v>
      </c>
      <c r="G32" s="46" t="n">
        <v>630</v>
      </c>
      <c r="H32" s="55">
        <f>N(G32)*$C$7</f>
        <v>18.9</v>
      </c>
      <c r="I32" s="59">
        <f>N(F32)+H32</f>
        <v>68.9</v>
      </c>
    </row>
    <row r="33">
      <c r="B33" s="32" t="inlineStr">
        <is>
          <t>TOTAL</t>
        </is>
      </c>
      <c r="F33" s="57">
        <f>SUM(F12:F32)</f>
        <v>1050</v>
      </c>
      <c r="G33" s="57">
        <f>SUM(G12:G32)</f>
        <v>16480</v>
      </c>
      <c r="H33" s="57">
        <f>SUM(H12:H32)</f>
        <v>494.4</v>
      </c>
      <c r="I33" s="57">
        <f>SUM(I12:I32)</f>
        <v>1544.4</v>
      </c>
    </row>
    <row r="35">
      <c r="A35" s="3" t="inlineStr">
        <is>
          <t>CONCILIACIÓN DEL MES</t>
        </is>
      </c>
    </row>
    <row r="36">
      <c r="A36" s="8" t="inlineStr">
        <is>
          <t>Base variable declarada por los gestores</t>
        </is>
      </c>
      <c r="G36" s="55">
        <f>G33</f>
        <v>16480</v>
      </c>
    </row>
    <row r="37">
      <c r="A37" s="8" t="inlineStr">
        <is>
          <t>Base real del mes según las operaciones (CALCULO)</t>
        </is>
      </c>
      <c r="G37" s="48">
        <f>IF(C6="% DEL INGRESO",SUMIFS(CALCULO!$M$6:$M$305,CALCULO!$D$6:$D$305,C4)+SUMIFS(CALCULO!$N$6:$N$305,CALCULO!$D$6:$D$305,C4)+SUMIFS(CALCULO!$O$6:$O$305,CALCULO!$D$6:$D$305,C4),SUMIFS(CALCULO!$J$6:$J$305,CALCULO!$D$6:$D$305,C4))</f>
        <v>16480</v>
      </c>
    </row>
    <row r="38">
      <c r="A38" s="9" t="inlineStr">
        <is>
          <t>Diferencia</t>
        </is>
      </c>
      <c r="G38" s="59">
        <f>G36-G37</f>
        <v>0</v>
      </c>
    </row>
    <row r="39">
      <c r="A39" s="9" t="inlineStr">
        <is>
          <t>Estado de la conciliación</t>
        </is>
      </c>
      <c r="G39" s="18" t="str">
        <f>IF(ABS(G38)&lt;0.01,"CUADRA","REVISAR: la base declarada no coincide con las operaciones")</f>
        <v>CUADRA</v>
      </c>
    </row>
    <row r="40">
      <c r="A40" s="8" t="inlineStr">
        <is>
          <t>Pago variable calculado en el modelo de costos (CALCULO)</t>
        </is>
      </c>
      <c r="G40" s="48">
        <f>SUMIFS(CALCULO!$BH$6:$BH$305,CALCULO!$D$6:$D$305,C4)</f>
        <v>494.4</v>
      </c>
    </row>
    <row r="42">
      <c r="A42" s="2" t="inlineStr">
        <is>
          <t>Nota: los ingresos de la conciliación se calculan a la tarifa por kg. Si se liquida sobre lo efectivamente COBRADO (recomendado), la diferencia muestra lo pendiente de cobro.</t>
        </is>
      </c>
    </row>
  </sheetData>
  <sheetProtection selectLockedCells="0" selectUnlockedCells="0" sheet="1" objects="0" insertRows="1" insertHyperlinks="1" autoFilter="0" scenarios="0" formatColumns="0" deleteColumns="1" insertColumns="1" pivotTables="1" deleteRows="1" formatCells="1" formatRows="0" sort="1"/>
  <dataValidations count="4">
    <dataValidation sqref="C4" showDropDown="0" showInputMessage="0" showErrorMessage="1" allowBlank="1" errorTitle="Fecha no válida" error="Escriba una fecha dd/mm/aaaa." type="date" operator="between">
      <formula1>DATE(2020,1,1)</formula1>
      <formula2>DATE(2040,12,31)</formula2>
    </dataValidation>
    <dataValidation sqref="C12:C32" showDropDown="0" showInputMessage="0" showErrorMessage="1" allowBlank="1" errorTitle="Valor no válido" error="Seleccione un valor de la lista." type="list">
      <formula1>=L_Grupo</formula1>
    </dataValidation>
    <dataValidation sqref="D12:D32" showDropDown="0" showInputMessage="0" showErrorMessage="1" allowBlank="1" errorTitle="Valor no válido" error="Seleccione un valor de la lista." type="list">
      <formula1>=L_Territorio</formula1>
    </dataValidation>
    <dataValidation sqref="F12:G32" showDropDown="0" showInputMessage="0" showErrorMessage="1" allowBlank="1" errorTitle="Número no válido" error="Escriba un número mayor o igual que 0, sin texto." type="decimal" operator="greaterThanOrEqual">
      <formula1>0</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548235"/>
    <outlinePr summaryBelow="1" summaryRight="1"/>
    <pageSetUpPr fitToPage="1"/>
  </sheetPr>
  <dimension ref="A1:CT305"/>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34" customWidth="1" min="98" max="98"/>
  </cols>
  <sheetData>
    <row r="1" ht="24" customHeight="1">
      <c r="A1" s="1" t="inlineStr">
        <is>
          <t>Cálculo de la rentabilidad por contenedor (automático – no escribir)</t>
        </is>
      </c>
    </row>
    <row r="2">
      <c r="A2" s="2" t="inlineStr">
        <is>
          <t>Cada fila corresponde a la misma fila de ENTRADA. Importes en USD. Los costos fijos se reparten entre los contenedores del mes.</t>
        </is>
      </c>
    </row>
    <row r="4">
      <c r="A4" s="39" t="inlineStr">
        <is>
          <t>IDENTIFICACIÓN</t>
        </is>
      </c>
      <c r="G4" s="39" t="inlineStr">
        <is>
          <t>VOLUMEN</t>
        </is>
      </c>
      <c r="K4" s="39" t="inlineStr">
        <is>
          <t>PRECIOS</t>
        </is>
      </c>
      <c r="M4" s="39" t="inlineStr">
        <is>
          <t>INGRESOS</t>
        </is>
      </c>
      <c r="R4" s="39" t="inlineStr">
        <is>
          <t>ETAPA 1 · PUERTO</t>
        </is>
      </c>
      <c r="Z4" s="39" t="inlineStr">
        <is>
          <t>ETAPA 2 · TRANSITARIA</t>
        </is>
      </c>
      <c r="AF4" s="39" t="inlineStr">
        <is>
          <t>OCCIDENTE</t>
        </is>
      </c>
      <c r="AJ4" s="39" t="inlineStr">
        <is>
          <t>CENTRO</t>
        </is>
      </c>
      <c r="AT4" s="39" t="inlineStr">
        <is>
          <t>ORIENTE</t>
        </is>
      </c>
      <c r="BE4" s="39" t="inlineStr">
        <is>
          <t>COMERCIALIZACIÓN VARIABLE</t>
        </is>
      </c>
      <c r="BI4" s="39" t="inlineStr">
        <is>
          <t>OTROS VARIABLES</t>
        </is>
      </c>
      <c r="BL4" s="39" t="inlineStr">
        <is>
          <t>MARGEN DE CONTRIBUCIÓN</t>
        </is>
      </c>
      <c r="BP4" s="39" t="inlineStr">
        <is>
          <t>COSTOS FIJOS ASIGNADOS</t>
        </is>
      </c>
      <c r="CB4" s="39" t="inlineStr">
        <is>
          <t>TRIBUTOS</t>
        </is>
      </c>
      <c r="CD4" s="39" t="inlineStr">
        <is>
          <t>RESULTADO</t>
        </is>
      </c>
      <c r="CK4" s="39" t="inlineStr">
        <is>
          <t>RESULTADO POR REGIÓN</t>
        </is>
      </c>
      <c r="CP4" s="39" t="inlineStr">
        <is>
          <t>CONTROL</t>
        </is>
      </c>
    </row>
    <row r="5" ht="66" customHeight="1">
      <c r="A5" s="5" t="inlineStr">
        <is>
          <t>Nº</t>
        </is>
      </c>
      <c r="B5" s="5" t="inlineStr">
        <is>
          <t>ID contenedor</t>
        </is>
      </c>
      <c r="C5" s="5" t="inlineStr">
        <is>
          <t>Fecha de arribo</t>
        </is>
      </c>
      <c r="D5" s="5" t="inlineStr">
        <is>
          <t>Mes</t>
        </is>
      </c>
      <c r="E5" s="5" t="inlineStr">
        <is>
          <t>Transitaria</t>
        </is>
      </c>
      <c r="F5" s="5" t="inlineStr">
        <is>
          <t>Estado</t>
        </is>
      </c>
      <c r="G5" s="5" t="inlineStr">
        <is>
          <t>kg Occidente</t>
        </is>
      </c>
      <c r="H5" s="5" t="inlineStr">
        <is>
          <t>kg Centro</t>
        </is>
      </c>
      <c r="I5" s="5" t="inlineStr">
        <is>
          <t>kg Oriente</t>
        </is>
      </c>
      <c r="J5" s="5" t="inlineStr">
        <is>
          <t>kg total</t>
        </is>
      </c>
      <c r="K5" s="5" t="inlineStr">
        <is>
          <t>Fila de precios vigente</t>
        </is>
      </c>
      <c r="L5" s="5" t="inlineStr">
        <is>
          <t>Precios vigentes desde</t>
        </is>
      </c>
      <c r="M5" s="5" t="inlineStr">
        <is>
          <t>Ingreso Occidente</t>
        </is>
      </c>
      <c r="N5" s="5" t="inlineStr">
        <is>
          <t>Ingreso Centro</t>
        </is>
      </c>
      <c r="O5" s="5" t="inlineStr">
        <is>
          <t>Ingreso Oriente</t>
        </is>
      </c>
      <c r="P5" s="5" t="inlineStr">
        <is>
          <t>Otros ingresos</t>
        </is>
      </c>
      <c r="Q5" s="5" t="inlineStr">
        <is>
          <t>INGRESO TOTAL</t>
        </is>
      </c>
      <c r="R5" s="5" t="inlineStr">
        <is>
          <t>Viajes al puerto</t>
        </is>
      </c>
      <c r="S5" s="5" t="inlineStr">
        <is>
          <t>Cita del puerto</t>
        </is>
      </c>
      <c r="T5" s="5" t="inlineStr">
        <is>
          <t>Litros al puerto (norma)</t>
        </is>
      </c>
      <c r="U5" s="5" t="inlineStr">
        <is>
          <t>Litros al puerto (aplicados)</t>
        </is>
      </c>
      <c r="V5" s="5" t="inlineStr">
        <is>
          <t>Combustible al puerto</t>
        </is>
      </c>
      <c r="W5" s="5" t="inlineStr">
        <is>
          <t>Dieta del chofer</t>
        </is>
      </c>
      <c r="X5" s="5" t="inlineStr">
        <is>
          <t>Desgaste del vehículo propio</t>
        </is>
      </c>
      <c r="Y5" s="5" t="inlineStr">
        <is>
          <t>TOTAL PUERTO</t>
        </is>
      </c>
      <c r="Z5" s="5" t="inlineStr">
        <is>
          <t>Jornales de desagrupe (norma)</t>
        </is>
      </c>
      <c r="AA5" s="5" t="inlineStr">
        <is>
          <t>Jornales de desagrupe (aplicados)</t>
        </is>
      </c>
      <c r="AB5" s="5" t="inlineStr">
        <is>
          <t>Mano de obra del desagrupe</t>
        </is>
      </c>
      <c r="AC5" s="5" t="inlineStr">
        <is>
          <t>Servicio de la transitaria</t>
        </is>
      </c>
      <c r="AD5" s="5" t="inlineStr">
        <is>
          <t>Estadía / almacenaje</t>
        </is>
      </c>
      <c r="AE5" s="5" t="inlineStr">
        <is>
          <t>TOTAL TRANSITARIA</t>
        </is>
      </c>
      <c r="AF5" s="5" t="inlineStr">
        <is>
          <t>Viajes de distribución en Occidente</t>
        </is>
      </c>
      <c r="AG5" s="5" t="inlineStr">
        <is>
          <t>Litros de distribución (norma)</t>
        </is>
      </c>
      <c r="AH5" s="5" t="inlineStr">
        <is>
          <t>Litros de distribución (aplicados)</t>
        </is>
      </c>
      <c r="AI5" s="5" t="inlineStr">
        <is>
          <t>TOTAL OCCIDENTE (combustible)</t>
        </is>
      </c>
      <c r="AJ5" s="5" t="inlineStr">
        <is>
          <t>Viajes a Centro</t>
        </is>
      </c>
      <c r="AK5" s="5" t="inlineStr">
        <is>
          <t>Litros de traslado (norma)</t>
        </is>
      </c>
      <c r="AL5" s="5" t="inlineStr">
        <is>
          <t>Litros de traslado (aplicados)</t>
        </is>
      </c>
      <c r="AM5" s="5" t="inlineStr">
        <is>
          <t>Litros de distribución (norma)</t>
        </is>
      </c>
      <c r="AN5" s="5" t="inlineStr">
        <is>
          <t>Litros de distribución (aplicados)</t>
        </is>
      </c>
      <c r="AO5" s="5" t="inlineStr">
        <is>
          <t>Combustible de Centro</t>
        </is>
      </c>
      <c r="AP5" s="5" t="inlineStr">
        <is>
          <t>Jornales del centro transitorio (norma)</t>
        </is>
      </c>
      <c r="AQ5" s="5" t="inlineStr">
        <is>
          <t>Jornales del centro transitorio (aplicados)</t>
        </is>
      </c>
      <c r="AR5" s="5" t="inlineStr">
        <is>
          <t>Desagrupe en el centro transitorio</t>
        </is>
      </c>
      <c r="AS5" s="5" t="inlineStr">
        <is>
          <t>TOTAL CENTRO</t>
        </is>
      </c>
      <c r="AT5" s="5" t="inlineStr">
        <is>
          <t>Viajes a Oriente</t>
        </is>
      </c>
      <c r="AU5" s="5" t="inlineStr">
        <is>
          <t>Litros de traslado (norma)</t>
        </is>
      </c>
      <c r="AV5" s="5" t="inlineStr">
        <is>
          <t>Litros de traslado (aplicados)</t>
        </is>
      </c>
      <c r="AW5" s="5" t="inlineStr">
        <is>
          <t>Litros de distribución (norma)</t>
        </is>
      </c>
      <c r="AX5" s="5" t="inlineStr">
        <is>
          <t>Litros de distribución (aplicados)</t>
        </is>
      </c>
      <c r="AY5" s="5" t="inlineStr">
        <is>
          <t>Combustible de Oriente</t>
        </is>
      </c>
      <c r="AZ5" s="5" t="inlineStr">
        <is>
          <t>Jornales del centro transitorio (norma)</t>
        </is>
      </c>
      <c r="BA5" s="5" t="inlineStr">
        <is>
          <t>Jornales del centro transitorio (aplicados)</t>
        </is>
      </c>
      <c r="BB5" s="5" t="inlineStr">
        <is>
          <t>Desagrupe en el centro transitorio</t>
        </is>
      </c>
      <c r="BC5" s="5" t="inlineStr">
        <is>
          <t>TOTAL ORIENTE</t>
        </is>
      </c>
      <c r="BD5" s="5" t="inlineStr">
        <is>
          <t>TOTAL DISTRIBUCIÓN</t>
        </is>
      </c>
      <c r="BE5" s="5" t="inlineStr">
        <is>
          <t>Comisión Occidente</t>
        </is>
      </c>
      <c r="BF5" s="5" t="inlineStr">
        <is>
          <t>Comisión Centro</t>
        </is>
      </c>
      <c r="BG5" s="5" t="inlineStr">
        <is>
          <t>Comisión Oriente</t>
        </is>
      </c>
      <c r="BH5" s="5" t="inlineStr">
        <is>
          <t>TOTAL COMISIÓN VARIABLE</t>
        </is>
      </c>
      <c r="BI5" s="5" t="inlineStr">
        <is>
          <t>Provisión para reclamaciones</t>
        </is>
      </c>
      <c r="BJ5" s="5" t="inlineStr">
        <is>
          <t>Comisiones bancarias</t>
        </is>
      </c>
      <c r="BK5" s="5" t="inlineStr">
        <is>
          <t>Otros gastos directos</t>
        </is>
      </c>
      <c r="BL5" s="5" t="inlineStr">
        <is>
          <t>TOTAL COSTOS VARIABLES</t>
        </is>
      </c>
      <c r="BM5" s="5" t="inlineStr">
        <is>
          <t>MARGEN DE CONTRIBUCIÓN</t>
        </is>
      </c>
      <c r="BN5" s="5" t="inlineStr">
        <is>
          <t>MC %</t>
        </is>
      </c>
      <c r="BO5" s="5" t="inlineStr">
        <is>
          <t>MC por kg</t>
        </is>
      </c>
      <c r="BP5" s="5" t="inlineStr">
        <is>
          <t>Columna del mes en COSTOS_FIJOS</t>
        </is>
      </c>
      <c r="BQ5" s="5" t="inlineStr">
        <is>
          <t>Contenedores del mes</t>
        </is>
      </c>
      <c r="BR5" s="5" t="inlineStr">
        <is>
          <t>kg del mes</t>
        </is>
      </c>
      <c r="BS5" s="5" t="inlineStr">
        <is>
          <t>% de los fijos generales</t>
        </is>
      </c>
      <c r="BT5" s="5" t="inlineStr">
        <is>
          <t>Fijos generales asignados</t>
        </is>
      </c>
      <c r="BU5" s="5" t="inlineStr">
        <is>
          <t>% de los fijos OCC</t>
        </is>
      </c>
      <c r="BV5" s="5" t="inlineStr">
        <is>
          <t>Fijos OCC asignados</t>
        </is>
      </c>
      <c r="BW5" s="5" t="inlineStr">
        <is>
          <t>% de los fijos CEN</t>
        </is>
      </c>
      <c r="BX5" s="5" t="inlineStr">
        <is>
          <t>Fijos CEN asignados</t>
        </is>
      </c>
      <c r="BY5" s="5" t="inlineStr">
        <is>
          <t>% de los fijos ORI</t>
        </is>
      </c>
      <c r="BZ5" s="5" t="inlineStr">
        <is>
          <t>Fijos ORI asignados</t>
        </is>
      </c>
      <c r="CA5" s="5" t="inlineStr">
        <is>
          <t>TOTAL FIJOS ASIGNADOS</t>
        </is>
      </c>
      <c r="CB5" s="5" t="inlineStr">
        <is>
          <t>Impuesto sobre ventas y servicios</t>
        </is>
      </c>
      <c r="CC5" s="5" t="inlineStr">
        <is>
          <t>Contribución territorial</t>
        </is>
      </c>
      <c r="CD5" s="5" t="inlineStr">
        <is>
          <t>UTILIDAD ANTES DE IMPUESTO SOBRE UTILIDADES</t>
        </is>
      </c>
      <c r="CE5" s="5" t="inlineStr">
        <is>
          <t>Impuesto sobre utilidades (estimado)</t>
        </is>
      </c>
      <c r="CF5" s="5" t="inlineStr">
        <is>
          <t>UTILIDAD NETA ESTIMADA</t>
        </is>
      </c>
      <c r="CG5" s="5" t="inlineStr">
        <is>
          <t>Margen neto %</t>
        </is>
      </c>
      <c r="CH5" s="5" t="inlineStr">
        <is>
          <t>Costo total por kg</t>
        </is>
      </c>
      <c r="CI5" s="5" t="inlineStr">
        <is>
          <t>Ingreso por kg</t>
        </is>
      </c>
      <c r="CJ5" s="5" t="inlineStr">
        <is>
          <t>Utilidad antes de impuesto por kg</t>
        </is>
      </c>
      <c r="CK5" s="5" t="inlineStr">
        <is>
          <t>Costos compartidos (puerto + transitaria + otros directos + fijos generales)</t>
        </is>
      </c>
      <c r="CL5" s="5" t="inlineStr">
        <is>
          <t>Utilidad Occidente</t>
        </is>
      </c>
      <c r="CM5" s="5" t="inlineStr">
        <is>
          <t>Utilidad Centro</t>
        </is>
      </c>
      <c r="CN5" s="5" t="inlineStr">
        <is>
          <t>Utilidad Oriente</t>
        </is>
      </c>
      <c r="CO5" s="5" t="inlineStr">
        <is>
          <t>Control: diferencia de cuadre (debe ser 0)</t>
        </is>
      </c>
      <c r="CP5" s="5" t="inlineStr">
        <is>
          <t>Litros totales según norma</t>
        </is>
      </c>
      <c r="CQ5" s="5" t="inlineStr">
        <is>
          <t>Litros totales aplicados</t>
        </is>
      </c>
      <c r="CR5" s="5" t="inlineStr">
        <is>
          <t>Desvío del combustible frente a la norma</t>
        </is>
      </c>
      <c r="CS5" s="5" t="inlineStr">
        <is>
          <t>Días de ciclo (arribo → fin)</t>
        </is>
      </c>
      <c r="CT5" s="5" t="inlineStr">
        <is>
          <t>ALERTAS</t>
        </is>
      </c>
    </row>
    <row r="6">
      <c r="A6" s="60">
        <f>IF(B6="","",ROW()-5)</f>
        <v>1</v>
      </c>
      <c r="B6" s="63" t="str">
        <f>IF(ENTRADA!$B6="","",ENTRADA!$B6)</f>
        <v>CONT-EJEMPLO-01</v>
      </c>
      <c r="C6" s="64">
        <f>IF(B6="","",ENTRADA!$C6)</f>
        <v>46273.0</v>
      </c>
      <c r="D6" s="65">
        <f>IF(B6="","",DATE(YEAR(C6),MONTH(C6),1))</f>
        <v>46266.0</v>
      </c>
      <c r="E6" s="66" t="str">
        <f>IF(B6="","",ENTRADA!$D6&amp;"")</f>
        <v>ENCI</v>
      </c>
      <c r="F6" s="66" t="str">
        <f>IF(B6="","",ENTRADA!$Z6&amp;"")</f>
        <v>Cerrado</v>
      </c>
      <c r="G6" s="67">
        <f>IF(B6="","",N(ENTRADA!$G6))</f>
        <v>5200</v>
      </c>
      <c r="H6" s="67">
        <f>IF(B6="","",N(ENTRADA!$H6))</f>
        <v>2600</v>
      </c>
      <c r="I6" s="67">
        <f>IF(B6="","",N(ENTRADA!$I6))</f>
        <v>2300</v>
      </c>
      <c r="J6" s="68">
        <f>IF(B6="","",G6+H6+I6)</f>
        <v>10100</v>
      </c>
      <c r="K6" s="60">
        <f>IF(B6="","",IFERROR(MATCH(SUMPRODUCT(MAX((PRECIOS!$A$6:$A$55&lt;=C6)*PRECIOS!$A$6:$A$55)),PRECIOS!$A$6:$A$55,0),1))</f>
        <v>1</v>
      </c>
      <c r="L6" s="69">
        <f>IF(B6="","",INDEX(PRECIOS!$A$6:$A$55,K6))</f>
        <v>46023.0</v>
      </c>
      <c r="M6" s="37">
        <f>IF(B6="","",G6*INDEX(PRECIOS!$B$6:$B$55,K6))</f>
        <v>4160</v>
      </c>
      <c r="N6" s="37">
        <f>IF(B6="","",H6*INDEX(PRECIOS!$C$6:$C$55,K6))</f>
        <v>2080</v>
      </c>
      <c r="O6" s="37">
        <f>IF(B6="","",I6*INDEX(PRECIOS!$D$6:$D$55,K6))</f>
        <v>1840</v>
      </c>
      <c r="P6" s="37">
        <f>IF(B6="","",N(ENTRADA!$X6))</f>
        <v>0</v>
      </c>
      <c r="Q6" s="70">
        <f>IF(B6="","",M6+N6+O6+P6)</f>
        <v>8080</v>
      </c>
      <c r="R6" s="71">
        <f>IF(B6="","",IF(ENTRADA!$J6="",Std_Viajes_Puerto,ENTRADA!$J6))</f>
        <v>1</v>
      </c>
      <c r="S6" s="37">
        <f>IF(B6="","",R6*INDEX(PRECIOS!$F$6:$F$55,K6))</f>
        <v>10</v>
      </c>
      <c r="T6" s="71">
        <f>IF(B6="","",R6*Litros_Puerto_Viaje)</f>
        <v>60</v>
      </c>
      <c r="U6" s="71">
        <f>IF(B6="","",IF(ENTRADA!$K6="",T6,ENTRADA!$K6))</f>
        <v>62</v>
      </c>
      <c r="V6" s="37">
        <f>IF(B6="","",U6*INDEX(PRECIOS!$E$6:$E$55,K6))</f>
        <v>124</v>
      </c>
      <c r="W6" s="37">
        <f>IF(B6="","",IF(ENTRADA!$L6="",R6*INDEX(PRECIOS!$G$6:$G$55,K6),ENTRADA!$L6))</f>
        <v>10</v>
      </c>
      <c r="X6" s="37">
        <f>IF(B6="","",R6*Km_Puerto_Viaje*INDEX(PRECIOS!$N$6:$N$55,K6))</f>
        <v>21.6</v>
      </c>
      <c r="Y6" s="70">
        <f>IF(B6="","",S6+V6+W6+X6)</f>
        <v>165.6</v>
      </c>
      <c r="Z6" s="71">
        <f>IF(B6="","",IF(J6=0,0,ROUNDUP(J6/Rend_Desagrupe,0)))</f>
        <v>11</v>
      </c>
      <c r="AA6" s="71">
        <f>IF(B6="","",IF(ENTRADA!$M6="",Z6,ENTRADA!$M6))</f>
        <v>11</v>
      </c>
      <c r="AB6" s="37">
        <f>IF(B6="","",AA6*INDEX(PRECIOS!$H$6:$H$55,K6))</f>
        <v>165</v>
      </c>
      <c r="AC6" s="37">
        <f>IF(B6="","",IF(E6="ENCI",INDEX(PRECIOS!$J$6:$J$55,K6),IF(E6="A.V",INDEX(PRECIOS!$K$6:$K$55,K6),0)))</f>
        <v>0</v>
      </c>
      <c r="AD6" s="37">
        <f>IF(B6="","",N(ENTRADA!$N6))</f>
        <v>0</v>
      </c>
      <c r="AE6" s="70">
        <f>IF(B6="","",AB6+AC6+AD6)</f>
        <v>165</v>
      </c>
      <c r="AF6" s="71">
        <f>IF(B6="","",IF(G6=0,0,ROUNDUP(G6/Cap_Camion_OCC,0)))</f>
        <v>2</v>
      </c>
      <c r="AG6" s="71">
        <f>IF(B6="","",AF6*L_Dist_OCC)</f>
        <v>240</v>
      </c>
      <c r="AH6" s="71">
        <f>IF(B6="","",IF(ENTRADA!$O6="",AG6,ENTRADA!$O6))</f>
        <v>240</v>
      </c>
      <c r="AI6" s="37">
        <f>IF(B6="","",AH6*INDEX(PRECIOS!$E$6:$E$55,K6))</f>
        <v>480</v>
      </c>
      <c r="AJ6" s="71">
        <f>IF(B6="","",IF(H6=0,0,ROUNDUP(H6/Cap_Camion_CEN,0)))</f>
        <v>1</v>
      </c>
      <c r="AK6" s="71">
        <f>IF(B6="","",AJ6*L_Tras_CEN)</f>
        <v>250</v>
      </c>
      <c r="AL6" s="71">
        <f>IF(B6="","",IF(ENTRADA!$P6="",AK6,ENTRADA!$P6))</f>
        <v>250</v>
      </c>
      <c r="AM6" s="71">
        <f>IF(B6="","",AJ6*L_Dist_CEN)</f>
        <v>150</v>
      </c>
      <c r="AN6" s="71">
        <f>IF(B6="","",IF(ENTRADA!$Q6="",AM6,ENTRADA!$Q6))</f>
        <v>150</v>
      </c>
      <c r="AO6" s="37">
        <f>IF(B6="","",(AL6+AN6)*INDEX(PRECIOS!$E$6:$E$55,K6))</f>
        <v>800</v>
      </c>
      <c r="AP6" s="71">
        <f>IF(B6="","",IF(H6=0,0,ROUNDUP(H6/Rend_Desagrupe_CT,0)))</f>
        <v>4</v>
      </c>
      <c r="AQ6" s="71">
        <f>IF(B6="","",IF(ENTRADA!$R6="",AP6,ENTRADA!$R6))</f>
        <v>4</v>
      </c>
      <c r="AR6" s="37">
        <f>IF(B6="","",AQ6*INDEX(PRECIOS!$I$6:$I$55,K6))</f>
        <v>60</v>
      </c>
      <c r="AS6" s="37">
        <f>IF(B6="","",AO6+AR6)</f>
        <v>860</v>
      </c>
      <c r="AT6" s="71">
        <f>IF(B6="","",IF(I6=0,0,ROUNDUP(I6/Cap_Camion_ORI,0)))</f>
        <v>1</v>
      </c>
      <c r="AU6" s="71">
        <f>IF(B6="","",AT6*L_Tras_ORI)</f>
        <v>450</v>
      </c>
      <c r="AV6" s="71">
        <f>IF(B6="","",IF(ENTRADA!$S6="",AU6,ENTRADA!$S6))</f>
        <v>450</v>
      </c>
      <c r="AW6" s="71">
        <f>IF(B6="","",AT6*L_Dist_ORI)</f>
        <v>180</v>
      </c>
      <c r="AX6" s="71">
        <f>IF(B6="","",IF(ENTRADA!$T6="",AW6,ENTRADA!$T6))</f>
        <v>180</v>
      </c>
      <c r="AY6" s="37">
        <f>IF(B6="","",(AV6+AX6)*INDEX(PRECIOS!$E$6:$E$55,K6))</f>
        <v>1260</v>
      </c>
      <c r="AZ6" s="71">
        <f>IF(B6="","",IF(I6=0,0,ROUNDUP(I6/Rend_Desagrupe_CT,0)))</f>
        <v>3</v>
      </c>
      <c r="BA6" s="71">
        <f>IF(B6="","",IF(ENTRADA!$U6="",AZ6,ENTRADA!$U6))</f>
        <v>3</v>
      </c>
      <c r="BB6" s="37">
        <f>IF(B6="","",BA6*INDEX(PRECIOS!$I$6:$I$55,K6))</f>
        <v>45</v>
      </c>
      <c r="BC6" s="37">
        <f>IF(B6="","",AY6+BB6)</f>
        <v>1305</v>
      </c>
      <c r="BD6" s="70">
        <f>IF(B6="","",AI6+AS6+BC6)</f>
        <v>2645</v>
      </c>
      <c r="BE6" s="37">
        <f>IF(B6="","",IF(Base_Comision="% DEL INGRESO",M6*INDEX(PRECIOS!$L$6:$L$55,K6),G6*INDEX(PRECIOS!$M$6:$M$55,K6)))</f>
        <v>124.8</v>
      </c>
      <c r="BF6" s="37">
        <f>IF(B6="","",IF(Base_Comision="% DEL INGRESO",N6*INDEX(PRECIOS!$L$6:$L$55,K6),H6*INDEX(PRECIOS!$M$6:$M$55,K6)))</f>
        <v>62.4</v>
      </c>
      <c r="BG6" s="37">
        <f>IF(B6="","",IF(Base_Comision="% DEL INGRESO",O6*INDEX(PRECIOS!$L$6:$L$55,K6),I6*INDEX(PRECIOS!$M$6:$M$55,K6)))</f>
        <v>55.2</v>
      </c>
      <c r="BH6" s="70">
        <f>IF(B6="","",BE6+BF6+BG6)</f>
        <v>242.4</v>
      </c>
      <c r="BI6" s="37">
        <f>IF(B6="","",Q6*Pct_Reclamaciones)</f>
        <v>40.4</v>
      </c>
      <c r="BJ6" s="37">
        <f>IF(B6="","",Q6*Pct_Banco)</f>
        <v>80.8</v>
      </c>
      <c r="BK6" s="37">
        <f>IF(B6="","",N(ENTRADA!$V6))</f>
        <v>0</v>
      </c>
      <c r="BL6" s="70">
        <f>IF(B6="","",Y6+AE6+BD6+BH6+BI6+BJ6+BK6)</f>
        <v>3339.2</v>
      </c>
      <c r="BM6" s="70">
        <f>IF(B6="","",Q6-BL6)</f>
        <v>4740.8</v>
      </c>
      <c r="BN6" s="72">
        <f>IF(B6="","",IF(Q6=0,0,BM6/Q6))</f>
        <v>0.586732673267327</v>
      </c>
      <c r="BO6" s="73">
        <f>IF(B6="","",IF(J6=0,0,BM6/J6))</f>
        <v>0.469386138613861</v>
      </c>
      <c r="BP6" s="60">
        <f>IF(B6="","",IFERROR(MATCH(D6,COSTOS_FIJOS!$G$5:$AD$5,0),0))</f>
        <v>1</v>
      </c>
      <c r="BQ6" s="60">
        <f>IF(B6="","",COUNTIFS($D$6:$D$305,D6))</f>
        <v>2</v>
      </c>
      <c r="BR6" s="67">
        <f>IF(B6="","",SUMIFS($J$6:$J$305,$D$6:$D$305,D6))</f>
        <v>19500</v>
      </c>
      <c r="BS6" s="72">
        <f>IF(B6="","",IF(Metodo_Prorrateo="KG",IF(BR6=0,0,J6/BR6),1/BQ6))</f>
        <v>0.517948717948718</v>
      </c>
      <c r="BT6" s="37">
        <f>IF(B6="","",IF(BP6=0,0,INDEX(COSTOS_FIJOS!$G$38:$AD$38,BP6))*BS6)</f>
        <v>1367.41914529915</v>
      </c>
      <c r="BU6" s="72">
        <f>IF(B6="","",IF(Metodo_Prorrateo="KG",IF(SUMIFS($G$6:$G$305,$D$6:$D$305,D6)=0,0,G6/SUMIFS($G$6:$G$305,$D$6:$D$305,D6)),IF(G6&gt;0,1/COUNTIFS($D$6:$D$305,D6,$G$6:$G$305,"&gt;0"),0)))</f>
        <v>0.530612244897959</v>
      </c>
      <c r="BV6" s="37">
        <f>IF(B6="","",IF(BP6=0,0,INDEX(COSTOS_FIJOS!$G$39:$AD$39,BP6))*BU6)</f>
        <v>106.122448979592</v>
      </c>
      <c r="BW6" s="72">
        <f>IF(B6="","",IF(Metodo_Prorrateo="KG",IF(SUMIFS($H$6:$H$305,$D$6:$D$305,D6)=0,0,H6/SUMIFS($H$6:$H$305,$D$6:$D$305,D6)),IF(H6&gt;0,1/COUNTIFS($D$6:$D$305,D6,$H$6:$H$305,"&gt;0"),0)))</f>
        <v>0.553191489361702</v>
      </c>
      <c r="BX6" s="37">
        <f>IF(B6="","",IF(BP6=0,0,INDEX(COSTOS_FIJOS!$G$40:$AD$40,BP6))*BW6)</f>
        <v>110.63829787234</v>
      </c>
      <c r="BY6" s="72">
        <f>IF(B6="","",IF(Metodo_Prorrateo="KG",IF(SUMIFS($I$6:$I$305,$D$6:$D$305,D6)=0,0,I6/SUMIFS($I$6:$I$305,$D$6:$D$305,D6)),IF(I6&gt;0,1/COUNTIFS($D$6:$D$305,D6,$I$6:$I$305,"&gt;0"),0)))</f>
        <v>0.46</v>
      </c>
      <c r="BZ6" s="37">
        <f>IF(B6="","",IF(BP6=0,0,INDEX(COSTOS_FIJOS!$G$41:$AD$41,BP6))*BY6)</f>
        <v>92</v>
      </c>
      <c r="CA6" s="70">
        <f>IF(B6="","",BT6+BV6+BX6+BZ6)</f>
        <v>1676.17989215108</v>
      </c>
      <c r="CB6" s="37">
        <f>IF(B6="","",Q6*Imp_Ventas_Serv)</f>
        <v>808</v>
      </c>
      <c r="CC6" s="37">
        <f>IF(B6="","",Q6*Contrib_Territorial)</f>
        <v>80.8</v>
      </c>
      <c r="CD6" s="70">
        <f>IF(B6="","",BM6-CA6-CB6-CC6)</f>
        <v>2175.82010784892</v>
      </c>
      <c r="CE6" s="37">
        <f>IF(B6="","",MAX(0,CD6)*Imp_Utilidades)</f>
        <v>761.537037747122</v>
      </c>
      <c r="CF6" s="70">
        <f>IF(B6="","",CD6-CE6)</f>
        <v>1414.2830701018</v>
      </c>
      <c r="CG6" s="72">
        <f>IF(B6="","",IF(Q6=0,0,CF6/Q6))</f>
        <v>0.17503503342844</v>
      </c>
      <c r="CH6" s="73">
        <f>IF(B6="","",IF(J6=0,0,(BL6+CA6+CB6+CC6)/J6))</f>
        <v>0.584572266549612</v>
      </c>
      <c r="CI6" s="73">
        <f>IF(B6="","",IF(J6=0,0,Q6/J6))</f>
        <v>0.8</v>
      </c>
      <c r="CJ6" s="73">
        <f>IF(B6="","",IF(J6=0,0,CD6/J6))</f>
        <v>0.215427733450388</v>
      </c>
      <c r="CK6" s="37">
        <f>IF(B6="","",Y6+AE6+BK6+BT6)</f>
        <v>1698.01914529915</v>
      </c>
      <c r="CL6" s="37">
        <f>IF(B6="","",IF(J6=0,0,(M6+P6*G6/J6)*(1-Pct_Reclamaciones-Pct_Banco-Imp_Ventas_Serv-Contrib_Territorial)-AI6-BE6-BV6-CK6*G6/J6))</f>
        <v>2054.84987225253</v>
      </c>
      <c r="CM6" s="37">
        <f>IF(B6="","",IF(J6=0,0,(N6+P6*H6/J6)*(1-Pct_Reclamaciones-Pct_Banco-Imp_Ventas_Serv-Contrib_Territorial)-AS6-BF6-BX6-CK6*H6/J6))</f>
        <v>349.847862743721</v>
      </c>
      <c r="CN6" s="37">
        <f>IF(B6="","",IF(J6=0,0,(O6+P6*I6/J6)*(1-Pct_Reclamaciones-Pct_Banco-Imp_Ventas_Serv-Contrib_Territorial)-BC6-BG6-BZ6-CK6*I6/J6))</f>
        <v>-228.87762714733</v>
      </c>
      <c r="CO6" s="37">
        <f>IF(B6="","",IF(J6=0,0,ROUND(CD6-CL6-CM6-CN6,4)))</f>
        <v>0</v>
      </c>
      <c r="CP6" s="71">
        <f>IF(B6="","",T6+AG6+AK6+AM6+AU6+AW6)</f>
        <v>1330</v>
      </c>
      <c r="CQ6" s="71">
        <f>IF(B6="","",U6+AH6+AL6+AN6+AV6+AX6)</f>
        <v>1332</v>
      </c>
      <c r="CR6" s="72">
        <f>IF(B6="","",IF(CP6=0,0,CQ6/CP6-1))</f>
        <v>0.00150375939849634</v>
      </c>
      <c r="CS6" s="60">
        <f>IF(B6="","",IF(ENTRADA!$Y6="","",ENTRADA!$Y6-C6))</f>
        <v>10</v>
      </c>
      <c r="CT6" s="66">
        <f>IF(B6="","",IF(ENTRADA!$C6="","Falta fecha. ","")&amp;IF(BP6=0,"Mes fuera del rango de COSTOS_FIJOS. ","")&amp;IF(J6=0,"Sin kg. ","")&amp;IF(E6="","Falta transitaria. ","")&amp;IF(AND(T6&gt;0,U6/T6-1&gt;Tolerancia_Comb),"Combustible al puerto "&amp;TEXT(U6/T6-1,"+0%")&amp;" sobre norma. ","")&amp;IF(AND(AG6&gt;0,AH6/AG6-1&gt;Tolerancia_Comb),"Combustible distribución Occidente "&amp;TEXT(AH6/AG6-1,"+0%")&amp;" sobre norma. ","")&amp;IF(AND(AK6&gt;0,AL6/AK6-1&gt;Tolerancia_Comb),"Combustible traslado Centro "&amp;TEXT(AL6/AK6-1,"+0%")&amp;" sobre norma. ","")&amp;IF(AND(AM6&gt;0,AN6/AM6-1&gt;Tolerancia_Comb),"Combustible distribución Centro "&amp;TEXT(AN6/AM6-1,"+0%")&amp;" sobre norma. ","")&amp;IF(AND(AU6&gt;0,AV6/AU6-1&gt;Tolerancia_Comb),"Combustible traslado Oriente "&amp;TEXT(AV6/AU6-1,"+0%")&amp;" sobre norma. ","")&amp;IF(AND(AW6&gt;0,AX6/AW6-1&gt;Tolerancia_Comb),"Combustible distribución Oriente "&amp;TEXT(AX6/AW6-1,"+0%")&amp;" sobre norma. ","")&amp;IF(AND(ENTRADA!$C6&lt;&gt;"",C6&lt;PRECIOS!$A$6),"Fecha anterior a la 1ª vigencia de precios. ","")&amp;IF(CD6&lt;0,"Contenedor con pérdida. ",""))</f>
      </c>
    </row>
    <row r="7">
      <c r="A7" s="60">
        <f>IF(B7="","",ROW()-5)</f>
        <v>2</v>
      </c>
      <c r="B7" s="63" t="str">
        <f>IF(ENTRADA!$B7="","",ENTRADA!$B7)</f>
        <v>CONT-EJEMPLO-02</v>
      </c>
      <c r="C7" s="64">
        <f>IF(B7="","",ENTRADA!$C7)</f>
        <v>46287.0</v>
      </c>
      <c r="D7" s="65">
        <f>IF(B7="","",DATE(YEAR(C7),MONTH(C7),1))</f>
        <v>46266.0</v>
      </c>
      <c r="E7" s="66" t="str">
        <f>IF(B7="","",ENTRADA!$D7&amp;"")</f>
        <v>A.V</v>
      </c>
      <c r="F7" s="66" t="str">
        <f>IF(B7="","",ENTRADA!$Z7&amp;"")</f>
        <v>Cerrado</v>
      </c>
      <c r="G7" s="67">
        <f>IF(B7="","",N(ENTRADA!$G7))</f>
        <v>4600</v>
      </c>
      <c r="H7" s="67">
        <f>IF(B7="","",N(ENTRADA!$H7))</f>
        <v>2100</v>
      </c>
      <c r="I7" s="67">
        <f>IF(B7="","",N(ENTRADA!$I7))</f>
        <v>2700</v>
      </c>
      <c r="J7" s="68">
        <f>IF(B7="","",G7+H7+I7)</f>
        <v>9400</v>
      </c>
      <c r="K7" s="60">
        <f>IF(B7="","",IFERROR(MATCH(SUMPRODUCT(MAX((PRECIOS!$A$6:$A$55&lt;=C7)*PRECIOS!$A$6:$A$55)),PRECIOS!$A$6:$A$55,0),1))</f>
        <v>1</v>
      </c>
      <c r="L7" s="69">
        <f>IF(B7="","",INDEX(PRECIOS!$A$6:$A$55,K7))</f>
        <v>46023.0</v>
      </c>
      <c r="M7" s="37">
        <f>IF(B7="","",G7*INDEX(PRECIOS!$B$6:$B$55,K7))</f>
        <v>3680</v>
      </c>
      <c r="N7" s="37">
        <f>IF(B7="","",H7*INDEX(PRECIOS!$C$6:$C$55,K7))</f>
        <v>1680</v>
      </c>
      <c r="O7" s="37">
        <f>IF(B7="","",I7*INDEX(PRECIOS!$D$6:$D$55,K7))</f>
        <v>2160</v>
      </c>
      <c r="P7" s="37">
        <f>IF(B7="","",N(ENTRADA!$X7))</f>
        <v>0</v>
      </c>
      <c r="Q7" s="70">
        <f>IF(B7="","",M7+N7+O7+P7)</f>
        <v>7520</v>
      </c>
      <c r="R7" s="71">
        <f>IF(B7="","",IF(ENTRADA!$J7="",Std_Viajes_Puerto,ENTRADA!$J7))</f>
        <v>1</v>
      </c>
      <c r="S7" s="37">
        <f>IF(B7="","",R7*INDEX(PRECIOS!$F$6:$F$55,K7))</f>
        <v>10</v>
      </c>
      <c r="T7" s="71">
        <f>IF(B7="","",R7*Litros_Puerto_Viaje)</f>
        <v>60</v>
      </c>
      <c r="U7" s="71">
        <f>IF(B7="","",IF(ENTRADA!$K7="",T7,ENTRADA!$K7))</f>
        <v>60</v>
      </c>
      <c r="V7" s="37">
        <f>IF(B7="","",U7*INDEX(PRECIOS!$E$6:$E$55,K7))</f>
        <v>120</v>
      </c>
      <c r="W7" s="37">
        <f>IF(B7="","",IF(ENTRADA!$L7="",R7*INDEX(PRECIOS!$G$6:$G$55,K7),ENTRADA!$L7))</f>
        <v>10</v>
      </c>
      <c r="X7" s="37">
        <f>IF(B7="","",R7*Km_Puerto_Viaje*INDEX(PRECIOS!$N$6:$N$55,K7))</f>
        <v>21.6</v>
      </c>
      <c r="Y7" s="70">
        <f>IF(B7="","",S7+V7+W7+X7)</f>
        <v>161.6</v>
      </c>
      <c r="Z7" s="71">
        <f>IF(B7="","",IF(J7=0,0,ROUNDUP(J7/Rend_Desagrupe,0)))</f>
        <v>10</v>
      </c>
      <c r="AA7" s="71">
        <f>IF(B7="","",IF(ENTRADA!$M7="",Z7,ENTRADA!$M7))</f>
        <v>10</v>
      </c>
      <c r="AB7" s="37">
        <f>IF(B7="","",AA7*INDEX(PRECIOS!$H$6:$H$55,K7))</f>
        <v>150</v>
      </c>
      <c r="AC7" s="37">
        <f>IF(B7="","",IF(E7="ENCI",INDEX(PRECIOS!$J$6:$J$55,K7),IF(E7="A.V",INDEX(PRECIOS!$K$6:$K$55,K7),0)))</f>
        <v>0</v>
      </c>
      <c r="AD7" s="37">
        <f>IF(B7="","",N(ENTRADA!$N7))</f>
        <v>120</v>
      </c>
      <c r="AE7" s="70">
        <f>IF(B7="","",AB7+AC7+AD7)</f>
        <v>270</v>
      </c>
      <c r="AF7" s="71">
        <f>IF(B7="","",IF(G7=0,0,ROUNDUP(G7/Cap_Camion_OCC,0)))</f>
        <v>1</v>
      </c>
      <c r="AG7" s="71">
        <f>IF(B7="","",AF7*L_Dist_OCC)</f>
        <v>120</v>
      </c>
      <c r="AH7" s="71">
        <f>IF(B7="","",IF(ENTRADA!$O7="",AG7,ENTRADA!$O7))</f>
        <v>120</v>
      </c>
      <c r="AI7" s="37">
        <f>IF(B7="","",AH7*INDEX(PRECIOS!$E$6:$E$55,K7))</f>
        <v>240</v>
      </c>
      <c r="AJ7" s="71">
        <f>IF(B7="","",IF(H7=0,0,ROUNDUP(H7/Cap_Camion_CEN,0)))</f>
        <v>1</v>
      </c>
      <c r="AK7" s="71">
        <f>IF(B7="","",AJ7*L_Tras_CEN)</f>
        <v>250</v>
      </c>
      <c r="AL7" s="71">
        <f>IF(B7="","",IF(ENTRADA!$P7="",AK7,ENTRADA!$P7))</f>
        <v>250</v>
      </c>
      <c r="AM7" s="71">
        <f>IF(B7="","",AJ7*L_Dist_CEN)</f>
        <v>150</v>
      </c>
      <c r="AN7" s="71">
        <f>IF(B7="","",IF(ENTRADA!$Q7="",AM7,ENTRADA!$Q7))</f>
        <v>150</v>
      </c>
      <c r="AO7" s="37">
        <f>IF(B7="","",(AL7+AN7)*INDEX(PRECIOS!$E$6:$E$55,K7))</f>
        <v>800</v>
      </c>
      <c r="AP7" s="71">
        <f>IF(B7="","",IF(H7=0,0,ROUNDUP(H7/Rend_Desagrupe_CT,0)))</f>
        <v>3</v>
      </c>
      <c r="AQ7" s="71">
        <f>IF(B7="","",IF(ENTRADA!$R7="",AP7,ENTRADA!$R7))</f>
        <v>3</v>
      </c>
      <c r="AR7" s="37">
        <f>IF(B7="","",AQ7*INDEX(PRECIOS!$I$6:$I$55,K7))</f>
        <v>45</v>
      </c>
      <c r="AS7" s="37">
        <f>IF(B7="","",AO7+AR7)</f>
        <v>845</v>
      </c>
      <c r="AT7" s="71">
        <f>IF(B7="","",IF(I7=0,0,ROUNDUP(I7/Cap_Camion_ORI,0)))</f>
        <v>1</v>
      </c>
      <c r="AU7" s="71">
        <f>IF(B7="","",AT7*L_Tras_ORI)</f>
        <v>450</v>
      </c>
      <c r="AV7" s="71">
        <f>IF(B7="","",IF(ENTRADA!$S7="",AU7,ENTRADA!$S7))</f>
        <v>480</v>
      </c>
      <c r="AW7" s="71">
        <f>IF(B7="","",AT7*L_Dist_ORI)</f>
        <v>180</v>
      </c>
      <c r="AX7" s="71">
        <f>IF(B7="","",IF(ENTRADA!$T7="",AW7,ENTRADA!$T7))</f>
        <v>180</v>
      </c>
      <c r="AY7" s="37">
        <f>IF(B7="","",(AV7+AX7)*INDEX(PRECIOS!$E$6:$E$55,K7))</f>
        <v>1320</v>
      </c>
      <c r="AZ7" s="71">
        <f>IF(B7="","",IF(I7=0,0,ROUNDUP(I7/Rend_Desagrupe_CT,0)))</f>
        <v>4</v>
      </c>
      <c r="BA7" s="71">
        <f>IF(B7="","",IF(ENTRADA!$U7="",AZ7,ENTRADA!$U7))</f>
        <v>4</v>
      </c>
      <c r="BB7" s="37">
        <f>IF(B7="","",BA7*INDEX(PRECIOS!$I$6:$I$55,K7))</f>
        <v>60</v>
      </c>
      <c r="BC7" s="37">
        <f>IF(B7="","",AY7+BB7)</f>
        <v>1380</v>
      </c>
      <c r="BD7" s="70">
        <f>IF(B7="","",AI7+AS7+BC7)</f>
        <v>2465</v>
      </c>
      <c r="BE7" s="37">
        <f>IF(B7="","",IF(Base_Comision="% DEL INGRESO",M7*INDEX(PRECIOS!$L$6:$L$55,K7),G7*INDEX(PRECIOS!$M$6:$M$55,K7)))</f>
        <v>110.4</v>
      </c>
      <c r="BF7" s="37">
        <f>IF(B7="","",IF(Base_Comision="% DEL INGRESO",N7*INDEX(PRECIOS!$L$6:$L$55,K7),H7*INDEX(PRECIOS!$M$6:$M$55,K7)))</f>
        <v>50.4</v>
      </c>
      <c r="BG7" s="37">
        <f>IF(B7="","",IF(Base_Comision="% DEL INGRESO",O7*INDEX(PRECIOS!$L$6:$L$55,K7),I7*INDEX(PRECIOS!$M$6:$M$55,K7)))</f>
        <v>64.8</v>
      </c>
      <c r="BH7" s="70">
        <f>IF(B7="","",BE7+BF7+BG7)</f>
        <v>225.6</v>
      </c>
      <c r="BI7" s="37">
        <f>IF(B7="","",Q7*Pct_Reclamaciones)</f>
        <v>37.6</v>
      </c>
      <c r="BJ7" s="37">
        <f>IF(B7="","",Q7*Pct_Banco)</f>
        <v>75.2</v>
      </c>
      <c r="BK7" s="37">
        <f>IF(B7="","",N(ENTRADA!$V7))</f>
        <v>0</v>
      </c>
      <c r="BL7" s="70">
        <f>IF(B7="","",Y7+AE7+BD7+BH7+BI7+BJ7+BK7)</f>
        <v>3235</v>
      </c>
      <c r="BM7" s="70">
        <f>IF(B7="","",Q7-BL7)</f>
        <v>4285</v>
      </c>
      <c r="BN7" s="72">
        <f>IF(B7="","",IF(Q7=0,0,BM7/Q7))</f>
        <v>0.569813829787234</v>
      </c>
      <c r="BO7" s="73">
        <f>IF(B7="","",IF(J7=0,0,BM7/J7))</f>
        <v>0.455851063829787</v>
      </c>
      <c r="BP7" s="60">
        <f>IF(B7="","",IFERROR(MATCH(D7,COSTOS_FIJOS!$G$5:$AD$5,0),0))</f>
        <v>1</v>
      </c>
      <c r="BQ7" s="60">
        <f>IF(B7="","",COUNTIFS($D$6:$D$305,D7))</f>
        <v>2</v>
      </c>
      <c r="BR7" s="67">
        <f>IF(B7="","",SUMIFS($J$6:$J$305,$D$6:$D$305,D7))</f>
        <v>19500</v>
      </c>
      <c r="BS7" s="72">
        <f>IF(B7="","",IF(Metodo_Prorrateo="KG",IF(BR7=0,0,J7/BR7),1/BQ7))</f>
        <v>0.482051282051282</v>
      </c>
      <c r="BT7" s="37">
        <f>IF(B7="","",IF(BP7=0,0,INDEX(COSTOS_FIJOS!$G$38:$AD$38,BP7))*BS7)</f>
        <v>1272.64752136752</v>
      </c>
      <c r="BU7" s="72">
        <f>IF(B7="","",IF(Metodo_Prorrateo="KG",IF(SUMIFS($G$6:$G$305,$D$6:$D$305,D7)=0,0,G7/SUMIFS($G$6:$G$305,$D$6:$D$305,D7)),IF(G7&gt;0,1/COUNTIFS($D$6:$D$305,D7,$G$6:$G$305,"&gt;0"),0)))</f>
        <v>0.469387755102041</v>
      </c>
      <c r="BV7" s="37">
        <f>IF(B7="","",IF(BP7=0,0,INDEX(COSTOS_FIJOS!$G$39:$AD$39,BP7))*BU7)</f>
        <v>93.8775510204082</v>
      </c>
      <c r="BW7" s="72">
        <f>IF(B7="","",IF(Metodo_Prorrateo="KG",IF(SUMIFS($H$6:$H$305,$D$6:$D$305,D7)=0,0,H7/SUMIFS($H$6:$H$305,$D$6:$D$305,D7)),IF(H7&gt;0,1/COUNTIFS($D$6:$D$305,D7,$H$6:$H$305,"&gt;0"),0)))</f>
        <v>0.446808510638298</v>
      </c>
      <c r="BX7" s="37">
        <f>IF(B7="","",IF(BP7=0,0,INDEX(COSTOS_FIJOS!$G$40:$AD$40,BP7))*BW7)</f>
        <v>89.3617021276596</v>
      </c>
      <c r="BY7" s="72">
        <f>IF(B7="","",IF(Metodo_Prorrateo="KG",IF(SUMIFS($I$6:$I$305,$D$6:$D$305,D7)=0,0,I7/SUMIFS($I$6:$I$305,$D$6:$D$305,D7)),IF(I7&gt;0,1/COUNTIFS($D$6:$D$305,D7,$I$6:$I$305,"&gt;0"),0)))</f>
        <v>0.54</v>
      </c>
      <c r="BZ7" s="37">
        <f>IF(B7="","",IF(BP7=0,0,INDEX(COSTOS_FIJOS!$G$41:$AD$41,BP7))*BY7)</f>
        <v>108</v>
      </c>
      <c r="CA7" s="70">
        <f>IF(B7="","",BT7+BV7+BX7+BZ7)</f>
        <v>1563.88677451559</v>
      </c>
      <c r="CB7" s="37">
        <f>IF(B7="","",Q7*Imp_Ventas_Serv)</f>
        <v>752</v>
      </c>
      <c r="CC7" s="37">
        <f>IF(B7="","",Q7*Contrib_Territorial)</f>
        <v>75.2</v>
      </c>
      <c r="CD7" s="70">
        <f>IF(B7="","",BM7-CA7-CB7-CC7)</f>
        <v>1893.91322548441</v>
      </c>
      <c r="CE7" s="37">
        <f>IF(B7="","",MAX(0,CD7)*Imp_Utilidades)</f>
        <v>662.869628919544</v>
      </c>
      <c r="CF7" s="70">
        <f>IF(B7="","",CD7-CE7)</f>
        <v>1231.04359656487</v>
      </c>
      <c r="CG7" s="72">
        <f>IF(B7="","",IF(Q7=0,0,CF7/Q7))</f>
        <v>0.163702605926179</v>
      </c>
      <c r="CH7" s="73">
        <f>IF(B7="","",IF(J7=0,0,(BL7+CA7+CB7+CC7)/J7))</f>
        <v>0.598519869629318</v>
      </c>
      <c r="CI7" s="73">
        <f>IF(B7="","",IF(J7=0,0,Q7/J7))</f>
        <v>0.8</v>
      </c>
      <c r="CJ7" s="73">
        <f>IF(B7="","",IF(J7=0,0,CD7/J7))</f>
        <v>0.201480130370682</v>
      </c>
      <c r="CK7" s="37">
        <f>IF(B7="","",Y7+AE7+BK7+BT7)</f>
        <v>1704.24752136752</v>
      </c>
      <c r="CL7" s="37">
        <f>IF(B7="","",IF(J7=0,0,(M7+P7*G7/J7)*(1-Pct_Reclamaciones-Pct_Banco-Imp_Ventas_Serv-Contrib_Territorial)-AI7-BE7-BV7-CK7*G7/J7))</f>
        <v>1941.72898107634</v>
      </c>
      <c r="CM7" s="37">
        <f>IF(B7="","",IF(J7=0,0,(N7+P7*H7/J7)*(1-Pct_Reclamaciones-Pct_Banco-Imp_Ventas_Serv-Contrib_Territorial)-AS7-BF7-BX7-CK7*H7/J7))</f>
        <v>104.502149481724</v>
      </c>
      <c r="CN7" s="37">
        <f>IF(B7="","",IF(J7=0,0,(O7+P7*I7/J7)*(1-Pct_Reclamaciones-Pct_Banco-Imp_Ventas_Serv-Contrib_Territorial)-BC7-BG7-BZ7-CK7*I7/J7))</f>
        <v>-152.31790507365</v>
      </c>
      <c r="CO7" s="37">
        <f>IF(B7="","",IF(J7=0,0,ROUND(CD7-CL7-CM7-CN7,4)))</f>
        <v>0</v>
      </c>
      <c r="CP7" s="71">
        <f>IF(B7="","",T7+AG7+AK7+AM7+AU7+AW7)</f>
        <v>1210</v>
      </c>
      <c r="CQ7" s="71">
        <f>IF(B7="","",U7+AH7+AL7+AN7+AV7+AX7)</f>
        <v>1240</v>
      </c>
      <c r="CR7" s="72">
        <f>IF(B7="","",IF(CP7=0,0,CQ7/CP7-1))</f>
        <v>0.024793388429752</v>
      </c>
      <c r="CS7" s="60">
        <f>IF(B7="","",IF(ENTRADA!$Y7="","",ENTRADA!$Y7-C7))</f>
        <v>11</v>
      </c>
      <c r="CT7" s="66">
        <f>IF(B7="","",IF(ENTRADA!$C7="","Falta fecha. ","")&amp;IF(BP7=0,"Mes fuera del rango de COSTOS_FIJOS. ","")&amp;IF(J7=0,"Sin kg. ","")&amp;IF(E7="","Falta transitaria. ","")&amp;IF(AND(T7&gt;0,U7/T7-1&gt;Tolerancia_Comb),"Combustible al puerto "&amp;TEXT(U7/T7-1,"+0%")&amp;" sobre norma. ","")&amp;IF(AND(AG7&gt;0,AH7/AG7-1&gt;Tolerancia_Comb),"Combustible distribución Occidente "&amp;TEXT(AH7/AG7-1,"+0%")&amp;" sobre norma. ","")&amp;IF(AND(AK7&gt;0,AL7/AK7-1&gt;Tolerancia_Comb),"Combustible traslado Centro "&amp;TEXT(AL7/AK7-1,"+0%")&amp;" sobre norma. ","")&amp;IF(AND(AM7&gt;0,AN7/AM7-1&gt;Tolerancia_Comb),"Combustible distribución Centro "&amp;TEXT(AN7/AM7-1,"+0%")&amp;" sobre norma. ","")&amp;IF(AND(AU7&gt;0,AV7/AU7-1&gt;Tolerancia_Comb),"Combustible traslado Oriente "&amp;TEXT(AV7/AU7-1,"+0%")&amp;" sobre norma. ","")&amp;IF(AND(AW7&gt;0,AX7/AW7-1&gt;Tolerancia_Comb),"Combustible distribución Oriente "&amp;TEXT(AX7/AW7-1,"+0%")&amp;" sobre norma. ","")&amp;IF(AND(ENTRADA!$C7&lt;&gt;"",C7&lt;PRECIOS!$A$6),"Fecha anterior a la 1ª vigencia de precios. ","")&amp;IF(CD7&lt;0,"Contenedor con pérdida. ",""))</f>
      </c>
    </row>
    <row r="8">
      <c r="A8" s="60">
        <f>IF(B8="","",ROW()-5)</f>
        <v>3</v>
      </c>
      <c r="B8" s="63" t="str">
        <f>IF(ENTRADA!$B8="","",ENTRADA!$B8)</f>
        <v>CONT-EJEMPLO-03</v>
      </c>
      <c r="C8" s="64">
        <f>IF(B8="","",ENTRADA!$C8)</f>
        <v>46301.0</v>
      </c>
      <c r="D8" s="65">
        <f>IF(B8="","",DATE(YEAR(C8),MONTH(C8),1))</f>
        <v>46296.0</v>
      </c>
      <c r="E8" s="66" t="str">
        <f>IF(B8="","",ENTRADA!$D8&amp;"")</f>
        <v>ENCI</v>
      </c>
      <c r="F8" s="66" t="str">
        <f>IF(B8="","",ENTRADA!$Z8&amp;"")</f>
        <v>Cerrado</v>
      </c>
      <c r="G8" s="67">
        <f>IF(B8="","",N(ENTRADA!$G8))</f>
        <v>6100</v>
      </c>
      <c r="H8" s="67">
        <f>IF(B8="","",N(ENTRADA!$H8))</f>
        <v>2900</v>
      </c>
      <c r="I8" s="67">
        <f>IF(B8="","",N(ENTRADA!$I8))</f>
        <v>2400</v>
      </c>
      <c r="J8" s="68">
        <f>IF(B8="","",G8+H8+I8)</f>
        <v>11400</v>
      </c>
      <c r="K8" s="60">
        <f>IF(B8="","",IFERROR(MATCH(SUMPRODUCT(MAX((PRECIOS!$A$6:$A$55&lt;=C8)*PRECIOS!$A$6:$A$55)),PRECIOS!$A$6:$A$55,0),1))</f>
        <v>1</v>
      </c>
      <c r="L8" s="69">
        <f>IF(B8="","",INDEX(PRECIOS!$A$6:$A$55,K8))</f>
        <v>46023.0</v>
      </c>
      <c r="M8" s="37">
        <f>IF(B8="","",G8*INDEX(PRECIOS!$B$6:$B$55,K8))</f>
        <v>4880</v>
      </c>
      <c r="N8" s="37">
        <f>IF(B8="","",H8*INDEX(PRECIOS!$C$6:$C$55,K8))</f>
        <v>2320</v>
      </c>
      <c r="O8" s="37">
        <f>IF(B8="","",I8*INDEX(PRECIOS!$D$6:$D$55,K8))</f>
        <v>1920</v>
      </c>
      <c r="P8" s="37">
        <f>IF(B8="","",N(ENTRADA!$X8))</f>
        <v>150</v>
      </c>
      <c r="Q8" s="70">
        <f>IF(B8="","",M8+N8+O8+P8)</f>
        <v>9270</v>
      </c>
      <c r="R8" s="71">
        <f>IF(B8="","",IF(ENTRADA!$J8="",Std_Viajes_Puerto,ENTRADA!$J8))</f>
        <v>1</v>
      </c>
      <c r="S8" s="37">
        <f>IF(B8="","",R8*INDEX(PRECIOS!$F$6:$F$55,K8))</f>
        <v>10</v>
      </c>
      <c r="T8" s="71">
        <f>IF(B8="","",R8*Litros_Puerto_Viaje)</f>
        <v>60</v>
      </c>
      <c r="U8" s="71">
        <f>IF(B8="","",IF(ENTRADA!$K8="",T8,ENTRADA!$K8))</f>
        <v>60</v>
      </c>
      <c r="V8" s="37">
        <f>IF(B8="","",U8*INDEX(PRECIOS!$E$6:$E$55,K8))</f>
        <v>120</v>
      </c>
      <c r="W8" s="37">
        <f>IF(B8="","",IF(ENTRADA!$L8="",R8*INDEX(PRECIOS!$G$6:$G$55,K8),ENTRADA!$L8))</f>
        <v>10</v>
      </c>
      <c r="X8" s="37">
        <f>IF(B8="","",R8*Km_Puerto_Viaje*INDEX(PRECIOS!$N$6:$N$55,K8))</f>
        <v>21.6</v>
      </c>
      <c r="Y8" s="70">
        <f>IF(B8="","",S8+V8+W8+X8)</f>
        <v>161.6</v>
      </c>
      <c r="Z8" s="71">
        <f>IF(B8="","",IF(J8=0,0,ROUNDUP(J8/Rend_Desagrupe,0)))</f>
        <v>12</v>
      </c>
      <c r="AA8" s="71">
        <f>IF(B8="","",IF(ENTRADA!$M8="",Z8,ENTRADA!$M8))</f>
        <v>12</v>
      </c>
      <c r="AB8" s="37">
        <f>IF(B8="","",AA8*INDEX(PRECIOS!$H$6:$H$55,K8))</f>
        <v>180</v>
      </c>
      <c r="AC8" s="37">
        <f>IF(B8="","",IF(E8="ENCI",INDEX(PRECIOS!$J$6:$J$55,K8),IF(E8="A.V",INDEX(PRECIOS!$K$6:$K$55,K8),0)))</f>
        <v>0</v>
      </c>
      <c r="AD8" s="37">
        <f>IF(B8="","",N(ENTRADA!$N8))</f>
        <v>0</v>
      </c>
      <c r="AE8" s="70">
        <f>IF(B8="","",AB8+AC8+AD8)</f>
        <v>180</v>
      </c>
      <c r="AF8" s="71">
        <f>IF(B8="","",IF(G8=0,0,ROUNDUP(G8/Cap_Camion_OCC,0)))</f>
        <v>2</v>
      </c>
      <c r="AG8" s="71">
        <f>IF(B8="","",AF8*L_Dist_OCC)</f>
        <v>240</v>
      </c>
      <c r="AH8" s="71">
        <f>IF(B8="","",IF(ENTRADA!$O8="",AG8,ENTRADA!$O8))</f>
        <v>150</v>
      </c>
      <c r="AI8" s="37">
        <f>IF(B8="","",AH8*INDEX(PRECIOS!$E$6:$E$55,K8))</f>
        <v>300</v>
      </c>
      <c r="AJ8" s="71">
        <f>IF(B8="","",IF(H8=0,0,ROUNDUP(H8/Cap_Camion_CEN,0)))</f>
        <v>1</v>
      </c>
      <c r="AK8" s="71">
        <f>IF(B8="","",AJ8*L_Tras_CEN)</f>
        <v>250</v>
      </c>
      <c r="AL8" s="71">
        <f>IF(B8="","",IF(ENTRADA!$P8="",AK8,ENTRADA!$P8))</f>
        <v>250</v>
      </c>
      <c r="AM8" s="71">
        <f>IF(B8="","",AJ8*L_Dist_CEN)</f>
        <v>150</v>
      </c>
      <c r="AN8" s="71">
        <f>IF(B8="","",IF(ENTRADA!$Q8="",AM8,ENTRADA!$Q8))</f>
        <v>150</v>
      </c>
      <c r="AO8" s="37">
        <f>IF(B8="","",(AL8+AN8)*INDEX(PRECIOS!$E$6:$E$55,K8))</f>
        <v>800</v>
      </c>
      <c r="AP8" s="71">
        <f>IF(B8="","",IF(H8=0,0,ROUNDUP(H8/Rend_Desagrupe_CT,0)))</f>
        <v>4</v>
      </c>
      <c r="AQ8" s="71">
        <f>IF(B8="","",IF(ENTRADA!$R8="",AP8,ENTRADA!$R8))</f>
        <v>4</v>
      </c>
      <c r="AR8" s="37">
        <f>IF(B8="","",AQ8*INDEX(PRECIOS!$I$6:$I$55,K8))</f>
        <v>60</v>
      </c>
      <c r="AS8" s="37">
        <f>IF(B8="","",AO8+AR8)</f>
        <v>860</v>
      </c>
      <c r="AT8" s="71">
        <f>IF(B8="","",IF(I8=0,0,ROUNDUP(I8/Cap_Camion_ORI,0)))</f>
        <v>1</v>
      </c>
      <c r="AU8" s="71">
        <f>IF(B8="","",AT8*L_Tras_ORI)</f>
        <v>450</v>
      </c>
      <c r="AV8" s="71">
        <f>IF(B8="","",IF(ENTRADA!$S8="",AU8,ENTRADA!$S8))</f>
        <v>450</v>
      </c>
      <c r="AW8" s="71">
        <f>IF(B8="","",AT8*L_Dist_ORI)</f>
        <v>180</v>
      </c>
      <c r="AX8" s="71">
        <f>IF(B8="","",IF(ENTRADA!$T8="",AW8,ENTRADA!$T8))</f>
        <v>260</v>
      </c>
      <c r="AY8" s="37">
        <f>IF(B8="","",(AV8+AX8)*INDEX(PRECIOS!$E$6:$E$55,K8))</f>
        <v>1420</v>
      </c>
      <c r="AZ8" s="71">
        <f>IF(B8="","",IF(I8=0,0,ROUNDUP(I8/Rend_Desagrupe_CT,0)))</f>
        <v>3</v>
      </c>
      <c r="BA8" s="71">
        <f>IF(B8="","",IF(ENTRADA!$U8="",AZ8,ENTRADA!$U8))</f>
        <v>3</v>
      </c>
      <c r="BB8" s="37">
        <f>IF(B8="","",BA8*INDEX(PRECIOS!$I$6:$I$55,K8))</f>
        <v>45</v>
      </c>
      <c r="BC8" s="37">
        <f>IF(B8="","",AY8+BB8)</f>
        <v>1465</v>
      </c>
      <c r="BD8" s="70">
        <f>IF(B8="","",AI8+AS8+BC8)</f>
        <v>2625</v>
      </c>
      <c r="BE8" s="37">
        <f>IF(B8="","",IF(Base_Comision="% DEL INGRESO",M8*INDEX(PRECIOS!$L$6:$L$55,K8),G8*INDEX(PRECIOS!$M$6:$M$55,K8)))</f>
        <v>146.4</v>
      </c>
      <c r="BF8" s="37">
        <f>IF(B8="","",IF(Base_Comision="% DEL INGRESO",N8*INDEX(PRECIOS!$L$6:$L$55,K8),H8*INDEX(PRECIOS!$M$6:$M$55,K8)))</f>
        <v>69.6</v>
      </c>
      <c r="BG8" s="37">
        <f>IF(B8="","",IF(Base_Comision="% DEL INGRESO",O8*INDEX(PRECIOS!$L$6:$L$55,K8),I8*INDEX(PRECIOS!$M$6:$M$55,K8)))</f>
        <v>57.6</v>
      </c>
      <c r="BH8" s="70">
        <f>IF(B8="","",BE8+BF8+BG8)</f>
        <v>273.6</v>
      </c>
      <c r="BI8" s="37">
        <f>IF(B8="","",Q8*Pct_Reclamaciones)</f>
        <v>46.35</v>
      </c>
      <c r="BJ8" s="37">
        <f>IF(B8="","",Q8*Pct_Banco)</f>
        <v>92.7</v>
      </c>
      <c r="BK8" s="37">
        <f>IF(B8="","",N(ENTRADA!$V8))</f>
        <v>35</v>
      </c>
      <c r="BL8" s="70">
        <f>IF(B8="","",Y8+AE8+BD8+BH8+BI8+BJ8+BK8)</f>
        <v>3414.25</v>
      </c>
      <c r="BM8" s="70">
        <f>IF(B8="","",Q8-BL8)</f>
        <v>5855.75</v>
      </c>
      <c r="BN8" s="72">
        <f>IF(B8="","",IF(Q8=0,0,BM8/Q8))</f>
        <v>0.631688241639698</v>
      </c>
      <c r="BO8" s="73">
        <f>IF(B8="","",IF(J8=0,0,BM8/J8))</f>
        <v>0.513662280701754</v>
      </c>
      <c r="BP8" s="60">
        <f>IF(B8="","",IFERROR(MATCH(D8,COSTOS_FIJOS!$G$5:$AD$5,0),0))</f>
        <v>2</v>
      </c>
      <c r="BQ8" s="60">
        <f>IF(B8="","",COUNTIFS($D$6:$D$305,D8))</f>
        <v>2</v>
      </c>
      <c r="BR8" s="67">
        <f>IF(B8="","",SUMIFS($J$6:$J$305,$D$6:$D$305,D8))</f>
        <v>20600</v>
      </c>
      <c r="BS8" s="72">
        <f>IF(B8="","",IF(Metodo_Prorrateo="KG",IF(BR8=0,0,J8/BR8),1/BQ8))</f>
        <v>0.553398058252427</v>
      </c>
      <c r="BT8" s="37">
        <f>IF(B8="","",IF(BP8=0,0,INDEX(COSTOS_FIJOS!$G$38:$AD$38,BP8))*BS8)</f>
        <v>1461.00776699029</v>
      </c>
      <c r="BU8" s="72">
        <f>IF(B8="","",IF(Metodo_Prorrateo="KG",IF(SUMIFS($G$6:$G$305,$D$6:$D$305,D8)=0,0,G8/SUMIFS($G$6:$G$305,$D$6:$D$305,D8)),IF(G8&gt;0,1/COUNTIFS($D$6:$D$305,D8,$G$6:$G$305,"&gt;0"),0)))</f>
        <v>0.616161616161616</v>
      </c>
      <c r="BV8" s="37">
        <f>IF(B8="","",IF(BP8=0,0,INDEX(COSTOS_FIJOS!$G$39:$AD$39,BP8))*BU8)</f>
        <v>123.232323232323</v>
      </c>
      <c r="BW8" s="72">
        <f>IF(B8="","",IF(Metodo_Prorrateo="KG",IF(SUMIFS($H$6:$H$305,$D$6:$D$305,D8)=0,0,H8/SUMIFS($H$6:$H$305,$D$6:$D$305,D8)),IF(H8&gt;0,1/COUNTIFS($D$6:$D$305,D8,$H$6:$H$305,"&gt;0"),0)))</f>
        <v>0.659090909090909</v>
      </c>
      <c r="BX8" s="37">
        <f>IF(B8="","",IF(BP8=0,0,INDEX(COSTOS_FIJOS!$G$40:$AD$40,BP8))*BW8)</f>
        <v>131.818181818182</v>
      </c>
      <c r="BY8" s="72">
        <f>IF(B8="","",IF(Metodo_Prorrateo="KG",IF(SUMIFS($I$6:$I$305,$D$6:$D$305,D8)=0,0,I8/SUMIFS($I$6:$I$305,$D$6:$D$305,D8)),IF(I8&gt;0,1/COUNTIFS($D$6:$D$305,D8,$I$6:$I$305,"&gt;0"),0)))</f>
        <v>0.380952380952381</v>
      </c>
      <c r="BZ8" s="37">
        <f>IF(B8="","",IF(BP8=0,0,INDEX(COSTOS_FIJOS!$G$41:$AD$41,BP8))*BY8)</f>
        <v>76.1904761904762</v>
      </c>
      <c r="CA8" s="70">
        <f>IF(B8="","",BT8+BV8+BX8+BZ8)</f>
        <v>1792.24874823127</v>
      </c>
      <c r="CB8" s="37">
        <f>IF(B8="","",Q8*Imp_Ventas_Serv)</f>
        <v>927</v>
      </c>
      <c r="CC8" s="37">
        <f>IF(B8="","",Q8*Contrib_Territorial)</f>
        <v>92.7</v>
      </c>
      <c r="CD8" s="70">
        <f>IF(B8="","",BM8-CA8-CB8-CC8)</f>
        <v>3043.80125176873</v>
      </c>
      <c r="CE8" s="37">
        <f>IF(B8="","",MAX(0,CD8)*Imp_Utilidades)</f>
        <v>1065.33043811905</v>
      </c>
      <c r="CF8" s="70">
        <f>IF(B8="","",CD8-CE8)</f>
        <v>1978.47081364967</v>
      </c>
      <c r="CG8" s="72">
        <f>IF(B8="","",IF(Q8=0,0,CF8/Q8))</f>
        <v>0.213427272238368</v>
      </c>
      <c r="CH8" s="73">
        <f>IF(B8="","",IF(J8=0,0,(BL8+CA8+CB8+CC8)/J8))</f>
        <v>0.546157784932568</v>
      </c>
      <c r="CI8" s="73">
        <f>IF(B8="","",IF(J8=0,0,Q8/J8))</f>
        <v>0.813157894736842</v>
      </c>
      <c r="CJ8" s="73">
        <f>IF(B8="","",IF(J8=0,0,CD8/J8))</f>
        <v>0.267000109804274</v>
      </c>
      <c r="CK8" s="37">
        <f>IF(B8="","",Y8+AE8+BK8+BT8)</f>
        <v>1837.60776699029</v>
      </c>
      <c r="CL8" s="37">
        <f>IF(B8="","",IF(J8=0,0,(M8+P8*G8/J8)*(1-Pct_Reclamaciones-Pct_Banco-Imp_Ventas_Serv-Contrib_Territorial)-AI8-BE8-BV8-CK8*G8/J8))</f>
        <v>2787.31659092199</v>
      </c>
      <c r="CM8" s="37">
        <f>IF(B8="","",IF(J8=0,0,(N8+P8*H8/J8)*(1-Pct_Reclamaciones-Pct_Banco-Imp_Ventas_Serv-Contrib_Territorial)-AS8-BF8-BX8-CK8*H8/J8))</f>
        <v>534.508351140428</v>
      </c>
      <c r="CN8" s="37">
        <f>IF(B8="","",IF(J8=0,0,(O8+P8*I8/J8)*(1-Pct_Reclamaciones-Pct_Banco-Imp_Ventas_Serv-Contrib_Territorial)-BC8-BG8-BZ8-CK8*I8/J8))</f>
        <v>-278.023690293695</v>
      </c>
      <c r="CO8" s="37">
        <f>IF(B8="","",IF(J8=0,0,ROUND(CD8-CL8-CM8-CN8,4)))</f>
        <v>0</v>
      </c>
      <c r="CP8" s="71">
        <f>IF(B8="","",T8+AG8+AK8+AM8+AU8+AW8)</f>
        <v>1330</v>
      </c>
      <c r="CQ8" s="71">
        <f>IF(B8="","",U8+AH8+AL8+AN8+AV8+AX8)</f>
        <v>1320</v>
      </c>
      <c r="CR8" s="72">
        <f>IF(B8="","",IF(CP8=0,0,CQ8/CP8-1))</f>
        <v>-0.00751879699248126</v>
      </c>
      <c r="CS8" s="60">
        <f>IF(B8="","",IF(ENTRADA!$Y8="","",ENTRADA!$Y8-C8))</f>
        <v>10</v>
      </c>
      <c r="CT8" s="66" t="str">
        <f>IF(B8="","",IF(ENTRADA!$C8="","Falta fecha. ","")&amp;IF(BP8=0,"Mes fuera del rango de COSTOS_FIJOS. ","")&amp;IF(J8=0,"Sin kg. ","")&amp;IF(E8="","Falta transitaria. ","")&amp;IF(AND(T8&gt;0,U8/T8-1&gt;Tolerancia_Comb),"Combustible al puerto "&amp;TEXT(U8/T8-1,"+0%")&amp;" sobre norma. ","")&amp;IF(AND(AG8&gt;0,AH8/AG8-1&gt;Tolerancia_Comb),"Combustible distribución Occidente "&amp;TEXT(AH8/AG8-1,"+0%")&amp;" sobre norma. ","")&amp;IF(AND(AK8&gt;0,AL8/AK8-1&gt;Tolerancia_Comb),"Combustible traslado Centro "&amp;TEXT(AL8/AK8-1,"+0%")&amp;" sobre norma. ","")&amp;IF(AND(AM8&gt;0,AN8/AM8-1&gt;Tolerancia_Comb),"Combustible distribución Centro "&amp;TEXT(AN8/AM8-1,"+0%")&amp;" sobre norma. ","")&amp;IF(AND(AU8&gt;0,AV8/AU8-1&gt;Tolerancia_Comb),"Combustible traslado Oriente "&amp;TEXT(AV8/AU8-1,"+0%")&amp;" sobre norma. ","")&amp;IF(AND(AW8&gt;0,AX8/AW8-1&gt;Tolerancia_Comb),"Combustible distribución Oriente "&amp;TEXT(AX8/AW8-1,"+0%")&amp;" sobre norma. ","")&amp;IF(AND(ENTRADA!$C8&lt;&gt;"",C8&lt;PRECIOS!$A$6),"Fecha anterior a la 1ª vigencia de precios. ","")&amp;IF(CD8&lt;0,"Contenedor con pérdida. ",""))</f>
        <v>Combustible distribución Oriente +44% sobre norma. </v>
      </c>
    </row>
    <row r="9">
      <c r="A9" s="60">
        <f>IF(B9="","",ROW()-5)</f>
        <v>4</v>
      </c>
      <c r="B9" s="63" t="str">
        <f>IF(ENTRADA!$B9="","",ENTRADA!$B9)</f>
        <v>CONT-EJEMPLO-04</v>
      </c>
      <c r="C9" s="64">
        <f>IF(B9="","",ENTRADA!$C9)</f>
        <v>46315.0</v>
      </c>
      <c r="D9" s="65">
        <f>IF(B9="","",DATE(YEAR(C9),MONTH(C9),1))</f>
        <v>46296.0</v>
      </c>
      <c r="E9" s="66" t="str">
        <f>IF(B9="","",ENTRADA!$D9&amp;"")</f>
        <v>A.V</v>
      </c>
      <c r="F9" s="66" t="str">
        <f>IF(B9="","",ENTRADA!$Z9&amp;"")</f>
        <v>Abierto</v>
      </c>
      <c r="G9" s="67">
        <f>IF(B9="","",N(ENTRADA!$G9))</f>
        <v>3800</v>
      </c>
      <c r="H9" s="67">
        <f>IF(B9="","",N(ENTRADA!$H9))</f>
        <v>1500</v>
      </c>
      <c r="I9" s="67">
        <f>IF(B9="","",N(ENTRADA!$I9))</f>
        <v>3900</v>
      </c>
      <c r="J9" s="68">
        <f>IF(B9="","",G9+H9+I9)</f>
        <v>9200</v>
      </c>
      <c r="K9" s="60">
        <f>IF(B9="","",IFERROR(MATCH(SUMPRODUCT(MAX((PRECIOS!$A$6:$A$55&lt;=C9)*PRECIOS!$A$6:$A$55)),PRECIOS!$A$6:$A$55,0),1))</f>
        <v>1</v>
      </c>
      <c r="L9" s="69">
        <f>IF(B9="","",INDEX(PRECIOS!$A$6:$A$55,K9))</f>
        <v>46023.0</v>
      </c>
      <c r="M9" s="37">
        <f>IF(B9="","",G9*INDEX(PRECIOS!$B$6:$B$55,K9))</f>
        <v>3040</v>
      </c>
      <c r="N9" s="37">
        <f>IF(B9="","",H9*INDEX(PRECIOS!$C$6:$C$55,K9))</f>
        <v>1200</v>
      </c>
      <c r="O9" s="37">
        <f>IF(B9="","",I9*INDEX(PRECIOS!$D$6:$D$55,K9))</f>
        <v>3120</v>
      </c>
      <c r="P9" s="37">
        <f>IF(B9="","",N(ENTRADA!$X9))</f>
        <v>0</v>
      </c>
      <c r="Q9" s="70">
        <f>IF(B9="","",M9+N9+O9+P9)</f>
        <v>7360</v>
      </c>
      <c r="R9" s="71">
        <f>IF(B9="","",IF(ENTRADA!$J9="",Std_Viajes_Puerto,ENTRADA!$J9))</f>
        <v>1</v>
      </c>
      <c r="S9" s="37">
        <f>IF(B9="","",R9*INDEX(PRECIOS!$F$6:$F$55,K9))</f>
        <v>10</v>
      </c>
      <c r="T9" s="71">
        <f>IF(B9="","",R9*Litros_Puerto_Viaje)</f>
        <v>60</v>
      </c>
      <c r="U9" s="71">
        <f>IF(B9="","",IF(ENTRADA!$K9="",T9,ENTRADA!$K9))</f>
        <v>60</v>
      </c>
      <c r="V9" s="37">
        <f>IF(B9="","",U9*INDEX(PRECIOS!$E$6:$E$55,K9))</f>
        <v>120</v>
      </c>
      <c r="W9" s="37">
        <f>IF(B9="","",IF(ENTRADA!$L9="",R9*INDEX(PRECIOS!$G$6:$G$55,K9),ENTRADA!$L9))</f>
        <v>10</v>
      </c>
      <c r="X9" s="37">
        <f>IF(B9="","",R9*Km_Puerto_Viaje*INDEX(PRECIOS!$N$6:$N$55,K9))</f>
        <v>21.6</v>
      </c>
      <c r="Y9" s="70">
        <f>IF(B9="","",S9+V9+W9+X9)</f>
        <v>161.6</v>
      </c>
      <c r="Z9" s="71">
        <f>IF(B9="","",IF(J9=0,0,ROUNDUP(J9/Rend_Desagrupe,0)))</f>
        <v>10</v>
      </c>
      <c r="AA9" s="71">
        <f>IF(B9="","",IF(ENTRADA!$M9="",Z9,ENTRADA!$M9))</f>
        <v>10</v>
      </c>
      <c r="AB9" s="37">
        <f>IF(B9="","",AA9*INDEX(PRECIOS!$H$6:$H$55,K9))</f>
        <v>150</v>
      </c>
      <c r="AC9" s="37">
        <f>IF(B9="","",IF(E9="ENCI",INDEX(PRECIOS!$J$6:$J$55,K9),IF(E9="A.V",INDEX(PRECIOS!$K$6:$K$55,K9),0)))</f>
        <v>0</v>
      </c>
      <c r="AD9" s="37">
        <f>IF(B9="","",N(ENTRADA!$N9))</f>
        <v>0</v>
      </c>
      <c r="AE9" s="70">
        <f>IF(B9="","",AB9+AC9+AD9)</f>
        <v>150</v>
      </c>
      <c r="AF9" s="71">
        <f>IF(B9="","",IF(G9=0,0,ROUNDUP(G9/Cap_Camion_OCC,0)))</f>
        <v>1</v>
      </c>
      <c r="AG9" s="71">
        <f>IF(B9="","",AF9*L_Dist_OCC)</f>
        <v>120</v>
      </c>
      <c r="AH9" s="71">
        <f>IF(B9="","",IF(ENTRADA!$O9="",AG9,ENTRADA!$O9))</f>
        <v>120</v>
      </c>
      <c r="AI9" s="37">
        <f>IF(B9="","",AH9*INDEX(PRECIOS!$E$6:$E$55,K9))</f>
        <v>240</v>
      </c>
      <c r="AJ9" s="71">
        <f>IF(B9="","",IF(H9=0,0,ROUNDUP(H9/Cap_Camion_CEN,0)))</f>
        <v>1</v>
      </c>
      <c r="AK9" s="71">
        <f>IF(B9="","",AJ9*L_Tras_CEN)</f>
        <v>250</v>
      </c>
      <c r="AL9" s="71">
        <f>IF(B9="","",IF(ENTRADA!$P9="",AK9,ENTRADA!$P9))</f>
        <v>250</v>
      </c>
      <c r="AM9" s="71">
        <f>IF(B9="","",AJ9*L_Dist_CEN)</f>
        <v>150</v>
      </c>
      <c r="AN9" s="71">
        <f>IF(B9="","",IF(ENTRADA!$Q9="",AM9,ENTRADA!$Q9))</f>
        <v>150</v>
      </c>
      <c r="AO9" s="37">
        <f>IF(B9="","",(AL9+AN9)*INDEX(PRECIOS!$E$6:$E$55,K9))</f>
        <v>800</v>
      </c>
      <c r="AP9" s="71">
        <f>IF(B9="","",IF(H9=0,0,ROUNDUP(H9/Rend_Desagrupe_CT,0)))</f>
        <v>2</v>
      </c>
      <c r="AQ9" s="71">
        <f>IF(B9="","",IF(ENTRADA!$R9="",AP9,ENTRADA!$R9))</f>
        <v>2</v>
      </c>
      <c r="AR9" s="37">
        <f>IF(B9="","",AQ9*INDEX(PRECIOS!$I$6:$I$55,K9))</f>
        <v>30</v>
      </c>
      <c r="AS9" s="37">
        <f>IF(B9="","",AO9+AR9)</f>
        <v>830</v>
      </c>
      <c r="AT9" s="71">
        <f>IF(B9="","",IF(I9=0,0,ROUNDUP(I9/Cap_Camion_ORI,0)))</f>
        <v>1</v>
      </c>
      <c r="AU9" s="71">
        <f>IF(B9="","",AT9*L_Tras_ORI)</f>
        <v>450</v>
      </c>
      <c r="AV9" s="71">
        <f>IF(B9="","",IF(ENTRADA!$S9="",AU9,ENTRADA!$S9))</f>
        <v>450</v>
      </c>
      <c r="AW9" s="71">
        <f>IF(B9="","",AT9*L_Dist_ORI)</f>
        <v>180</v>
      </c>
      <c r="AX9" s="71">
        <f>IF(B9="","",IF(ENTRADA!$T9="",AW9,ENTRADA!$T9))</f>
        <v>180</v>
      </c>
      <c r="AY9" s="37">
        <f>IF(B9="","",(AV9+AX9)*INDEX(PRECIOS!$E$6:$E$55,K9))</f>
        <v>1260</v>
      </c>
      <c r="AZ9" s="71">
        <f>IF(B9="","",IF(I9=0,0,ROUNDUP(I9/Rend_Desagrupe_CT,0)))</f>
        <v>5</v>
      </c>
      <c r="BA9" s="71">
        <f>IF(B9="","",IF(ENTRADA!$U9="",AZ9,ENTRADA!$U9))</f>
        <v>5</v>
      </c>
      <c r="BB9" s="37">
        <f>IF(B9="","",BA9*INDEX(PRECIOS!$I$6:$I$55,K9))</f>
        <v>75</v>
      </c>
      <c r="BC9" s="37">
        <f>IF(B9="","",AY9+BB9)</f>
        <v>1335</v>
      </c>
      <c r="BD9" s="70">
        <f>IF(B9="","",AI9+AS9+BC9)</f>
        <v>2405</v>
      </c>
      <c r="BE9" s="37">
        <f>IF(B9="","",IF(Base_Comision="% DEL INGRESO",M9*INDEX(PRECIOS!$L$6:$L$55,K9),G9*INDEX(PRECIOS!$M$6:$M$55,K9)))</f>
        <v>91.2</v>
      </c>
      <c r="BF9" s="37">
        <f>IF(B9="","",IF(Base_Comision="% DEL INGRESO",N9*INDEX(PRECIOS!$L$6:$L$55,K9),H9*INDEX(PRECIOS!$M$6:$M$55,K9)))</f>
        <v>36</v>
      </c>
      <c r="BG9" s="37">
        <f>IF(B9="","",IF(Base_Comision="% DEL INGRESO",O9*INDEX(PRECIOS!$L$6:$L$55,K9),I9*INDEX(PRECIOS!$M$6:$M$55,K9)))</f>
        <v>93.6</v>
      </c>
      <c r="BH9" s="70">
        <f>IF(B9="","",BE9+BF9+BG9)</f>
        <v>220.8</v>
      </c>
      <c r="BI9" s="37">
        <f>IF(B9="","",Q9*Pct_Reclamaciones)</f>
        <v>36.8</v>
      </c>
      <c r="BJ9" s="37">
        <f>IF(B9="","",Q9*Pct_Banco)</f>
        <v>73.6</v>
      </c>
      <c r="BK9" s="37">
        <f>IF(B9="","",N(ENTRADA!$V9))</f>
        <v>0</v>
      </c>
      <c r="BL9" s="70">
        <f>IF(B9="","",Y9+AE9+BD9+BH9+BI9+BJ9+BK9)</f>
        <v>3047.8</v>
      </c>
      <c r="BM9" s="70">
        <f>IF(B9="","",Q9-BL9)</f>
        <v>4312.2</v>
      </c>
      <c r="BN9" s="72">
        <f>IF(B9="","",IF(Q9=0,0,BM9/Q9))</f>
        <v>0.585896739130435</v>
      </c>
      <c r="BO9" s="73">
        <f>IF(B9="","",IF(J9=0,0,BM9/J9))</f>
        <v>0.468717391304348</v>
      </c>
      <c r="BP9" s="60">
        <f>IF(B9="","",IFERROR(MATCH(D9,COSTOS_FIJOS!$G$5:$AD$5,0),0))</f>
        <v>2</v>
      </c>
      <c r="BQ9" s="60">
        <f>IF(B9="","",COUNTIFS($D$6:$D$305,D9))</f>
        <v>2</v>
      </c>
      <c r="BR9" s="67">
        <f>IF(B9="","",SUMIFS($J$6:$J$305,$D$6:$D$305,D9))</f>
        <v>20600</v>
      </c>
      <c r="BS9" s="72">
        <f>IF(B9="","",IF(Metodo_Prorrateo="KG",IF(BR9=0,0,J9/BR9),1/BQ9))</f>
        <v>0.446601941747573</v>
      </c>
      <c r="BT9" s="37">
        <f>IF(B9="","",IF(BP9=0,0,INDEX(COSTOS_FIJOS!$G$38:$AD$38,BP9))*BS9)</f>
        <v>1179.05889967638</v>
      </c>
      <c r="BU9" s="72">
        <f>IF(B9="","",IF(Metodo_Prorrateo="KG",IF(SUMIFS($G$6:$G$305,$D$6:$D$305,D9)=0,0,G9/SUMIFS($G$6:$G$305,$D$6:$D$305,D9)),IF(G9&gt;0,1/COUNTIFS($D$6:$D$305,D9,$G$6:$G$305,"&gt;0"),0)))</f>
        <v>0.383838383838384</v>
      </c>
      <c r="BV9" s="37">
        <f>IF(B9="","",IF(BP9=0,0,INDEX(COSTOS_FIJOS!$G$39:$AD$39,BP9))*BU9)</f>
        <v>76.7676767676768</v>
      </c>
      <c r="BW9" s="72">
        <f>IF(B9="","",IF(Metodo_Prorrateo="KG",IF(SUMIFS($H$6:$H$305,$D$6:$D$305,D9)=0,0,H9/SUMIFS($H$6:$H$305,$D$6:$D$305,D9)),IF(H9&gt;0,1/COUNTIFS($D$6:$D$305,D9,$H$6:$H$305,"&gt;0"),0)))</f>
        <v>0.340909090909091</v>
      </c>
      <c r="BX9" s="37">
        <f>IF(B9="","",IF(BP9=0,0,INDEX(COSTOS_FIJOS!$G$40:$AD$40,BP9))*BW9)</f>
        <v>68.1818181818182</v>
      </c>
      <c r="BY9" s="72">
        <f>IF(B9="","",IF(Metodo_Prorrateo="KG",IF(SUMIFS($I$6:$I$305,$D$6:$D$305,D9)=0,0,I9/SUMIFS($I$6:$I$305,$D$6:$D$305,D9)),IF(I9&gt;0,1/COUNTIFS($D$6:$D$305,D9,$I$6:$I$305,"&gt;0"),0)))</f>
        <v>0.619047619047619</v>
      </c>
      <c r="BZ9" s="37">
        <f>IF(B9="","",IF(BP9=0,0,INDEX(COSTOS_FIJOS!$G$41:$AD$41,BP9))*BY9)</f>
        <v>123.809523809524</v>
      </c>
      <c r="CA9" s="70">
        <f>IF(B9="","",BT9+BV9+BX9+BZ9)</f>
        <v>1447.81791843539</v>
      </c>
      <c r="CB9" s="37">
        <f>IF(B9="","",Q9*Imp_Ventas_Serv)</f>
        <v>736</v>
      </c>
      <c r="CC9" s="37">
        <f>IF(B9="","",Q9*Contrib_Territorial)</f>
        <v>73.6</v>
      </c>
      <c r="CD9" s="70">
        <f>IF(B9="","",BM9-CA9-CB9-CC9)</f>
        <v>2054.78208156461</v>
      </c>
      <c r="CE9" s="37">
        <f>IF(B9="","",MAX(0,CD9)*Imp_Utilidades)</f>
        <v>719.173728547612</v>
      </c>
      <c r="CF9" s="70">
        <f>IF(B9="","",CD9-CE9)</f>
        <v>1335.60835301699</v>
      </c>
      <c r="CG9" s="72">
        <f>IF(B9="","",IF(Q9=0,0,CF9/Q9))</f>
        <v>0.181468526225135</v>
      </c>
      <c r="CH9" s="73">
        <f>IF(B9="","",IF(J9=0,0,(BL9+CA9+CB9+CC9)/J9))</f>
        <v>0.576654121569065</v>
      </c>
      <c r="CI9" s="73">
        <f>IF(B9="","",IF(J9=0,0,Q9/J9))</f>
        <v>0.8</v>
      </c>
      <c r="CJ9" s="73">
        <f>IF(B9="","",IF(J9=0,0,CD9/J9))</f>
        <v>0.223345878430935</v>
      </c>
      <c r="CK9" s="37">
        <f>IF(B9="","",Y9+AE9+BK9+BT9)</f>
        <v>1490.65889967638</v>
      </c>
      <c r="CL9" s="37">
        <f>IF(B9="","",IF(J9=0,0,(M9+P9*G9/J9)*(1-Pct_Reclamaciones-Pct_Banco-Imp_Ventas_Serv-Contrib_Territorial)-AI9-BE9-BV9-CK9*G9/J9))</f>
        <v>1636.32538640947</v>
      </c>
      <c r="CM9" s="37">
        <f>IF(B9="","",IF(J9=0,0,(N9+P9*H9/J9)*(1-Pct_Reclamaciones-Pct_Banco-Imp_Ventas_Serv-Contrib_Territorial)-AS9-BF9-BX9-CK9*H9/J9))</f>
        <v>-127.224030085575</v>
      </c>
      <c r="CN9" s="37">
        <f>IF(B9="","",IF(J9=0,0,(O9+P9*I9/J9)*(1-Pct_Reclamaciones-Pct_Banco-Imp_Ventas_Serv-Contrib_Territorial)-BC9-BG9-BZ9-CK9*I9/J9))</f>
        <v>545.680725240708</v>
      </c>
      <c r="CO9" s="37">
        <f>IF(B9="","",IF(J9=0,0,ROUND(CD9-CL9-CM9-CN9,4)))</f>
        <v>0</v>
      </c>
      <c r="CP9" s="71">
        <f>IF(B9="","",T9+AG9+AK9+AM9+AU9+AW9)</f>
        <v>1210</v>
      </c>
      <c r="CQ9" s="71">
        <f>IF(B9="","",U9+AH9+AL9+AN9+AV9+AX9)</f>
        <v>1210</v>
      </c>
      <c r="CR9" s="72">
        <f>IF(B9="","",IF(CP9=0,0,CQ9/CP9-1))</f>
        <v>0</v>
      </c>
      <c r="CS9" s="60">
        <f>IF(B9="","",IF(ENTRADA!$Y9="","",ENTRADA!$Y9-C9))</f>
      </c>
      <c r="CT9" s="66">
        <f>IF(B9="","",IF(ENTRADA!$C9="","Falta fecha. ","")&amp;IF(BP9=0,"Mes fuera del rango de COSTOS_FIJOS. ","")&amp;IF(J9=0,"Sin kg. ","")&amp;IF(E9="","Falta transitaria. ","")&amp;IF(AND(T9&gt;0,U9/T9-1&gt;Tolerancia_Comb),"Combustible al puerto "&amp;TEXT(U9/T9-1,"+0%")&amp;" sobre norma. ","")&amp;IF(AND(AG9&gt;0,AH9/AG9-1&gt;Tolerancia_Comb),"Combustible distribución Occidente "&amp;TEXT(AH9/AG9-1,"+0%")&amp;" sobre norma. ","")&amp;IF(AND(AK9&gt;0,AL9/AK9-1&gt;Tolerancia_Comb),"Combustible traslado Centro "&amp;TEXT(AL9/AK9-1,"+0%")&amp;" sobre norma. ","")&amp;IF(AND(AM9&gt;0,AN9/AM9-1&gt;Tolerancia_Comb),"Combustible distribución Centro "&amp;TEXT(AN9/AM9-1,"+0%")&amp;" sobre norma. ","")&amp;IF(AND(AU9&gt;0,AV9/AU9-1&gt;Tolerancia_Comb),"Combustible traslado Oriente "&amp;TEXT(AV9/AU9-1,"+0%")&amp;" sobre norma. ","")&amp;IF(AND(AW9&gt;0,AX9/AW9-1&gt;Tolerancia_Comb),"Combustible distribución Oriente "&amp;TEXT(AX9/AW9-1,"+0%")&amp;" sobre norma. ","")&amp;IF(AND(ENTRADA!$C9&lt;&gt;"",C9&lt;PRECIOS!$A$6),"Fecha anterior a la 1ª vigencia de precios. ","")&amp;IF(CD9&lt;0,"Contenedor con pérdida. ",""))</f>
      </c>
    </row>
    <row r="10">
      <c r="A10" s="60">
        <f>IF(B10="","",ROW()-5)</f>
      </c>
      <c r="B10" s="63">
        <f>IF(ENTRADA!$B10="","",ENTRADA!$B10)</f>
      </c>
      <c r="C10" s="64">
        <f>IF(B10="","",ENTRADA!$C10)</f>
      </c>
      <c r="D10" s="65">
        <f>IF(B10="","",DATE(YEAR(C10),MONTH(C10),1))</f>
      </c>
      <c r="E10" s="66">
        <f>IF(B10="","",ENTRADA!$D10&amp;"")</f>
      </c>
      <c r="F10" s="66">
        <f>IF(B10="","",ENTRADA!$Z10&amp;"")</f>
      </c>
      <c r="G10" s="67">
        <f>IF(B10="","",N(ENTRADA!$G10))</f>
      </c>
      <c r="H10" s="67">
        <f>IF(B10="","",N(ENTRADA!$H10))</f>
      </c>
      <c r="I10" s="67">
        <f>IF(B10="","",N(ENTRADA!$I10))</f>
      </c>
      <c r="J10" s="68">
        <f>IF(B10="","",G10+H10+I10)</f>
      </c>
      <c r="K10" s="60">
        <f>IF(B10="","",IFERROR(MATCH(SUMPRODUCT(MAX((PRECIOS!$A$6:$A$55&lt;=C10)*PRECIOS!$A$6:$A$55)),PRECIOS!$A$6:$A$55,0),1))</f>
      </c>
      <c r="L10" s="69">
        <f>IF(B10="","",INDEX(PRECIOS!$A$6:$A$55,K10))</f>
      </c>
      <c r="M10" s="37">
        <f>IF(B10="","",G10*INDEX(PRECIOS!$B$6:$B$55,K10))</f>
      </c>
      <c r="N10" s="37">
        <f>IF(B10="","",H10*INDEX(PRECIOS!$C$6:$C$55,K10))</f>
      </c>
      <c r="O10" s="37">
        <f>IF(B10="","",I10*INDEX(PRECIOS!$D$6:$D$55,K10))</f>
      </c>
      <c r="P10" s="37">
        <f>IF(B10="","",N(ENTRADA!$X10))</f>
      </c>
      <c r="Q10" s="70">
        <f>IF(B10="","",M10+N10+O10+P10)</f>
      </c>
      <c r="R10" s="71">
        <f>IF(B10="","",IF(ENTRADA!$J10="",Std_Viajes_Puerto,ENTRADA!$J10))</f>
      </c>
      <c r="S10" s="37">
        <f>IF(B10="","",R10*INDEX(PRECIOS!$F$6:$F$55,K10))</f>
      </c>
      <c r="T10" s="71">
        <f>IF(B10="","",R10*Litros_Puerto_Viaje)</f>
      </c>
      <c r="U10" s="71">
        <f>IF(B10="","",IF(ENTRADA!$K10="",T10,ENTRADA!$K10))</f>
      </c>
      <c r="V10" s="37">
        <f>IF(B10="","",U10*INDEX(PRECIOS!$E$6:$E$55,K10))</f>
      </c>
      <c r="W10" s="37">
        <f>IF(B10="","",IF(ENTRADA!$L10="",R10*INDEX(PRECIOS!$G$6:$G$55,K10),ENTRADA!$L10))</f>
      </c>
      <c r="X10" s="37">
        <f>IF(B10="","",R10*Km_Puerto_Viaje*INDEX(PRECIOS!$N$6:$N$55,K10))</f>
      </c>
      <c r="Y10" s="70">
        <f>IF(B10="","",S10+V10+W10+X10)</f>
      </c>
      <c r="Z10" s="71">
        <f>IF(B10="","",IF(J10=0,0,ROUNDUP(J10/Rend_Desagrupe,0)))</f>
      </c>
      <c r="AA10" s="71">
        <f>IF(B10="","",IF(ENTRADA!$M10="",Z10,ENTRADA!$M10))</f>
      </c>
      <c r="AB10" s="37">
        <f>IF(B10="","",AA10*INDEX(PRECIOS!$H$6:$H$55,K10))</f>
      </c>
      <c r="AC10" s="37">
        <f>IF(B10="","",IF(E10="ENCI",INDEX(PRECIOS!$J$6:$J$55,K10),IF(E10="A.V",INDEX(PRECIOS!$K$6:$K$55,K10),0)))</f>
      </c>
      <c r="AD10" s="37">
        <f>IF(B10="","",N(ENTRADA!$N10))</f>
      </c>
      <c r="AE10" s="70">
        <f>IF(B10="","",AB10+AC10+AD10)</f>
      </c>
      <c r="AF10" s="71">
        <f>IF(B10="","",IF(G10=0,0,ROUNDUP(G10/Cap_Camion_OCC,0)))</f>
      </c>
      <c r="AG10" s="71">
        <f>IF(B10="","",AF10*L_Dist_OCC)</f>
      </c>
      <c r="AH10" s="71">
        <f>IF(B10="","",IF(ENTRADA!$O10="",AG10,ENTRADA!$O10))</f>
      </c>
      <c r="AI10" s="37">
        <f>IF(B10="","",AH10*INDEX(PRECIOS!$E$6:$E$55,K10))</f>
      </c>
      <c r="AJ10" s="71">
        <f>IF(B10="","",IF(H10=0,0,ROUNDUP(H10/Cap_Camion_CEN,0)))</f>
      </c>
      <c r="AK10" s="71">
        <f>IF(B10="","",AJ10*L_Tras_CEN)</f>
      </c>
      <c r="AL10" s="71">
        <f>IF(B10="","",IF(ENTRADA!$P10="",AK10,ENTRADA!$P10))</f>
      </c>
      <c r="AM10" s="71">
        <f>IF(B10="","",AJ10*L_Dist_CEN)</f>
      </c>
      <c r="AN10" s="71">
        <f>IF(B10="","",IF(ENTRADA!$Q10="",AM10,ENTRADA!$Q10))</f>
      </c>
      <c r="AO10" s="37">
        <f>IF(B10="","",(AL10+AN10)*INDEX(PRECIOS!$E$6:$E$55,K10))</f>
      </c>
      <c r="AP10" s="71">
        <f>IF(B10="","",IF(H10=0,0,ROUNDUP(H10/Rend_Desagrupe_CT,0)))</f>
      </c>
      <c r="AQ10" s="71">
        <f>IF(B10="","",IF(ENTRADA!$R10="",AP10,ENTRADA!$R10))</f>
      </c>
      <c r="AR10" s="37">
        <f>IF(B10="","",AQ10*INDEX(PRECIOS!$I$6:$I$55,K10))</f>
      </c>
      <c r="AS10" s="37">
        <f>IF(B10="","",AO10+AR10)</f>
      </c>
      <c r="AT10" s="71">
        <f>IF(B10="","",IF(I10=0,0,ROUNDUP(I10/Cap_Camion_ORI,0)))</f>
      </c>
      <c r="AU10" s="71">
        <f>IF(B10="","",AT10*L_Tras_ORI)</f>
      </c>
      <c r="AV10" s="71">
        <f>IF(B10="","",IF(ENTRADA!$S10="",AU10,ENTRADA!$S10))</f>
      </c>
      <c r="AW10" s="71">
        <f>IF(B10="","",AT10*L_Dist_ORI)</f>
      </c>
      <c r="AX10" s="71">
        <f>IF(B10="","",IF(ENTRADA!$T10="",AW10,ENTRADA!$T10))</f>
      </c>
      <c r="AY10" s="37">
        <f>IF(B10="","",(AV10+AX10)*INDEX(PRECIOS!$E$6:$E$55,K10))</f>
      </c>
      <c r="AZ10" s="71">
        <f>IF(B10="","",IF(I10=0,0,ROUNDUP(I10/Rend_Desagrupe_CT,0)))</f>
      </c>
      <c r="BA10" s="71">
        <f>IF(B10="","",IF(ENTRADA!$U10="",AZ10,ENTRADA!$U10))</f>
      </c>
      <c r="BB10" s="37">
        <f>IF(B10="","",BA10*INDEX(PRECIOS!$I$6:$I$55,K10))</f>
      </c>
      <c r="BC10" s="37">
        <f>IF(B10="","",AY10+BB10)</f>
      </c>
      <c r="BD10" s="70">
        <f>IF(B10="","",AI10+AS10+BC10)</f>
      </c>
      <c r="BE10" s="37">
        <f>IF(B10="","",IF(Base_Comision="% DEL INGRESO",M10*INDEX(PRECIOS!$L$6:$L$55,K10),G10*INDEX(PRECIOS!$M$6:$M$55,K10)))</f>
      </c>
      <c r="BF10" s="37">
        <f>IF(B10="","",IF(Base_Comision="% DEL INGRESO",N10*INDEX(PRECIOS!$L$6:$L$55,K10),H10*INDEX(PRECIOS!$M$6:$M$55,K10)))</f>
      </c>
      <c r="BG10" s="37">
        <f>IF(B10="","",IF(Base_Comision="% DEL INGRESO",O10*INDEX(PRECIOS!$L$6:$L$55,K10),I10*INDEX(PRECIOS!$M$6:$M$55,K10)))</f>
      </c>
      <c r="BH10" s="70">
        <f>IF(B10="","",BE10+BF10+BG10)</f>
      </c>
      <c r="BI10" s="37">
        <f>IF(B10="","",Q10*Pct_Reclamaciones)</f>
      </c>
      <c r="BJ10" s="37">
        <f>IF(B10="","",Q10*Pct_Banco)</f>
      </c>
      <c r="BK10" s="37">
        <f>IF(B10="","",N(ENTRADA!$V10))</f>
      </c>
      <c r="BL10" s="70">
        <f>IF(B10="","",Y10+AE10+BD10+BH10+BI10+BJ10+BK10)</f>
      </c>
      <c r="BM10" s="70">
        <f>IF(B10="","",Q10-BL10)</f>
      </c>
      <c r="BN10" s="72">
        <f>IF(B10="","",IF(Q10=0,0,BM10/Q10))</f>
      </c>
      <c r="BO10" s="73">
        <f>IF(B10="","",IF(J10=0,0,BM10/J10))</f>
      </c>
      <c r="BP10" s="60">
        <f>IF(B10="","",IFERROR(MATCH(D10,COSTOS_FIJOS!$G$5:$AD$5,0),0))</f>
      </c>
      <c r="BQ10" s="60">
        <f>IF(B10="","",COUNTIFS($D$6:$D$305,D10))</f>
      </c>
      <c r="BR10" s="67">
        <f>IF(B10="","",SUMIFS($J$6:$J$305,$D$6:$D$305,D10))</f>
      </c>
      <c r="BS10" s="72">
        <f>IF(B10="","",IF(Metodo_Prorrateo="KG",IF(BR10=0,0,J10/BR10),1/BQ10))</f>
      </c>
      <c r="BT10" s="37">
        <f>IF(B10="","",IF(BP10=0,0,INDEX(COSTOS_FIJOS!$G$38:$AD$38,BP10))*BS10)</f>
      </c>
      <c r="BU10" s="72">
        <f>IF(B10="","",IF(Metodo_Prorrateo="KG",IF(SUMIFS($G$6:$G$305,$D$6:$D$305,D10)=0,0,G10/SUMIFS($G$6:$G$305,$D$6:$D$305,D10)),IF(G10&gt;0,1/COUNTIFS($D$6:$D$305,D10,$G$6:$G$305,"&gt;0"),0)))</f>
      </c>
      <c r="BV10" s="37">
        <f>IF(B10="","",IF(BP10=0,0,INDEX(COSTOS_FIJOS!$G$39:$AD$39,BP10))*BU10)</f>
      </c>
      <c r="BW10" s="72">
        <f>IF(B10="","",IF(Metodo_Prorrateo="KG",IF(SUMIFS($H$6:$H$305,$D$6:$D$305,D10)=0,0,H10/SUMIFS($H$6:$H$305,$D$6:$D$305,D10)),IF(H10&gt;0,1/COUNTIFS($D$6:$D$305,D10,$H$6:$H$305,"&gt;0"),0)))</f>
      </c>
      <c r="BX10" s="37">
        <f>IF(B10="","",IF(BP10=0,0,INDEX(COSTOS_FIJOS!$G$40:$AD$40,BP10))*BW10)</f>
      </c>
      <c r="BY10" s="72">
        <f>IF(B10="","",IF(Metodo_Prorrateo="KG",IF(SUMIFS($I$6:$I$305,$D$6:$D$305,D10)=0,0,I10/SUMIFS($I$6:$I$305,$D$6:$D$305,D10)),IF(I10&gt;0,1/COUNTIFS($D$6:$D$305,D10,$I$6:$I$305,"&gt;0"),0)))</f>
      </c>
      <c r="BZ10" s="37">
        <f>IF(B10="","",IF(BP10=0,0,INDEX(COSTOS_FIJOS!$G$41:$AD$41,BP10))*BY10)</f>
      </c>
      <c r="CA10" s="70">
        <f>IF(B10="","",BT10+BV10+BX10+BZ10)</f>
      </c>
      <c r="CB10" s="37">
        <f>IF(B10="","",Q10*Imp_Ventas_Serv)</f>
      </c>
      <c r="CC10" s="37">
        <f>IF(B10="","",Q10*Contrib_Territorial)</f>
      </c>
      <c r="CD10" s="70">
        <f>IF(B10="","",BM10-CA10-CB10-CC10)</f>
      </c>
      <c r="CE10" s="37">
        <f>IF(B10="","",MAX(0,CD10)*Imp_Utilidades)</f>
      </c>
      <c r="CF10" s="70">
        <f>IF(B10="","",CD10-CE10)</f>
      </c>
      <c r="CG10" s="72">
        <f>IF(B10="","",IF(Q10=0,0,CF10/Q10))</f>
      </c>
      <c r="CH10" s="73">
        <f>IF(B10="","",IF(J10=0,0,(BL10+CA10+CB10+CC10)/J10))</f>
      </c>
      <c r="CI10" s="73">
        <f>IF(B10="","",IF(J10=0,0,Q10/J10))</f>
      </c>
      <c r="CJ10" s="73">
        <f>IF(B10="","",IF(J10=0,0,CD10/J10))</f>
      </c>
      <c r="CK10" s="37">
        <f>IF(B10="","",Y10+AE10+BK10+BT10)</f>
      </c>
      <c r="CL10" s="37">
        <f>IF(B10="","",IF(J10=0,0,(M10+P10*G10/J10)*(1-Pct_Reclamaciones-Pct_Banco-Imp_Ventas_Serv-Contrib_Territorial)-AI10-BE10-BV10-CK10*G10/J10))</f>
      </c>
      <c r="CM10" s="37">
        <f>IF(B10="","",IF(J10=0,0,(N10+P10*H10/J10)*(1-Pct_Reclamaciones-Pct_Banco-Imp_Ventas_Serv-Contrib_Territorial)-AS10-BF10-BX10-CK10*H10/J10))</f>
      </c>
      <c r="CN10" s="37">
        <f>IF(B10="","",IF(J10=0,0,(O10+P10*I10/J10)*(1-Pct_Reclamaciones-Pct_Banco-Imp_Ventas_Serv-Contrib_Territorial)-BC10-BG10-BZ10-CK10*I10/J10))</f>
      </c>
      <c r="CO10" s="37">
        <f>IF(B10="","",IF(J10=0,0,ROUND(CD10-CL10-CM10-CN10,4)))</f>
      </c>
      <c r="CP10" s="71">
        <f>IF(B10="","",T10+AG10+AK10+AM10+AU10+AW10)</f>
      </c>
      <c r="CQ10" s="71">
        <f>IF(B10="","",U10+AH10+AL10+AN10+AV10+AX10)</f>
      </c>
      <c r="CR10" s="72">
        <f>IF(B10="","",IF(CP10=0,0,CQ10/CP10-1))</f>
      </c>
      <c r="CS10" s="60">
        <f>IF(B10="","",IF(ENTRADA!$Y10="","",ENTRADA!$Y10-C10))</f>
      </c>
      <c r="CT10" s="66">
        <f>IF(B10="","",IF(ENTRADA!$C10="","Falta fecha. ","")&amp;IF(BP10=0,"Mes fuera del rango de COSTOS_FIJOS. ","")&amp;IF(J10=0,"Sin kg. ","")&amp;IF(E10="","Falta transitaria. ","")&amp;IF(AND(T10&gt;0,U10/T10-1&gt;Tolerancia_Comb),"Combustible al puerto "&amp;TEXT(U10/T10-1,"+0%")&amp;" sobre norma. ","")&amp;IF(AND(AG10&gt;0,AH10/AG10-1&gt;Tolerancia_Comb),"Combustible distribución Occidente "&amp;TEXT(AH10/AG10-1,"+0%")&amp;" sobre norma. ","")&amp;IF(AND(AK10&gt;0,AL10/AK10-1&gt;Tolerancia_Comb),"Combustible traslado Centro "&amp;TEXT(AL10/AK10-1,"+0%")&amp;" sobre norma. ","")&amp;IF(AND(AM10&gt;0,AN10/AM10-1&gt;Tolerancia_Comb),"Combustible distribución Centro "&amp;TEXT(AN10/AM10-1,"+0%")&amp;" sobre norma. ","")&amp;IF(AND(AU10&gt;0,AV10/AU10-1&gt;Tolerancia_Comb),"Combustible traslado Oriente "&amp;TEXT(AV10/AU10-1,"+0%")&amp;" sobre norma. ","")&amp;IF(AND(AW10&gt;0,AX10/AW10-1&gt;Tolerancia_Comb),"Combustible distribución Oriente "&amp;TEXT(AX10/AW10-1,"+0%")&amp;" sobre norma. ","")&amp;IF(AND(ENTRADA!$C10&lt;&gt;"",C10&lt;PRECIOS!$A$6),"Fecha anterior a la 1ª vigencia de precios. ","")&amp;IF(CD10&lt;0,"Contenedor con pérdida. ",""))</f>
      </c>
    </row>
    <row r="11">
      <c r="A11" s="60">
        <f>IF(B11="","",ROW()-5)</f>
      </c>
      <c r="B11" s="63">
        <f>IF(ENTRADA!$B11="","",ENTRADA!$B11)</f>
      </c>
      <c r="C11" s="64">
        <f>IF(B11="","",ENTRADA!$C11)</f>
      </c>
      <c r="D11" s="65">
        <f>IF(B11="","",DATE(YEAR(C11),MONTH(C11),1))</f>
      </c>
      <c r="E11" s="66">
        <f>IF(B11="","",ENTRADA!$D11&amp;"")</f>
      </c>
      <c r="F11" s="66">
        <f>IF(B11="","",ENTRADA!$Z11&amp;"")</f>
      </c>
      <c r="G11" s="67">
        <f>IF(B11="","",N(ENTRADA!$G11))</f>
      </c>
      <c r="H11" s="67">
        <f>IF(B11="","",N(ENTRADA!$H11))</f>
      </c>
      <c r="I11" s="67">
        <f>IF(B11="","",N(ENTRADA!$I11))</f>
      </c>
      <c r="J11" s="68">
        <f>IF(B11="","",G11+H11+I11)</f>
      </c>
      <c r="K11" s="60">
        <f>IF(B11="","",IFERROR(MATCH(SUMPRODUCT(MAX((PRECIOS!$A$6:$A$55&lt;=C11)*PRECIOS!$A$6:$A$55)),PRECIOS!$A$6:$A$55,0),1))</f>
      </c>
      <c r="L11" s="69">
        <f>IF(B11="","",INDEX(PRECIOS!$A$6:$A$55,K11))</f>
      </c>
      <c r="M11" s="37">
        <f>IF(B11="","",G11*INDEX(PRECIOS!$B$6:$B$55,K11))</f>
      </c>
      <c r="N11" s="37">
        <f>IF(B11="","",H11*INDEX(PRECIOS!$C$6:$C$55,K11))</f>
      </c>
      <c r="O11" s="37">
        <f>IF(B11="","",I11*INDEX(PRECIOS!$D$6:$D$55,K11))</f>
      </c>
      <c r="P11" s="37">
        <f>IF(B11="","",N(ENTRADA!$X11))</f>
      </c>
      <c r="Q11" s="70">
        <f>IF(B11="","",M11+N11+O11+P11)</f>
      </c>
      <c r="R11" s="71">
        <f>IF(B11="","",IF(ENTRADA!$J11="",Std_Viajes_Puerto,ENTRADA!$J11))</f>
      </c>
      <c r="S11" s="37">
        <f>IF(B11="","",R11*INDEX(PRECIOS!$F$6:$F$55,K11))</f>
      </c>
      <c r="T11" s="71">
        <f>IF(B11="","",R11*Litros_Puerto_Viaje)</f>
      </c>
      <c r="U11" s="71">
        <f>IF(B11="","",IF(ENTRADA!$K11="",T11,ENTRADA!$K11))</f>
      </c>
      <c r="V11" s="37">
        <f>IF(B11="","",U11*INDEX(PRECIOS!$E$6:$E$55,K11))</f>
      </c>
      <c r="W11" s="37">
        <f>IF(B11="","",IF(ENTRADA!$L11="",R11*INDEX(PRECIOS!$G$6:$G$55,K11),ENTRADA!$L11))</f>
      </c>
      <c r="X11" s="37">
        <f>IF(B11="","",R11*Km_Puerto_Viaje*INDEX(PRECIOS!$N$6:$N$55,K11))</f>
      </c>
      <c r="Y11" s="70">
        <f>IF(B11="","",S11+V11+W11+X11)</f>
      </c>
      <c r="Z11" s="71">
        <f>IF(B11="","",IF(J11=0,0,ROUNDUP(J11/Rend_Desagrupe,0)))</f>
      </c>
      <c r="AA11" s="71">
        <f>IF(B11="","",IF(ENTRADA!$M11="",Z11,ENTRADA!$M11))</f>
      </c>
      <c r="AB11" s="37">
        <f>IF(B11="","",AA11*INDEX(PRECIOS!$H$6:$H$55,K11))</f>
      </c>
      <c r="AC11" s="37">
        <f>IF(B11="","",IF(E11="ENCI",INDEX(PRECIOS!$J$6:$J$55,K11),IF(E11="A.V",INDEX(PRECIOS!$K$6:$K$55,K11),0)))</f>
      </c>
      <c r="AD11" s="37">
        <f>IF(B11="","",N(ENTRADA!$N11))</f>
      </c>
      <c r="AE11" s="70">
        <f>IF(B11="","",AB11+AC11+AD11)</f>
      </c>
      <c r="AF11" s="71">
        <f>IF(B11="","",IF(G11=0,0,ROUNDUP(G11/Cap_Camion_OCC,0)))</f>
      </c>
      <c r="AG11" s="71">
        <f>IF(B11="","",AF11*L_Dist_OCC)</f>
      </c>
      <c r="AH11" s="71">
        <f>IF(B11="","",IF(ENTRADA!$O11="",AG11,ENTRADA!$O11))</f>
      </c>
      <c r="AI11" s="37">
        <f>IF(B11="","",AH11*INDEX(PRECIOS!$E$6:$E$55,K11))</f>
      </c>
      <c r="AJ11" s="71">
        <f>IF(B11="","",IF(H11=0,0,ROUNDUP(H11/Cap_Camion_CEN,0)))</f>
      </c>
      <c r="AK11" s="71">
        <f>IF(B11="","",AJ11*L_Tras_CEN)</f>
      </c>
      <c r="AL11" s="71">
        <f>IF(B11="","",IF(ENTRADA!$P11="",AK11,ENTRADA!$P11))</f>
      </c>
      <c r="AM11" s="71">
        <f>IF(B11="","",AJ11*L_Dist_CEN)</f>
      </c>
      <c r="AN11" s="71">
        <f>IF(B11="","",IF(ENTRADA!$Q11="",AM11,ENTRADA!$Q11))</f>
      </c>
      <c r="AO11" s="37">
        <f>IF(B11="","",(AL11+AN11)*INDEX(PRECIOS!$E$6:$E$55,K11))</f>
      </c>
      <c r="AP11" s="71">
        <f>IF(B11="","",IF(H11=0,0,ROUNDUP(H11/Rend_Desagrupe_CT,0)))</f>
      </c>
      <c r="AQ11" s="71">
        <f>IF(B11="","",IF(ENTRADA!$R11="",AP11,ENTRADA!$R11))</f>
      </c>
      <c r="AR11" s="37">
        <f>IF(B11="","",AQ11*INDEX(PRECIOS!$I$6:$I$55,K11))</f>
      </c>
      <c r="AS11" s="37">
        <f>IF(B11="","",AO11+AR11)</f>
      </c>
      <c r="AT11" s="71">
        <f>IF(B11="","",IF(I11=0,0,ROUNDUP(I11/Cap_Camion_ORI,0)))</f>
      </c>
      <c r="AU11" s="71">
        <f>IF(B11="","",AT11*L_Tras_ORI)</f>
      </c>
      <c r="AV11" s="71">
        <f>IF(B11="","",IF(ENTRADA!$S11="",AU11,ENTRADA!$S11))</f>
      </c>
      <c r="AW11" s="71">
        <f>IF(B11="","",AT11*L_Dist_ORI)</f>
      </c>
      <c r="AX11" s="71">
        <f>IF(B11="","",IF(ENTRADA!$T11="",AW11,ENTRADA!$T11))</f>
      </c>
      <c r="AY11" s="37">
        <f>IF(B11="","",(AV11+AX11)*INDEX(PRECIOS!$E$6:$E$55,K11))</f>
      </c>
      <c r="AZ11" s="71">
        <f>IF(B11="","",IF(I11=0,0,ROUNDUP(I11/Rend_Desagrupe_CT,0)))</f>
      </c>
      <c r="BA11" s="71">
        <f>IF(B11="","",IF(ENTRADA!$U11="",AZ11,ENTRADA!$U11))</f>
      </c>
      <c r="BB11" s="37">
        <f>IF(B11="","",BA11*INDEX(PRECIOS!$I$6:$I$55,K11))</f>
      </c>
      <c r="BC11" s="37">
        <f>IF(B11="","",AY11+BB11)</f>
      </c>
      <c r="BD11" s="70">
        <f>IF(B11="","",AI11+AS11+BC11)</f>
      </c>
      <c r="BE11" s="37">
        <f>IF(B11="","",IF(Base_Comision="% DEL INGRESO",M11*INDEX(PRECIOS!$L$6:$L$55,K11),G11*INDEX(PRECIOS!$M$6:$M$55,K11)))</f>
      </c>
      <c r="BF11" s="37">
        <f>IF(B11="","",IF(Base_Comision="% DEL INGRESO",N11*INDEX(PRECIOS!$L$6:$L$55,K11),H11*INDEX(PRECIOS!$M$6:$M$55,K11)))</f>
      </c>
      <c r="BG11" s="37">
        <f>IF(B11="","",IF(Base_Comision="% DEL INGRESO",O11*INDEX(PRECIOS!$L$6:$L$55,K11),I11*INDEX(PRECIOS!$M$6:$M$55,K11)))</f>
      </c>
      <c r="BH11" s="70">
        <f>IF(B11="","",BE11+BF11+BG11)</f>
      </c>
      <c r="BI11" s="37">
        <f>IF(B11="","",Q11*Pct_Reclamaciones)</f>
      </c>
      <c r="BJ11" s="37">
        <f>IF(B11="","",Q11*Pct_Banco)</f>
      </c>
      <c r="BK11" s="37">
        <f>IF(B11="","",N(ENTRADA!$V11))</f>
      </c>
      <c r="BL11" s="70">
        <f>IF(B11="","",Y11+AE11+BD11+BH11+BI11+BJ11+BK11)</f>
      </c>
      <c r="BM11" s="70">
        <f>IF(B11="","",Q11-BL11)</f>
      </c>
      <c r="BN11" s="72">
        <f>IF(B11="","",IF(Q11=0,0,BM11/Q11))</f>
      </c>
      <c r="BO11" s="73">
        <f>IF(B11="","",IF(J11=0,0,BM11/J11))</f>
      </c>
      <c r="BP11" s="60">
        <f>IF(B11="","",IFERROR(MATCH(D11,COSTOS_FIJOS!$G$5:$AD$5,0),0))</f>
      </c>
      <c r="BQ11" s="60">
        <f>IF(B11="","",COUNTIFS($D$6:$D$305,D11))</f>
      </c>
      <c r="BR11" s="67">
        <f>IF(B11="","",SUMIFS($J$6:$J$305,$D$6:$D$305,D11))</f>
      </c>
      <c r="BS11" s="72">
        <f>IF(B11="","",IF(Metodo_Prorrateo="KG",IF(BR11=0,0,J11/BR11),1/BQ11))</f>
      </c>
      <c r="BT11" s="37">
        <f>IF(B11="","",IF(BP11=0,0,INDEX(COSTOS_FIJOS!$G$38:$AD$38,BP11))*BS11)</f>
      </c>
      <c r="BU11" s="72">
        <f>IF(B11="","",IF(Metodo_Prorrateo="KG",IF(SUMIFS($G$6:$G$305,$D$6:$D$305,D11)=0,0,G11/SUMIFS($G$6:$G$305,$D$6:$D$305,D11)),IF(G11&gt;0,1/COUNTIFS($D$6:$D$305,D11,$G$6:$G$305,"&gt;0"),0)))</f>
      </c>
      <c r="BV11" s="37">
        <f>IF(B11="","",IF(BP11=0,0,INDEX(COSTOS_FIJOS!$G$39:$AD$39,BP11))*BU11)</f>
      </c>
      <c r="BW11" s="72">
        <f>IF(B11="","",IF(Metodo_Prorrateo="KG",IF(SUMIFS($H$6:$H$305,$D$6:$D$305,D11)=0,0,H11/SUMIFS($H$6:$H$305,$D$6:$D$305,D11)),IF(H11&gt;0,1/COUNTIFS($D$6:$D$305,D11,$H$6:$H$305,"&gt;0"),0)))</f>
      </c>
      <c r="BX11" s="37">
        <f>IF(B11="","",IF(BP11=0,0,INDEX(COSTOS_FIJOS!$G$40:$AD$40,BP11))*BW11)</f>
      </c>
      <c r="BY11" s="72">
        <f>IF(B11="","",IF(Metodo_Prorrateo="KG",IF(SUMIFS($I$6:$I$305,$D$6:$D$305,D11)=0,0,I11/SUMIFS($I$6:$I$305,$D$6:$D$305,D11)),IF(I11&gt;0,1/COUNTIFS($D$6:$D$305,D11,$I$6:$I$305,"&gt;0"),0)))</f>
      </c>
      <c r="BZ11" s="37">
        <f>IF(B11="","",IF(BP11=0,0,INDEX(COSTOS_FIJOS!$G$41:$AD$41,BP11))*BY11)</f>
      </c>
      <c r="CA11" s="70">
        <f>IF(B11="","",BT11+BV11+BX11+BZ11)</f>
      </c>
      <c r="CB11" s="37">
        <f>IF(B11="","",Q11*Imp_Ventas_Serv)</f>
      </c>
      <c r="CC11" s="37">
        <f>IF(B11="","",Q11*Contrib_Territorial)</f>
      </c>
      <c r="CD11" s="70">
        <f>IF(B11="","",BM11-CA11-CB11-CC11)</f>
      </c>
      <c r="CE11" s="37">
        <f>IF(B11="","",MAX(0,CD11)*Imp_Utilidades)</f>
      </c>
      <c r="CF11" s="70">
        <f>IF(B11="","",CD11-CE11)</f>
      </c>
      <c r="CG11" s="72">
        <f>IF(B11="","",IF(Q11=0,0,CF11/Q11))</f>
      </c>
      <c r="CH11" s="73">
        <f>IF(B11="","",IF(J11=0,0,(BL11+CA11+CB11+CC11)/J11))</f>
      </c>
      <c r="CI11" s="73">
        <f>IF(B11="","",IF(J11=0,0,Q11/J11))</f>
      </c>
      <c r="CJ11" s="73">
        <f>IF(B11="","",IF(J11=0,0,CD11/J11))</f>
      </c>
      <c r="CK11" s="37">
        <f>IF(B11="","",Y11+AE11+BK11+BT11)</f>
      </c>
      <c r="CL11" s="37">
        <f>IF(B11="","",IF(J11=0,0,(M11+P11*G11/J11)*(1-Pct_Reclamaciones-Pct_Banco-Imp_Ventas_Serv-Contrib_Territorial)-AI11-BE11-BV11-CK11*G11/J11))</f>
      </c>
      <c r="CM11" s="37">
        <f>IF(B11="","",IF(J11=0,0,(N11+P11*H11/J11)*(1-Pct_Reclamaciones-Pct_Banco-Imp_Ventas_Serv-Contrib_Territorial)-AS11-BF11-BX11-CK11*H11/J11))</f>
      </c>
      <c r="CN11" s="37">
        <f>IF(B11="","",IF(J11=0,0,(O11+P11*I11/J11)*(1-Pct_Reclamaciones-Pct_Banco-Imp_Ventas_Serv-Contrib_Territorial)-BC11-BG11-BZ11-CK11*I11/J11))</f>
      </c>
      <c r="CO11" s="37">
        <f>IF(B11="","",IF(J11=0,0,ROUND(CD11-CL11-CM11-CN11,4)))</f>
      </c>
      <c r="CP11" s="71">
        <f>IF(B11="","",T11+AG11+AK11+AM11+AU11+AW11)</f>
      </c>
      <c r="CQ11" s="71">
        <f>IF(B11="","",U11+AH11+AL11+AN11+AV11+AX11)</f>
      </c>
      <c r="CR11" s="72">
        <f>IF(B11="","",IF(CP11=0,0,CQ11/CP11-1))</f>
      </c>
      <c r="CS11" s="60">
        <f>IF(B11="","",IF(ENTRADA!$Y11="","",ENTRADA!$Y11-C11))</f>
      </c>
      <c r="CT11" s="66">
        <f>IF(B11="","",IF(ENTRADA!$C11="","Falta fecha. ","")&amp;IF(BP11=0,"Mes fuera del rango de COSTOS_FIJOS. ","")&amp;IF(J11=0,"Sin kg. ","")&amp;IF(E11="","Falta transitaria. ","")&amp;IF(AND(T11&gt;0,U11/T11-1&gt;Tolerancia_Comb),"Combustible al puerto "&amp;TEXT(U11/T11-1,"+0%")&amp;" sobre norma. ","")&amp;IF(AND(AG11&gt;0,AH11/AG11-1&gt;Tolerancia_Comb),"Combustible distribución Occidente "&amp;TEXT(AH11/AG11-1,"+0%")&amp;" sobre norma. ","")&amp;IF(AND(AK11&gt;0,AL11/AK11-1&gt;Tolerancia_Comb),"Combustible traslado Centro "&amp;TEXT(AL11/AK11-1,"+0%")&amp;" sobre norma. ","")&amp;IF(AND(AM11&gt;0,AN11/AM11-1&gt;Tolerancia_Comb),"Combustible distribución Centro "&amp;TEXT(AN11/AM11-1,"+0%")&amp;" sobre norma. ","")&amp;IF(AND(AU11&gt;0,AV11/AU11-1&gt;Tolerancia_Comb),"Combustible traslado Oriente "&amp;TEXT(AV11/AU11-1,"+0%")&amp;" sobre norma. ","")&amp;IF(AND(AW11&gt;0,AX11/AW11-1&gt;Tolerancia_Comb),"Combustible distribución Oriente "&amp;TEXT(AX11/AW11-1,"+0%")&amp;" sobre norma. ","")&amp;IF(AND(ENTRADA!$C11&lt;&gt;"",C11&lt;PRECIOS!$A$6),"Fecha anterior a la 1ª vigencia de precios. ","")&amp;IF(CD11&lt;0,"Contenedor con pérdida. ",""))</f>
      </c>
    </row>
    <row r="12">
      <c r="A12" s="60">
        <f>IF(B12="","",ROW()-5)</f>
      </c>
      <c r="B12" s="63">
        <f>IF(ENTRADA!$B12="","",ENTRADA!$B12)</f>
      </c>
      <c r="C12" s="64">
        <f>IF(B12="","",ENTRADA!$C12)</f>
      </c>
      <c r="D12" s="65">
        <f>IF(B12="","",DATE(YEAR(C12),MONTH(C12),1))</f>
      </c>
      <c r="E12" s="66">
        <f>IF(B12="","",ENTRADA!$D12&amp;"")</f>
      </c>
      <c r="F12" s="66">
        <f>IF(B12="","",ENTRADA!$Z12&amp;"")</f>
      </c>
      <c r="G12" s="67">
        <f>IF(B12="","",N(ENTRADA!$G12))</f>
      </c>
      <c r="H12" s="67">
        <f>IF(B12="","",N(ENTRADA!$H12))</f>
      </c>
      <c r="I12" s="67">
        <f>IF(B12="","",N(ENTRADA!$I12))</f>
      </c>
      <c r="J12" s="68">
        <f>IF(B12="","",G12+H12+I12)</f>
      </c>
      <c r="K12" s="60">
        <f>IF(B12="","",IFERROR(MATCH(SUMPRODUCT(MAX((PRECIOS!$A$6:$A$55&lt;=C12)*PRECIOS!$A$6:$A$55)),PRECIOS!$A$6:$A$55,0),1))</f>
      </c>
      <c r="L12" s="69">
        <f>IF(B12="","",INDEX(PRECIOS!$A$6:$A$55,K12))</f>
      </c>
      <c r="M12" s="37">
        <f>IF(B12="","",G12*INDEX(PRECIOS!$B$6:$B$55,K12))</f>
      </c>
      <c r="N12" s="37">
        <f>IF(B12="","",H12*INDEX(PRECIOS!$C$6:$C$55,K12))</f>
      </c>
      <c r="O12" s="37">
        <f>IF(B12="","",I12*INDEX(PRECIOS!$D$6:$D$55,K12))</f>
      </c>
      <c r="P12" s="37">
        <f>IF(B12="","",N(ENTRADA!$X12))</f>
      </c>
      <c r="Q12" s="70">
        <f>IF(B12="","",M12+N12+O12+P12)</f>
      </c>
      <c r="R12" s="71">
        <f>IF(B12="","",IF(ENTRADA!$J12="",Std_Viajes_Puerto,ENTRADA!$J12))</f>
      </c>
      <c r="S12" s="37">
        <f>IF(B12="","",R12*INDEX(PRECIOS!$F$6:$F$55,K12))</f>
      </c>
      <c r="T12" s="71">
        <f>IF(B12="","",R12*Litros_Puerto_Viaje)</f>
      </c>
      <c r="U12" s="71">
        <f>IF(B12="","",IF(ENTRADA!$K12="",T12,ENTRADA!$K12))</f>
      </c>
      <c r="V12" s="37">
        <f>IF(B12="","",U12*INDEX(PRECIOS!$E$6:$E$55,K12))</f>
      </c>
      <c r="W12" s="37">
        <f>IF(B12="","",IF(ENTRADA!$L12="",R12*INDEX(PRECIOS!$G$6:$G$55,K12),ENTRADA!$L12))</f>
      </c>
      <c r="X12" s="37">
        <f>IF(B12="","",R12*Km_Puerto_Viaje*INDEX(PRECIOS!$N$6:$N$55,K12))</f>
      </c>
      <c r="Y12" s="70">
        <f>IF(B12="","",S12+V12+W12+X12)</f>
      </c>
      <c r="Z12" s="71">
        <f>IF(B12="","",IF(J12=0,0,ROUNDUP(J12/Rend_Desagrupe,0)))</f>
      </c>
      <c r="AA12" s="71">
        <f>IF(B12="","",IF(ENTRADA!$M12="",Z12,ENTRADA!$M12))</f>
      </c>
      <c r="AB12" s="37">
        <f>IF(B12="","",AA12*INDEX(PRECIOS!$H$6:$H$55,K12))</f>
      </c>
      <c r="AC12" s="37">
        <f>IF(B12="","",IF(E12="ENCI",INDEX(PRECIOS!$J$6:$J$55,K12),IF(E12="A.V",INDEX(PRECIOS!$K$6:$K$55,K12),0)))</f>
      </c>
      <c r="AD12" s="37">
        <f>IF(B12="","",N(ENTRADA!$N12))</f>
      </c>
      <c r="AE12" s="70">
        <f>IF(B12="","",AB12+AC12+AD12)</f>
      </c>
      <c r="AF12" s="71">
        <f>IF(B12="","",IF(G12=0,0,ROUNDUP(G12/Cap_Camion_OCC,0)))</f>
      </c>
      <c r="AG12" s="71">
        <f>IF(B12="","",AF12*L_Dist_OCC)</f>
      </c>
      <c r="AH12" s="71">
        <f>IF(B12="","",IF(ENTRADA!$O12="",AG12,ENTRADA!$O12))</f>
      </c>
      <c r="AI12" s="37">
        <f>IF(B12="","",AH12*INDEX(PRECIOS!$E$6:$E$55,K12))</f>
      </c>
      <c r="AJ12" s="71">
        <f>IF(B12="","",IF(H12=0,0,ROUNDUP(H12/Cap_Camion_CEN,0)))</f>
      </c>
      <c r="AK12" s="71">
        <f>IF(B12="","",AJ12*L_Tras_CEN)</f>
      </c>
      <c r="AL12" s="71">
        <f>IF(B12="","",IF(ENTRADA!$P12="",AK12,ENTRADA!$P12))</f>
      </c>
      <c r="AM12" s="71">
        <f>IF(B12="","",AJ12*L_Dist_CEN)</f>
      </c>
      <c r="AN12" s="71">
        <f>IF(B12="","",IF(ENTRADA!$Q12="",AM12,ENTRADA!$Q12))</f>
      </c>
      <c r="AO12" s="37">
        <f>IF(B12="","",(AL12+AN12)*INDEX(PRECIOS!$E$6:$E$55,K12))</f>
      </c>
      <c r="AP12" s="71">
        <f>IF(B12="","",IF(H12=0,0,ROUNDUP(H12/Rend_Desagrupe_CT,0)))</f>
      </c>
      <c r="AQ12" s="71">
        <f>IF(B12="","",IF(ENTRADA!$R12="",AP12,ENTRADA!$R12))</f>
      </c>
      <c r="AR12" s="37">
        <f>IF(B12="","",AQ12*INDEX(PRECIOS!$I$6:$I$55,K12))</f>
      </c>
      <c r="AS12" s="37">
        <f>IF(B12="","",AO12+AR12)</f>
      </c>
      <c r="AT12" s="71">
        <f>IF(B12="","",IF(I12=0,0,ROUNDUP(I12/Cap_Camion_ORI,0)))</f>
      </c>
      <c r="AU12" s="71">
        <f>IF(B12="","",AT12*L_Tras_ORI)</f>
      </c>
      <c r="AV12" s="71">
        <f>IF(B12="","",IF(ENTRADA!$S12="",AU12,ENTRADA!$S12))</f>
      </c>
      <c r="AW12" s="71">
        <f>IF(B12="","",AT12*L_Dist_ORI)</f>
      </c>
      <c r="AX12" s="71">
        <f>IF(B12="","",IF(ENTRADA!$T12="",AW12,ENTRADA!$T12))</f>
      </c>
      <c r="AY12" s="37">
        <f>IF(B12="","",(AV12+AX12)*INDEX(PRECIOS!$E$6:$E$55,K12))</f>
      </c>
      <c r="AZ12" s="71">
        <f>IF(B12="","",IF(I12=0,0,ROUNDUP(I12/Rend_Desagrupe_CT,0)))</f>
      </c>
      <c r="BA12" s="71">
        <f>IF(B12="","",IF(ENTRADA!$U12="",AZ12,ENTRADA!$U12))</f>
      </c>
      <c r="BB12" s="37">
        <f>IF(B12="","",BA12*INDEX(PRECIOS!$I$6:$I$55,K12))</f>
      </c>
      <c r="BC12" s="37">
        <f>IF(B12="","",AY12+BB12)</f>
      </c>
      <c r="BD12" s="70">
        <f>IF(B12="","",AI12+AS12+BC12)</f>
      </c>
      <c r="BE12" s="37">
        <f>IF(B12="","",IF(Base_Comision="% DEL INGRESO",M12*INDEX(PRECIOS!$L$6:$L$55,K12),G12*INDEX(PRECIOS!$M$6:$M$55,K12)))</f>
      </c>
      <c r="BF12" s="37">
        <f>IF(B12="","",IF(Base_Comision="% DEL INGRESO",N12*INDEX(PRECIOS!$L$6:$L$55,K12),H12*INDEX(PRECIOS!$M$6:$M$55,K12)))</f>
      </c>
      <c r="BG12" s="37">
        <f>IF(B12="","",IF(Base_Comision="% DEL INGRESO",O12*INDEX(PRECIOS!$L$6:$L$55,K12),I12*INDEX(PRECIOS!$M$6:$M$55,K12)))</f>
      </c>
      <c r="BH12" s="70">
        <f>IF(B12="","",BE12+BF12+BG12)</f>
      </c>
      <c r="BI12" s="37">
        <f>IF(B12="","",Q12*Pct_Reclamaciones)</f>
      </c>
      <c r="BJ12" s="37">
        <f>IF(B12="","",Q12*Pct_Banco)</f>
      </c>
      <c r="BK12" s="37">
        <f>IF(B12="","",N(ENTRADA!$V12))</f>
      </c>
      <c r="BL12" s="70">
        <f>IF(B12="","",Y12+AE12+BD12+BH12+BI12+BJ12+BK12)</f>
      </c>
      <c r="BM12" s="70">
        <f>IF(B12="","",Q12-BL12)</f>
      </c>
      <c r="BN12" s="72">
        <f>IF(B12="","",IF(Q12=0,0,BM12/Q12))</f>
      </c>
      <c r="BO12" s="73">
        <f>IF(B12="","",IF(J12=0,0,BM12/J12))</f>
      </c>
      <c r="BP12" s="60">
        <f>IF(B12="","",IFERROR(MATCH(D12,COSTOS_FIJOS!$G$5:$AD$5,0),0))</f>
      </c>
      <c r="BQ12" s="60">
        <f>IF(B12="","",COUNTIFS($D$6:$D$305,D12))</f>
      </c>
      <c r="BR12" s="67">
        <f>IF(B12="","",SUMIFS($J$6:$J$305,$D$6:$D$305,D12))</f>
      </c>
      <c r="BS12" s="72">
        <f>IF(B12="","",IF(Metodo_Prorrateo="KG",IF(BR12=0,0,J12/BR12),1/BQ12))</f>
      </c>
      <c r="BT12" s="37">
        <f>IF(B12="","",IF(BP12=0,0,INDEX(COSTOS_FIJOS!$G$38:$AD$38,BP12))*BS12)</f>
      </c>
      <c r="BU12" s="72">
        <f>IF(B12="","",IF(Metodo_Prorrateo="KG",IF(SUMIFS($G$6:$G$305,$D$6:$D$305,D12)=0,0,G12/SUMIFS($G$6:$G$305,$D$6:$D$305,D12)),IF(G12&gt;0,1/COUNTIFS($D$6:$D$305,D12,$G$6:$G$305,"&gt;0"),0)))</f>
      </c>
      <c r="BV12" s="37">
        <f>IF(B12="","",IF(BP12=0,0,INDEX(COSTOS_FIJOS!$G$39:$AD$39,BP12))*BU12)</f>
      </c>
      <c r="BW12" s="72">
        <f>IF(B12="","",IF(Metodo_Prorrateo="KG",IF(SUMIFS($H$6:$H$305,$D$6:$D$305,D12)=0,0,H12/SUMIFS($H$6:$H$305,$D$6:$D$305,D12)),IF(H12&gt;0,1/COUNTIFS($D$6:$D$305,D12,$H$6:$H$305,"&gt;0"),0)))</f>
      </c>
      <c r="BX12" s="37">
        <f>IF(B12="","",IF(BP12=0,0,INDEX(COSTOS_FIJOS!$G$40:$AD$40,BP12))*BW12)</f>
      </c>
      <c r="BY12" s="72">
        <f>IF(B12="","",IF(Metodo_Prorrateo="KG",IF(SUMIFS($I$6:$I$305,$D$6:$D$305,D12)=0,0,I12/SUMIFS($I$6:$I$305,$D$6:$D$305,D12)),IF(I12&gt;0,1/COUNTIFS($D$6:$D$305,D12,$I$6:$I$305,"&gt;0"),0)))</f>
      </c>
      <c r="BZ12" s="37">
        <f>IF(B12="","",IF(BP12=0,0,INDEX(COSTOS_FIJOS!$G$41:$AD$41,BP12))*BY12)</f>
      </c>
      <c r="CA12" s="70">
        <f>IF(B12="","",BT12+BV12+BX12+BZ12)</f>
      </c>
      <c r="CB12" s="37">
        <f>IF(B12="","",Q12*Imp_Ventas_Serv)</f>
      </c>
      <c r="CC12" s="37">
        <f>IF(B12="","",Q12*Contrib_Territorial)</f>
      </c>
      <c r="CD12" s="70">
        <f>IF(B12="","",BM12-CA12-CB12-CC12)</f>
      </c>
      <c r="CE12" s="37">
        <f>IF(B12="","",MAX(0,CD12)*Imp_Utilidades)</f>
      </c>
      <c r="CF12" s="70">
        <f>IF(B12="","",CD12-CE12)</f>
      </c>
      <c r="CG12" s="72">
        <f>IF(B12="","",IF(Q12=0,0,CF12/Q12))</f>
      </c>
      <c r="CH12" s="73">
        <f>IF(B12="","",IF(J12=0,0,(BL12+CA12+CB12+CC12)/J12))</f>
      </c>
      <c r="CI12" s="73">
        <f>IF(B12="","",IF(J12=0,0,Q12/J12))</f>
      </c>
      <c r="CJ12" s="73">
        <f>IF(B12="","",IF(J12=0,0,CD12/J12))</f>
      </c>
      <c r="CK12" s="37">
        <f>IF(B12="","",Y12+AE12+BK12+BT12)</f>
      </c>
      <c r="CL12" s="37">
        <f>IF(B12="","",IF(J12=0,0,(M12+P12*G12/J12)*(1-Pct_Reclamaciones-Pct_Banco-Imp_Ventas_Serv-Contrib_Territorial)-AI12-BE12-BV12-CK12*G12/J12))</f>
      </c>
      <c r="CM12" s="37">
        <f>IF(B12="","",IF(J12=0,0,(N12+P12*H12/J12)*(1-Pct_Reclamaciones-Pct_Banco-Imp_Ventas_Serv-Contrib_Territorial)-AS12-BF12-BX12-CK12*H12/J12))</f>
      </c>
      <c r="CN12" s="37">
        <f>IF(B12="","",IF(J12=0,0,(O12+P12*I12/J12)*(1-Pct_Reclamaciones-Pct_Banco-Imp_Ventas_Serv-Contrib_Territorial)-BC12-BG12-BZ12-CK12*I12/J12))</f>
      </c>
      <c r="CO12" s="37">
        <f>IF(B12="","",IF(J12=0,0,ROUND(CD12-CL12-CM12-CN12,4)))</f>
      </c>
      <c r="CP12" s="71">
        <f>IF(B12="","",T12+AG12+AK12+AM12+AU12+AW12)</f>
      </c>
      <c r="CQ12" s="71">
        <f>IF(B12="","",U12+AH12+AL12+AN12+AV12+AX12)</f>
      </c>
      <c r="CR12" s="72">
        <f>IF(B12="","",IF(CP12=0,0,CQ12/CP12-1))</f>
      </c>
      <c r="CS12" s="60">
        <f>IF(B12="","",IF(ENTRADA!$Y12="","",ENTRADA!$Y12-C12))</f>
      </c>
      <c r="CT12" s="66">
        <f>IF(B12="","",IF(ENTRADA!$C12="","Falta fecha. ","")&amp;IF(BP12=0,"Mes fuera del rango de COSTOS_FIJOS. ","")&amp;IF(J12=0,"Sin kg. ","")&amp;IF(E12="","Falta transitaria. ","")&amp;IF(AND(T12&gt;0,U12/T12-1&gt;Tolerancia_Comb),"Combustible al puerto "&amp;TEXT(U12/T12-1,"+0%")&amp;" sobre norma. ","")&amp;IF(AND(AG12&gt;0,AH12/AG12-1&gt;Tolerancia_Comb),"Combustible distribución Occidente "&amp;TEXT(AH12/AG12-1,"+0%")&amp;" sobre norma. ","")&amp;IF(AND(AK12&gt;0,AL12/AK12-1&gt;Tolerancia_Comb),"Combustible traslado Centro "&amp;TEXT(AL12/AK12-1,"+0%")&amp;" sobre norma. ","")&amp;IF(AND(AM12&gt;0,AN12/AM12-1&gt;Tolerancia_Comb),"Combustible distribución Centro "&amp;TEXT(AN12/AM12-1,"+0%")&amp;" sobre norma. ","")&amp;IF(AND(AU12&gt;0,AV12/AU12-1&gt;Tolerancia_Comb),"Combustible traslado Oriente "&amp;TEXT(AV12/AU12-1,"+0%")&amp;" sobre norma. ","")&amp;IF(AND(AW12&gt;0,AX12/AW12-1&gt;Tolerancia_Comb),"Combustible distribución Oriente "&amp;TEXT(AX12/AW12-1,"+0%")&amp;" sobre norma. ","")&amp;IF(AND(ENTRADA!$C12&lt;&gt;"",C12&lt;PRECIOS!$A$6),"Fecha anterior a la 1ª vigencia de precios. ","")&amp;IF(CD12&lt;0,"Contenedor con pérdida. ",""))</f>
      </c>
    </row>
    <row r="13">
      <c r="A13" s="60">
        <f>IF(B13="","",ROW()-5)</f>
      </c>
      <c r="B13" s="63">
        <f>IF(ENTRADA!$B13="","",ENTRADA!$B13)</f>
      </c>
      <c r="C13" s="64">
        <f>IF(B13="","",ENTRADA!$C13)</f>
      </c>
      <c r="D13" s="65">
        <f>IF(B13="","",DATE(YEAR(C13),MONTH(C13),1))</f>
      </c>
      <c r="E13" s="66">
        <f>IF(B13="","",ENTRADA!$D13&amp;"")</f>
      </c>
      <c r="F13" s="66">
        <f>IF(B13="","",ENTRADA!$Z13&amp;"")</f>
      </c>
      <c r="G13" s="67">
        <f>IF(B13="","",N(ENTRADA!$G13))</f>
      </c>
      <c r="H13" s="67">
        <f>IF(B13="","",N(ENTRADA!$H13))</f>
      </c>
      <c r="I13" s="67">
        <f>IF(B13="","",N(ENTRADA!$I13))</f>
      </c>
      <c r="J13" s="68">
        <f>IF(B13="","",G13+H13+I13)</f>
      </c>
      <c r="K13" s="60">
        <f>IF(B13="","",IFERROR(MATCH(SUMPRODUCT(MAX((PRECIOS!$A$6:$A$55&lt;=C13)*PRECIOS!$A$6:$A$55)),PRECIOS!$A$6:$A$55,0),1))</f>
      </c>
      <c r="L13" s="69">
        <f>IF(B13="","",INDEX(PRECIOS!$A$6:$A$55,K13))</f>
      </c>
      <c r="M13" s="37">
        <f>IF(B13="","",G13*INDEX(PRECIOS!$B$6:$B$55,K13))</f>
      </c>
      <c r="N13" s="37">
        <f>IF(B13="","",H13*INDEX(PRECIOS!$C$6:$C$55,K13))</f>
      </c>
      <c r="O13" s="37">
        <f>IF(B13="","",I13*INDEX(PRECIOS!$D$6:$D$55,K13))</f>
      </c>
      <c r="P13" s="37">
        <f>IF(B13="","",N(ENTRADA!$X13))</f>
      </c>
      <c r="Q13" s="70">
        <f>IF(B13="","",M13+N13+O13+P13)</f>
      </c>
      <c r="R13" s="71">
        <f>IF(B13="","",IF(ENTRADA!$J13="",Std_Viajes_Puerto,ENTRADA!$J13))</f>
      </c>
      <c r="S13" s="37">
        <f>IF(B13="","",R13*INDEX(PRECIOS!$F$6:$F$55,K13))</f>
      </c>
      <c r="T13" s="71">
        <f>IF(B13="","",R13*Litros_Puerto_Viaje)</f>
      </c>
      <c r="U13" s="71">
        <f>IF(B13="","",IF(ENTRADA!$K13="",T13,ENTRADA!$K13))</f>
      </c>
      <c r="V13" s="37">
        <f>IF(B13="","",U13*INDEX(PRECIOS!$E$6:$E$55,K13))</f>
      </c>
      <c r="W13" s="37">
        <f>IF(B13="","",IF(ENTRADA!$L13="",R13*INDEX(PRECIOS!$G$6:$G$55,K13),ENTRADA!$L13))</f>
      </c>
      <c r="X13" s="37">
        <f>IF(B13="","",R13*Km_Puerto_Viaje*INDEX(PRECIOS!$N$6:$N$55,K13))</f>
      </c>
      <c r="Y13" s="70">
        <f>IF(B13="","",S13+V13+W13+X13)</f>
      </c>
      <c r="Z13" s="71">
        <f>IF(B13="","",IF(J13=0,0,ROUNDUP(J13/Rend_Desagrupe,0)))</f>
      </c>
      <c r="AA13" s="71">
        <f>IF(B13="","",IF(ENTRADA!$M13="",Z13,ENTRADA!$M13))</f>
      </c>
      <c r="AB13" s="37">
        <f>IF(B13="","",AA13*INDEX(PRECIOS!$H$6:$H$55,K13))</f>
      </c>
      <c r="AC13" s="37">
        <f>IF(B13="","",IF(E13="ENCI",INDEX(PRECIOS!$J$6:$J$55,K13),IF(E13="A.V",INDEX(PRECIOS!$K$6:$K$55,K13),0)))</f>
      </c>
      <c r="AD13" s="37">
        <f>IF(B13="","",N(ENTRADA!$N13))</f>
      </c>
      <c r="AE13" s="70">
        <f>IF(B13="","",AB13+AC13+AD13)</f>
      </c>
      <c r="AF13" s="71">
        <f>IF(B13="","",IF(G13=0,0,ROUNDUP(G13/Cap_Camion_OCC,0)))</f>
      </c>
      <c r="AG13" s="71">
        <f>IF(B13="","",AF13*L_Dist_OCC)</f>
      </c>
      <c r="AH13" s="71">
        <f>IF(B13="","",IF(ENTRADA!$O13="",AG13,ENTRADA!$O13))</f>
      </c>
      <c r="AI13" s="37">
        <f>IF(B13="","",AH13*INDEX(PRECIOS!$E$6:$E$55,K13))</f>
      </c>
      <c r="AJ13" s="71">
        <f>IF(B13="","",IF(H13=0,0,ROUNDUP(H13/Cap_Camion_CEN,0)))</f>
      </c>
      <c r="AK13" s="71">
        <f>IF(B13="","",AJ13*L_Tras_CEN)</f>
      </c>
      <c r="AL13" s="71">
        <f>IF(B13="","",IF(ENTRADA!$P13="",AK13,ENTRADA!$P13))</f>
      </c>
      <c r="AM13" s="71">
        <f>IF(B13="","",AJ13*L_Dist_CEN)</f>
      </c>
      <c r="AN13" s="71">
        <f>IF(B13="","",IF(ENTRADA!$Q13="",AM13,ENTRADA!$Q13))</f>
      </c>
      <c r="AO13" s="37">
        <f>IF(B13="","",(AL13+AN13)*INDEX(PRECIOS!$E$6:$E$55,K13))</f>
      </c>
      <c r="AP13" s="71">
        <f>IF(B13="","",IF(H13=0,0,ROUNDUP(H13/Rend_Desagrupe_CT,0)))</f>
      </c>
      <c r="AQ13" s="71">
        <f>IF(B13="","",IF(ENTRADA!$R13="",AP13,ENTRADA!$R13))</f>
      </c>
      <c r="AR13" s="37">
        <f>IF(B13="","",AQ13*INDEX(PRECIOS!$I$6:$I$55,K13))</f>
      </c>
      <c r="AS13" s="37">
        <f>IF(B13="","",AO13+AR13)</f>
      </c>
      <c r="AT13" s="71">
        <f>IF(B13="","",IF(I13=0,0,ROUNDUP(I13/Cap_Camion_ORI,0)))</f>
      </c>
      <c r="AU13" s="71">
        <f>IF(B13="","",AT13*L_Tras_ORI)</f>
      </c>
      <c r="AV13" s="71">
        <f>IF(B13="","",IF(ENTRADA!$S13="",AU13,ENTRADA!$S13))</f>
      </c>
      <c r="AW13" s="71">
        <f>IF(B13="","",AT13*L_Dist_ORI)</f>
      </c>
      <c r="AX13" s="71">
        <f>IF(B13="","",IF(ENTRADA!$T13="",AW13,ENTRADA!$T13))</f>
      </c>
      <c r="AY13" s="37">
        <f>IF(B13="","",(AV13+AX13)*INDEX(PRECIOS!$E$6:$E$55,K13))</f>
      </c>
      <c r="AZ13" s="71">
        <f>IF(B13="","",IF(I13=0,0,ROUNDUP(I13/Rend_Desagrupe_CT,0)))</f>
      </c>
      <c r="BA13" s="71">
        <f>IF(B13="","",IF(ENTRADA!$U13="",AZ13,ENTRADA!$U13))</f>
      </c>
      <c r="BB13" s="37">
        <f>IF(B13="","",BA13*INDEX(PRECIOS!$I$6:$I$55,K13))</f>
      </c>
      <c r="BC13" s="37">
        <f>IF(B13="","",AY13+BB13)</f>
      </c>
      <c r="BD13" s="70">
        <f>IF(B13="","",AI13+AS13+BC13)</f>
      </c>
      <c r="BE13" s="37">
        <f>IF(B13="","",IF(Base_Comision="% DEL INGRESO",M13*INDEX(PRECIOS!$L$6:$L$55,K13),G13*INDEX(PRECIOS!$M$6:$M$55,K13)))</f>
      </c>
      <c r="BF13" s="37">
        <f>IF(B13="","",IF(Base_Comision="% DEL INGRESO",N13*INDEX(PRECIOS!$L$6:$L$55,K13),H13*INDEX(PRECIOS!$M$6:$M$55,K13)))</f>
      </c>
      <c r="BG13" s="37">
        <f>IF(B13="","",IF(Base_Comision="% DEL INGRESO",O13*INDEX(PRECIOS!$L$6:$L$55,K13),I13*INDEX(PRECIOS!$M$6:$M$55,K13)))</f>
      </c>
      <c r="BH13" s="70">
        <f>IF(B13="","",BE13+BF13+BG13)</f>
      </c>
      <c r="BI13" s="37">
        <f>IF(B13="","",Q13*Pct_Reclamaciones)</f>
      </c>
      <c r="BJ13" s="37">
        <f>IF(B13="","",Q13*Pct_Banco)</f>
      </c>
      <c r="BK13" s="37">
        <f>IF(B13="","",N(ENTRADA!$V13))</f>
      </c>
      <c r="BL13" s="70">
        <f>IF(B13="","",Y13+AE13+BD13+BH13+BI13+BJ13+BK13)</f>
      </c>
      <c r="BM13" s="70">
        <f>IF(B13="","",Q13-BL13)</f>
      </c>
      <c r="BN13" s="72">
        <f>IF(B13="","",IF(Q13=0,0,BM13/Q13))</f>
      </c>
      <c r="BO13" s="73">
        <f>IF(B13="","",IF(J13=0,0,BM13/J13))</f>
      </c>
      <c r="BP13" s="60">
        <f>IF(B13="","",IFERROR(MATCH(D13,COSTOS_FIJOS!$G$5:$AD$5,0),0))</f>
      </c>
      <c r="BQ13" s="60">
        <f>IF(B13="","",COUNTIFS($D$6:$D$305,D13))</f>
      </c>
      <c r="BR13" s="67">
        <f>IF(B13="","",SUMIFS($J$6:$J$305,$D$6:$D$305,D13))</f>
      </c>
      <c r="BS13" s="72">
        <f>IF(B13="","",IF(Metodo_Prorrateo="KG",IF(BR13=0,0,J13/BR13),1/BQ13))</f>
      </c>
      <c r="BT13" s="37">
        <f>IF(B13="","",IF(BP13=0,0,INDEX(COSTOS_FIJOS!$G$38:$AD$38,BP13))*BS13)</f>
      </c>
      <c r="BU13" s="72">
        <f>IF(B13="","",IF(Metodo_Prorrateo="KG",IF(SUMIFS($G$6:$G$305,$D$6:$D$305,D13)=0,0,G13/SUMIFS($G$6:$G$305,$D$6:$D$305,D13)),IF(G13&gt;0,1/COUNTIFS($D$6:$D$305,D13,$G$6:$G$305,"&gt;0"),0)))</f>
      </c>
      <c r="BV13" s="37">
        <f>IF(B13="","",IF(BP13=0,0,INDEX(COSTOS_FIJOS!$G$39:$AD$39,BP13))*BU13)</f>
      </c>
      <c r="BW13" s="72">
        <f>IF(B13="","",IF(Metodo_Prorrateo="KG",IF(SUMIFS($H$6:$H$305,$D$6:$D$305,D13)=0,0,H13/SUMIFS($H$6:$H$305,$D$6:$D$305,D13)),IF(H13&gt;0,1/COUNTIFS($D$6:$D$305,D13,$H$6:$H$305,"&gt;0"),0)))</f>
      </c>
      <c r="BX13" s="37">
        <f>IF(B13="","",IF(BP13=0,0,INDEX(COSTOS_FIJOS!$G$40:$AD$40,BP13))*BW13)</f>
      </c>
      <c r="BY13" s="72">
        <f>IF(B13="","",IF(Metodo_Prorrateo="KG",IF(SUMIFS($I$6:$I$305,$D$6:$D$305,D13)=0,0,I13/SUMIFS($I$6:$I$305,$D$6:$D$305,D13)),IF(I13&gt;0,1/COUNTIFS($D$6:$D$305,D13,$I$6:$I$305,"&gt;0"),0)))</f>
      </c>
      <c r="BZ13" s="37">
        <f>IF(B13="","",IF(BP13=0,0,INDEX(COSTOS_FIJOS!$G$41:$AD$41,BP13))*BY13)</f>
      </c>
      <c r="CA13" s="70">
        <f>IF(B13="","",BT13+BV13+BX13+BZ13)</f>
      </c>
      <c r="CB13" s="37">
        <f>IF(B13="","",Q13*Imp_Ventas_Serv)</f>
      </c>
      <c r="CC13" s="37">
        <f>IF(B13="","",Q13*Contrib_Territorial)</f>
      </c>
      <c r="CD13" s="70">
        <f>IF(B13="","",BM13-CA13-CB13-CC13)</f>
      </c>
      <c r="CE13" s="37">
        <f>IF(B13="","",MAX(0,CD13)*Imp_Utilidades)</f>
      </c>
      <c r="CF13" s="70">
        <f>IF(B13="","",CD13-CE13)</f>
      </c>
      <c r="CG13" s="72">
        <f>IF(B13="","",IF(Q13=0,0,CF13/Q13))</f>
      </c>
      <c r="CH13" s="73">
        <f>IF(B13="","",IF(J13=0,0,(BL13+CA13+CB13+CC13)/J13))</f>
      </c>
      <c r="CI13" s="73">
        <f>IF(B13="","",IF(J13=0,0,Q13/J13))</f>
      </c>
      <c r="CJ13" s="73">
        <f>IF(B13="","",IF(J13=0,0,CD13/J13))</f>
      </c>
      <c r="CK13" s="37">
        <f>IF(B13="","",Y13+AE13+BK13+BT13)</f>
      </c>
      <c r="CL13" s="37">
        <f>IF(B13="","",IF(J13=0,0,(M13+P13*G13/J13)*(1-Pct_Reclamaciones-Pct_Banco-Imp_Ventas_Serv-Contrib_Territorial)-AI13-BE13-BV13-CK13*G13/J13))</f>
      </c>
      <c r="CM13" s="37">
        <f>IF(B13="","",IF(J13=0,0,(N13+P13*H13/J13)*(1-Pct_Reclamaciones-Pct_Banco-Imp_Ventas_Serv-Contrib_Territorial)-AS13-BF13-BX13-CK13*H13/J13))</f>
      </c>
      <c r="CN13" s="37">
        <f>IF(B13="","",IF(J13=0,0,(O13+P13*I13/J13)*(1-Pct_Reclamaciones-Pct_Banco-Imp_Ventas_Serv-Contrib_Territorial)-BC13-BG13-BZ13-CK13*I13/J13))</f>
      </c>
      <c r="CO13" s="37">
        <f>IF(B13="","",IF(J13=0,0,ROUND(CD13-CL13-CM13-CN13,4)))</f>
      </c>
      <c r="CP13" s="71">
        <f>IF(B13="","",T13+AG13+AK13+AM13+AU13+AW13)</f>
      </c>
      <c r="CQ13" s="71">
        <f>IF(B13="","",U13+AH13+AL13+AN13+AV13+AX13)</f>
      </c>
      <c r="CR13" s="72">
        <f>IF(B13="","",IF(CP13=0,0,CQ13/CP13-1))</f>
      </c>
      <c r="CS13" s="60">
        <f>IF(B13="","",IF(ENTRADA!$Y13="","",ENTRADA!$Y13-C13))</f>
      </c>
      <c r="CT13" s="66">
        <f>IF(B13="","",IF(ENTRADA!$C13="","Falta fecha. ","")&amp;IF(BP13=0,"Mes fuera del rango de COSTOS_FIJOS. ","")&amp;IF(J13=0,"Sin kg. ","")&amp;IF(E13="","Falta transitaria. ","")&amp;IF(AND(T13&gt;0,U13/T13-1&gt;Tolerancia_Comb),"Combustible al puerto "&amp;TEXT(U13/T13-1,"+0%")&amp;" sobre norma. ","")&amp;IF(AND(AG13&gt;0,AH13/AG13-1&gt;Tolerancia_Comb),"Combustible distribución Occidente "&amp;TEXT(AH13/AG13-1,"+0%")&amp;" sobre norma. ","")&amp;IF(AND(AK13&gt;0,AL13/AK13-1&gt;Tolerancia_Comb),"Combustible traslado Centro "&amp;TEXT(AL13/AK13-1,"+0%")&amp;" sobre norma. ","")&amp;IF(AND(AM13&gt;0,AN13/AM13-1&gt;Tolerancia_Comb),"Combustible distribución Centro "&amp;TEXT(AN13/AM13-1,"+0%")&amp;" sobre norma. ","")&amp;IF(AND(AU13&gt;0,AV13/AU13-1&gt;Tolerancia_Comb),"Combustible traslado Oriente "&amp;TEXT(AV13/AU13-1,"+0%")&amp;" sobre norma. ","")&amp;IF(AND(AW13&gt;0,AX13/AW13-1&gt;Tolerancia_Comb),"Combustible distribución Oriente "&amp;TEXT(AX13/AW13-1,"+0%")&amp;" sobre norma. ","")&amp;IF(AND(ENTRADA!$C13&lt;&gt;"",C13&lt;PRECIOS!$A$6),"Fecha anterior a la 1ª vigencia de precios. ","")&amp;IF(CD13&lt;0,"Contenedor con pérdida. ",""))</f>
      </c>
    </row>
    <row r="14">
      <c r="A14" s="60">
        <f>IF(B14="","",ROW()-5)</f>
      </c>
      <c r="B14" s="63">
        <f>IF(ENTRADA!$B14="","",ENTRADA!$B14)</f>
      </c>
      <c r="C14" s="64">
        <f>IF(B14="","",ENTRADA!$C14)</f>
      </c>
      <c r="D14" s="65">
        <f>IF(B14="","",DATE(YEAR(C14),MONTH(C14),1))</f>
      </c>
      <c r="E14" s="66">
        <f>IF(B14="","",ENTRADA!$D14&amp;"")</f>
      </c>
      <c r="F14" s="66">
        <f>IF(B14="","",ENTRADA!$Z14&amp;"")</f>
      </c>
      <c r="G14" s="67">
        <f>IF(B14="","",N(ENTRADA!$G14))</f>
      </c>
      <c r="H14" s="67">
        <f>IF(B14="","",N(ENTRADA!$H14))</f>
      </c>
      <c r="I14" s="67">
        <f>IF(B14="","",N(ENTRADA!$I14))</f>
      </c>
      <c r="J14" s="68">
        <f>IF(B14="","",G14+H14+I14)</f>
      </c>
      <c r="K14" s="60">
        <f>IF(B14="","",IFERROR(MATCH(SUMPRODUCT(MAX((PRECIOS!$A$6:$A$55&lt;=C14)*PRECIOS!$A$6:$A$55)),PRECIOS!$A$6:$A$55,0),1))</f>
      </c>
      <c r="L14" s="69">
        <f>IF(B14="","",INDEX(PRECIOS!$A$6:$A$55,K14))</f>
      </c>
      <c r="M14" s="37">
        <f>IF(B14="","",G14*INDEX(PRECIOS!$B$6:$B$55,K14))</f>
      </c>
      <c r="N14" s="37">
        <f>IF(B14="","",H14*INDEX(PRECIOS!$C$6:$C$55,K14))</f>
      </c>
      <c r="O14" s="37">
        <f>IF(B14="","",I14*INDEX(PRECIOS!$D$6:$D$55,K14))</f>
      </c>
      <c r="P14" s="37">
        <f>IF(B14="","",N(ENTRADA!$X14))</f>
      </c>
      <c r="Q14" s="70">
        <f>IF(B14="","",M14+N14+O14+P14)</f>
      </c>
      <c r="R14" s="71">
        <f>IF(B14="","",IF(ENTRADA!$J14="",Std_Viajes_Puerto,ENTRADA!$J14))</f>
      </c>
      <c r="S14" s="37">
        <f>IF(B14="","",R14*INDEX(PRECIOS!$F$6:$F$55,K14))</f>
      </c>
      <c r="T14" s="71">
        <f>IF(B14="","",R14*Litros_Puerto_Viaje)</f>
      </c>
      <c r="U14" s="71">
        <f>IF(B14="","",IF(ENTRADA!$K14="",T14,ENTRADA!$K14))</f>
      </c>
      <c r="V14" s="37">
        <f>IF(B14="","",U14*INDEX(PRECIOS!$E$6:$E$55,K14))</f>
      </c>
      <c r="W14" s="37">
        <f>IF(B14="","",IF(ENTRADA!$L14="",R14*INDEX(PRECIOS!$G$6:$G$55,K14),ENTRADA!$L14))</f>
      </c>
      <c r="X14" s="37">
        <f>IF(B14="","",R14*Km_Puerto_Viaje*INDEX(PRECIOS!$N$6:$N$55,K14))</f>
      </c>
      <c r="Y14" s="70">
        <f>IF(B14="","",S14+V14+W14+X14)</f>
      </c>
      <c r="Z14" s="71">
        <f>IF(B14="","",IF(J14=0,0,ROUNDUP(J14/Rend_Desagrupe,0)))</f>
      </c>
      <c r="AA14" s="71">
        <f>IF(B14="","",IF(ENTRADA!$M14="",Z14,ENTRADA!$M14))</f>
      </c>
      <c r="AB14" s="37">
        <f>IF(B14="","",AA14*INDEX(PRECIOS!$H$6:$H$55,K14))</f>
      </c>
      <c r="AC14" s="37">
        <f>IF(B14="","",IF(E14="ENCI",INDEX(PRECIOS!$J$6:$J$55,K14),IF(E14="A.V",INDEX(PRECIOS!$K$6:$K$55,K14),0)))</f>
      </c>
      <c r="AD14" s="37">
        <f>IF(B14="","",N(ENTRADA!$N14))</f>
      </c>
      <c r="AE14" s="70">
        <f>IF(B14="","",AB14+AC14+AD14)</f>
      </c>
      <c r="AF14" s="71">
        <f>IF(B14="","",IF(G14=0,0,ROUNDUP(G14/Cap_Camion_OCC,0)))</f>
      </c>
      <c r="AG14" s="71">
        <f>IF(B14="","",AF14*L_Dist_OCC)</f>
      </c>
      <c r="AH14" s="71">
        <f>IF(B14="","",IF(ENTRADA!$O14="",AG14,ENTRADA!$O14))</f>
      </c>
      <c r="AI14" s="37">
        <f>IF(B14="","",AH14*INDEX(PRECIOS!$E$6:$E$55,K14))</f>
      </c>
      <c r="AJ14" s="71">
        <f>IF(B14="","",IF(H14=0,0,ROUNDUP(H14/Cap_Camion_CEN,0)))</f>
      </c>
      <c r="AK14" s="71">
        <f>IF(B14="","",AJ14*L_Tras_CEN)</f>
      </c>
      <c r="AL14" s="71">
        <f>IF(B14="","",IF(ENTRADA!$P14="",AK14,ENTRADA!$P14))</f>
      </c>
      <c r="AM14" s="71">
        <f>IF(B14="","",AJ14*L_Dist_CEN)</f>
      </c>
      <c r="AN14" s="71">
        <f>IF(B14="","",IF(ENTRADA!$Q14="",AM14,ENTRADA!$Q14))</f>
      </c>
      <c r="AO14" s="37">
        <f>IF(B14="","",(AL14+AN14)*INDEX(PRECIOS!$E$6:$E$55,K14))</f>
      </c>
      <c r="AP14" s="71">
        <f>IF(B14="","",IF(H14=0,0,ROUNDUP(H14/Rend_Desagrupe_CT,0)))</f>
      </c>
      <c r="AQ14" s="71">
        <f>IF(B14="","",IF(ENTRADA!$R14="",AP14,ENTRADA!$R14))</f>
      </c>
      <c r="AR14" s="37">
        <f>IF(B14="","",AQ14*INDEX(PRECIOS!$I$6:$I$55,K14))</f>
      </c>
      <c r="AS14" s="37">
        <f>IF(B14="","",AO14+AR14)</f>
      </c>
      <c r="AT14" s="71">
        <f>IF(B14="","",IF(I14=0,0,ROUNDUP(I14/Cap_Camion_ORI,0)))</f>
      </c>
      <c r="AU14" s="71">
        <f>IF(B14="","",AT14*L_Tras_ORI)</f>
      </c>
      <c r="AV14" s="71">
        <f>IF(B14="","",IF(ENTRADA!$S14="",AU14,ENTRADA!$S14))</f>
      </c>
      <c r="AW14" s="71">
        <f>IF(B14="","",AT14*L_Dist_ORI)</f>
      </c>
      <c r="AX14" s="71">
        <f>IF(B14="","",IF(ENTRADA!$T14="",AW14,ENTRADA!$T14))</f>
      </c>
      <c r="AY14" s="37">
        <f>IF(B14="","",(AV14+AX14)*INDEX(PRECIOS!$E$6:$E$55,K14))</f>
      </c>
      <c r="AZ14" s="71">
        <f>IF(B14="","",IF(I14=0,0,ROUNDUP(I14/Rend_Desagrupe_CT,0)))</f>
      </c>
      <c r="BA14" s="71">
        <f>IF(B14="","",IF(ENTRADA!$U14="",AZ14,ENTRADA!$U14))</f>
      </c>
      <c r="BB14" s="37">
        <f>IF(B14="","",BA14*INDEX(PRECIOS!$I$6:$I$55,K14))</f>
      </c>
      <c r="BC14" s="37">
        <f>IF(B14="","",AY14+BB14)</f>
      </c>
      <c r="BD14" s="70">
        <f>IF(B14="","",AI14+AS14+BC14)</f>
      </c>
      <c r="BE14" s="37">
        <f>IF(B14="","",IF(Base_Comision="% DEL INGRESO",M14*INDEX(PRECIOS!$L$6:$L$55,K14),G14*INDEX(PRECIOS!$M$6:$M$55,K14)))</f>
      </c>
      <c r="BF14" s="37">
        <f>IF(B14="","",IF(Base_Comision="% DEL INGRESO",N14*INDEX(PRECIOS!$L$6:$L$55,K14),H14*INDEX(PRECIOS!$M$6:$M$55,K14)))</f>
      </c>
      <c r="BG14" s="37">
        <f>IF(B14="","",IF(Base_Comision="% DEL INGRESO",O14*INDEX(PRECIOS!$L$6:$L$55,K14),I14*INDEX(PRECIOS!$M$6:$M$55,K14)))</f>
      </c>
      <c r="BH14" s="70">
        <f>IF(B14="","",BE14+BF14+BG14)</f>
      </c>
      <c r="BI14" s="37">
        <f>IF(B14="","",Q14*Pct_Reclamaciones)</f>
      </c>
      <c r="BJ14" s="37">
        <f>IF(B14="","",Q14*Pct_Banco)</f>
      </c>
      <c r="BK14" s="37">
        <f>IF(B14="","",N(ENTRADA!$V14))</f>
      </c>
      <c r="BL14" s="70">
        <f>IF(B14="","",Y14+AE14+BD14+BH14+BI14+BJ14+BK14)</f>
      </c>
      <c r="BM14" s="70">
        <f>IF(B14="","",Q14-BL14)</f>
      </c>
      <c r="BN14" s="72">
        <f>IF(B14="","",IF(Q14=0,0,BM14/Q14))</f>
      </c>
      <c r="BO14" s="73">
        <f>IF(B14="","",IF(J14=0,0,BM14/J14))</f>
      </c>
      <c r="BP14" s="60">
        <f>IF(B14="","",IFERROR(MATCH(D14,COSTOS_FIJOS!$G$5:$AD$5,0),0))</f>
      </c>
      <c r="BQ14" s="60">
        <f>IF(B14="","",COUNTIFS($D$6:$D$305,D14))</f>
      </c>
      <c r="BR14" s="67">
        <f>IF(B14="","",SUMIFS($J$6:$J$305,$D$6:$D$305,D14))</f>
      </c>
      <c r="BS14" s="72">
        <f>IF(B14="","",IF(Metodo_Prorrateo="KG",IF(BR14=0,0,J14/BR14),1/BQ14))</f>
      </c>
      <c r="BT14" s="37">
        <f>IF(B14="","",IF(BP14=0,0,INDEX(COSTOS_FIJOS!$G$38:$AD$38,BP14))*BS14)</f>
      </c>
      <c r="BU14" s="72">
        <f>IF(B14="","",IF(Metodo_Prorrateo="KG",IF(SUMIFS($G$6:$G$305,$D$6:$D$305,D14)=0,0,G14/SUMIFS($G$6:$G$305,$D$6:$D$305,D14)),IF(G14&gt;0,1/COUNTIFS($D$6:$D$305,D14,$G$6:$G$305,"&gt;0"),0)))</f>
      </c>
      <c r="BV14" s="37">
        <f>IF(B14="","",IF(BP14=0,0,INDEX(COSTOS_FIJOS!$G$39:$AD$39,BP14))*BU14)</f>
      </c>
      <c r="BW14" s="72">
        <f>IF(B14="","",IF(Metodo_Prorrateo="KG",IF(SUMIFS($H$6:$H$305,$D$6:$D$305,D14)=0,0,H14/SUMIFS($H$6:$H$305,$D$6:$D$305,D14)),IF(H14&gt;0,1/COUNTIFS($D$6:$D$305,D14,$H$6:$H$305,"&gt;0"),0)))</f>
      </c>
      <c r="BX14" s="37">
        <f>IF(B14="","",IF(BP14=0,0,INDEX(COSTOS_FIJOS!$G$40:$AD$40,BP14))*BW14)</f>
      </c>
      <c r="BY14" s="72">
        <f>IF(B14="","",IF(Metodo_Prorrateo="KG",IF(SUMIFS($I$6:$I$305,$D$6:$D$305,D14)=0,0,I14/SUMIFS($I$6:$I$305,$D$6:$D$305,D14)),IF(I14&gt;0,1/COUNTIFS($D$6:$D$305,D14,$I$6:$I$305,"&gt;0"),0)))</f>
      </c>
      <c r="BZ14" s="37">
        <f>IF(B14="","",IF(BP14=0,0,INDEX(COSTOS_FIJOS!$G$41:$AD$41,BP14))*BY14)</f>
      </c>
      <c r="CA14" s="70">
        <f>IF(B14="","",BT14+BV14+BX14+BZ14)</f>
      </c>
      <c r="CB14" s="37">
        <f>IF(B14="","",Q14*Imp_Ventas_Serv)</f>
      </c>
      <c r="CC14" s="37">
        <f>IF(B14="","",Q14*Contrib_Territorial)</f>
      </c>
      <c r="CD14" s="70">
        <f>IF(B14="","",BM14-CA14-CB14-CC14)</f>
      </c>
      <c r="CE14" s="37">
        <f>IF(B14="","",MAX(0,CD14)*Imp_Utilidades)</f>
      </c>
      <c r="CF14" s="70">
        <f>IF(B14="","",CD14-CE14)</f>
      </c>
      <c r="CG14" s="72">
        <f>IF(B14="","",IF(Q14=0,0,CF14/Q14))</f>
      </c>
      <c r="CH14" s="73">
        <f>IF(B14="","",IF(J14=0,0,(BL14+CA14+CB14+CC14)/J14))</f>
      </c>
      <c r="CI14" s="73">
        <f>IF(B14="","",IF(J14=0,0,Q14/J14))</f>
      </c>
      <c r="CJ14" s="73">
        <f>IF(B14="","",IF(J14=0,0,CD14/J14))</f>
      </c>
      <c r="CK14" s="37">
        <f>IF(B14="","",Y14+AE14+BK14+BT14)</f>
      </c>
      <c r="CL14" s="37">
        <f>IF(B14="","",IF(J14=0,0,(M14+P14*G14/J14)*(1-Pct_Reclamaciones-Pct_Banco-Imp_Ventas_Serv-Contrib_Territorial)-AI14-BE14-BV14-CK14*G14/J14))</f>
      </c>
      <c r="CM14" s="37">
        <f>IF(B14="","",IF(J14=0,0,(N14+P14*H14/J14)*(1-Pct_Reclamaciones-Pct_Banco-Imp_Ventas_Serv-Contrib_Territorial)-AS14-BF14-BX14-CK14*H14/J14))</f>
      </c>
      <c r="CN14" s="37">
        <f>IF(B14="","",IF(J14=0,0,(O14+P14*I14/J14)*(1-Pct_Reclamaciones-Pct_Banco-Imp_Ventas_Serv-Contrib_Territorial)-BC14-BG14-BZ14-CK14*I14/J14))</f>
      </c>
      <c r="CO14" s="37">
        <f>IF(B14="","",IF(J14=0,0,ROUND(CD14-CL14-CM14-CN14,4)))</f>
      </c>
      <c r="CP14" s="71">
        <f>IF(B14="","",T14+AG14+AK14+AM14+AU14+AW14)</f>
      </c>
      <c r="CQ14" s="71">
        <f>IF(B14="","",U14+AH14+AL14+AN14+AV14+AX14)</f>
      </c>
      <c r="CR14" s="72">
        <f>IF(B14="","",IF(CP14=0,0,CQ14/CP14-1))</f>
      </c>
      <c r="CS14" s="60">
        <f>IF(B14="","",IF(ENTRADA!$Y14="","",ENTRADA!$Y14-C14))</f>
      </c>
      <c r="CT14" s="66">
        <f>IF(B14="","",IF(ENTRADA!$C14="","Falta fecha. ","")&amp;IF(BP14=0,"Mes fuera del rango de COSTOS_FIJOS. ","")&amp;IF(J14=0,"Sin kg. ","")&amp;IF(E14="","Falta transitaria. ","")&amp;IF(AND(T14&gt;0,U14/T14-1&gt;Tolerancia_Comb),"Combustible al puerto "&amp;TEXT(U14/T14-1,"+0%")&amp;" sobre norma. ","")&amp;IF(AND(AG14&gt;0,AH14/AG14-1&gt;Tolerancia_Comb),"Combustible distribución Occidente "&amp;TEXT(AH14/AG14-1,"+0%")&amp;" sobre norma. ","")&amp;IF(AND(AK14&gt;0,AL14/AK14-1&gt;Tolerancia_Comb),"Combustible traslado Centro "&amp;TEXT(AL14/AK14-1,"+0%")&amp;" sobre norma. ","")&amp;IF(AND(AM14&gt;0,AN14/AM14-1&gt;Tolerancia_Comb),"Combustible distribución Centro "&amp;TEXT(AN14/AM14-1,"+0%")&amp;" sobre norma. ","")&amp;IF(AND(AU14&gt;0,AV14/AU14-1&gt;Tolerancia_Comb),"Combustible traslado Oriente "&amp;TEXT(AV14/AU14-1,"+0%")&amp;" sobre norma. ","")&amp;IF(AND(AW14&gt;0,AX14/AW14-1&gt;Tolerancia_Comb),"Combustible distribución Oriente "&amp;TEXT(AX14/AW14-1,"+0%")&amp;" sobre norma. ","")&amp;IF(AND(ENTRADA!$C14&lt;&gt;"",C14&lt;PRECIOS!$A$6),"Fecha anterior a la 1ª vigencia de precios. ","")&amp;IF(CD14&lt;0,"Contenedor con pérdida. ",""))</f>
      </c>
    </row>
    <row r="15">
      <c r="A15" s="60">
        <f>IF(B15="","",ROW()-5)</f>
      </c>
      <c r="B15" s="63">
        <f>IF(ENTRADA!$B15="","",ENTRADA!$B15)</f>
      </c>
      <c r="C15" s="64">
        <f>IF(B15="","",ENTRADA!$C15)</f>
      </c>
      <c r="D15" s="65">
        <f>IF(B15="","",DATE(YEAR(C15),MONTH(C15),1))</f>
      </c>
      <c r="E15" s="66">
        <f>IF(B15="","",ENTRADA!$D15&amp;"")</f>
      </c>
      <c r="F15" s="66">
        <f>IF(B15="","",ENTRADA!$Z15&amp;"")</f>
      </c>
      <c r="G15" s="67">
        <f>IF(B15="","",N(ENTRADA!$G15))</f>
      </c>
      <c r="H15" s="67">
        <f>IF(B15="","",N(ENTRADA!$H15))</f>
      </c>
      <c r="I15" s="67">
        <f>IF(B15="","",N(ENTRADA!$I15))</f>
      </c>
      <c r="J15" s="68">
        <f>IF(B15="","",G15+H15+I15)</f>
      </c>
      <c r="K15" s="60">
        <f>IF(B15="","",IFERROR(MATCH(SUMPRODUCT(MAX((PRECIOS!$A$6:$A$55&lt;=C15)*PRECIOS!$A$6:$A$55)),PRECIOS!$A$6:$A$55,0),1))</f>
      </c>
      <c r="L15" s="69">
        <f>IF(B15="","",INDEX(PRECIOS!$A$6:$A$55,K15))</f>
      </c>
      <c r="M15" s="37">
        <f>IF(B15="","",G15*INDEX(PRECIOS!$B$6:$B$55,K15))</f>
      </c>
      <c r="N15" s="37">
        <f>IF(B15="","",H15*INDEX(PRECIOS!$C$6:$C$55,K15))</f>
      </c>
      <c r="O15" s="37">
        <f>IF(B15="","",I15*INDEX(PRECIOS!$D$6:$D$55,K15))</f>
      </c>
      <c r="P15" s="37">
        <f>IF(B15="","",N(ENTRADA!$X15))</f>
      </c>
      <c r="Q15" s="70">
        <f>IF(B15="","",M15+N15+O15+P15)</f>
      </c>
      <c r="R15" s="71">
        <f>IF(B15="","",IF(ENTRADA!$J15="",Std_Viajes_Puerto,ENTRADA!$J15))</f>
      </c>
      <c r="S15" s="37">
        <f>IF(B15="","",R15*INDEX(PRECIOS!$F$6:$F$55,K15))</f>
      </c>
      <c r="T15" s="71">
        <f>IF(B15="","",R15*Litros_Puerto_Viaje)</f>
      </c>
      <c r="U15" s="71">
        <f>IF(B15="","",IF(ENTRADA!$K15="",T15,ENTRADA!$K15))</f>
      </c>
      <c r="V15" s="37">
        <f>IF(B15="","",U15*INDEX(PRECIOS!$E$6:$E$55,K15))</f>
      </c>
      <c r="W15" s="37">
        <f>IF(B15="","",IF(ENTRADA!$L15="",R15*INDEX(PRECIOS!$G$6:$G$55,K15),ENTRADA!$L15))</f>
      </c>
      <c r="X15" s="37">
        <f>IF(B15="","",R15*Km_Puerto_Viaje*INDEX(PRECIOS!$N$6:$N$55,K15))</f>
      </c>
      <c r="Y15" s="70">
        <f>IF(B15="","",S15+V15+W15+X15)</f>
      </c>
      <c r="Z15" s="71">
        <f>IF(B15="","",IF(J15=0,0,ROUNDUP(J15/Rend_Desagrupe,0)))</f>
      </c>
      <c r="AA15" s="71">
        <f>IF(B15="","",IF(ENTRADA!$M15="",Z15,ENTRADA!$M15))</f>
      </c>
      <c r="AB15" s="37">
        <f>IF(B15="","",AA15*INDEX(PRECIOS!$H$6:$H$55,K15))</f>
      </c>
      <c r="AC15" s="37">
        <f>IF(B15="","",IF(E15="ENCI",INDEX(PRECIOS!$J$6:$J$55,K15),IF(E15="A.V",INDEX(PRECIOS!$K$6:$K$55,K15),0)))</f>
      </c>
      <c r="AD15" s="37">
        <f>IF(B15="","",N(ENTRADA!$N15))</f>
      </c>
      <c r="AE15" s="70">
        <f>IF(B15="","",AB15+AC15+AD15)</f>
      </c>
      <c r="AF15" s="71">
        <f>IF(B15="","",IF(G15=0,0,ROUNDUP(G15/Cap_Camion_OCC,0)))</f>
      </c>
      <c r="AG15" s="71">
        <f>IF(B15="","",AF15*L_Dist_OCC)</f>
      </c>
      <c r="AH15" s="71">
        <f>IF(B15="","",IF(ENTRADA!$O15="",AG15,ENTRADA!$O15))</f>
      </c>
      <c r="AI15" s="37">
        <f>IF(B15="","",AH15*INDEX(PRECIOS!$E$6:$E$55,K15))</f>
      </c>
      <c r="AJ15" s="71">
        <f>IF(B15="","",IF(H15=0,0,ROUNDUP(H15/Cap_Camion_CEN,0)))</f>
      </c>
      <c r="AK15" s="71">
        <f>IF(B15="","",AJ15*L_Tras_CEN)</f>
      </c>
      <c r="AL15" s="71">
        <f>IF(B15="","",IF(ENTRADA!$P15="",AK15,ENTRADA!$P15))</f>
      </c>
      <c r="AM15" s="71">
        <f>IF(B15="","",AJ15*L_Dist_CEN)</f>
      </c>
      <c r="AN15" s="71">
        <f>IF(B15="","",IF(ENTRADA!$Q15="",AM15,ENTRADA!$Q15))</f>
      </c>
      <c r="AO15" s="37">
        <f>IF(B15="","",(AL15+AN15)*INDEX(PRECIOS!$E$6:$E$55,K15))</f>
      </c>
      <c r="AP15" s="71">
        <f>IF(B15="","",IF(H15=0,0,ROUNDUP(H15/Rend_Desagrupe_CT,0)))</f>
      </c>
      <c r="AQ15" s="71">
        <f>IF(B15="","",IF(ENTRADA!$R15="",AP15,ENTRADA!$R15))</f>
      </c>
      <c r="AR15" s="37">
        <f>IF(B15="","",AQ15*INDEX(PRECIOS!$I$6:$I$55,K15))</f>
      </c>
      <c r="AS15" s="37">
        <f>IF(B15="","",AO15+AR15)</f>
      </c>
      <c r="AT15" s="71">
        <f>IF(B15="","",IF(I15=0,0,ROUNDUP(I15/Cap_Camion_ORI,0)))</f>
      </c>
      <c r="AU15" s="71">
        <f>IF(B15="","",AT15*L_Tras_ORI)</f>
      </c>
      <c r="AV15" s="71">
        <f>IF(B15="","",IF(ENTRADA!$S15="",AU15,ENTRADA!$S15))</f>
      </c>
      <c r="AW15" s="71">
        <f>IF(B15="","",AT15*L_Dist_ORI)</f>
      </c>
      <c r="AX15" s="71">
        <f>IF(B15="","",IF(ENTRADA!$T15="",AW15,ENTRADA!$T15))</f>
      </c>
      <c r="AY15" s="37">
        <f>IF(B15="","",(AV15+AX15)*INDEX(PRECIOS!$E$6:$E$55,K15))</f>
      </c>
      <c r="AZ15" s="71">
        <f>IF(B15="","",IF(I15=0,0,ROUNDUP(I15/Rend_Desagrupe_CT,0)))</f>
      </c>
      <c r="BA15" s="71">
        <f>IF(B15="","",IF(ENTRADA!$U15="",AZ15,ENTRADA!$U15))</f>
      </c>
      <c r="BB15" s="37">
        <f>IF(B15="","",BA15*INDEX(PRECIOS!$I$6:$I$55,K15))</f>
      </c>
      <c r="BC15" s="37">
        <f>IF(B15="","",AY15+BB15)</f>
      </c>
      <c r="BD15" s="70">
        <f>IF(B15="","",AI15+AS15+BC15)</f>
      </c>
      <c r="BE15" s="37">
        <f>IF(B15="","",IF(Base_Comision="% DEL INGRESO",M15*INDEX(PRECIOS!$L$6:$L$55,K15),G15*INDEX(PRECIOS!$M$6:$M$55,K15)))</f>
      </c>
      <c r="BF15" s="37">
        <f>IF(B15="","",IF(Base_Comision="% DEL INGRESO",N15*INDEX(PRECIOS!$L$6:$L$55,K15),H15*INDEX(PRECIOS!$M$6:$M$55,K15)))</f>
      </c>
      <c r="BG15" s="37">
        <f>IF(B15="","",IF(Base_Comision="% DEL INGRESO",O15*INDEX(PRECIOS!$L$6:$L$55,K15),I15*INDEX(PRECIOS!$M$6:$M$55,K15)))</f>
      </c>
      <c r="BH15" s="70">
        <f>IF(B15="","",BE15+BF15+BG15)</f>
      </c>
      <c r="BI15" s="37">
        <f>IF(B15="","",Q15*Pct_Reclamaciones)</f>
      </c>
      <c r="BJ15" s="37">
        <f>IF(B15="","",Q15*Pct_Banco)</f>
      </c>
      <c r="BK15" s="37">
        <f>IF(B15="","",N(ENTRADA!$V15))</f>
      </c>
      <c r="BL15" s="70">
        <f>IF(B15="","",Y15+AE15+BD15+BH15+BI15+BJ15+BK15)</f>
      </c>
      <c r="BM15" s="70">
        <f>IF(B15="","",Q15-BL15)</f>
      </c>
      <c r="BN15" s="72">
        <f>IF(B15="","",IF(Q15=0,0,BM15/Q15))</f>
      </c>
      <c r="BO15" s="73">
        <f>IF(B15="","",IF(J15=0,0,BM15/J15))</f>
      </c>
      <c r="BP15" s="60">
        <f>IF(B15="","",IFERROR(MATCH(D15,COSTOS_FIJOS!$G$5:$AD$5,0),0))</f>
      </c>
      <c r="BQ15" s="60">
        <f>IF(B15="","",COUNTIFS($D$6:$D$305,D15))</f>
      </c>
      <c r="BR15" s="67">
        <f>IF(B15="","",SUMIFS($J$6:$J$305,$D$6:$D$305,D15))</f>
      </c>
      <c r="BS15" s="72">
        <f>IF(B15="","",IF(Metodo_Prorrateo="KG",IF(BR15=0,0,J15/BR15),1/BQ15))</f>
      </c>
      <c r="BT15" s="37">
        <f>IF(B15="","",IF(BP15=0,0,INDEX(COSTOS_FIJOS!$G$38:$AD$38,BP15))*BS15)</f>
      </c>
      <c r="BU15" s="72">
        <f>IF(B15="","",IF(Metodo_Prorrateo="KG",IF(SUMIFS($G$6:$G$305,$D$6:$D$305,D15)=0,0,G15/SUMIFS($G$6:$G$305,$D$6:$D$305,D15)),IF(G15&gt;0,1/COUNTIFS($D$6:$D$305,D15,$G$6:$G$305,"&gt;0"),0)))</f>
      </c>
      <c r="BV15" s="37">
        <f>IF(B15="","",IF(BP15=0,0,INDEX(COSTOS_FIJOS!$G$39:$AD$39,BP15))*BU15)</f>
      </c>
      <c r="BW15" s="72">
        <f>IF(B15="","",IF(Metodo_Prorrateo="KG",IF(SUMIFS($H$6:$H$305,$D$6:$D$305,D15)=0,0,H15/SUMIFS($H$6:$H$305,$D$6:$D$305,D15)),IF(H15&gt;0,1/COUNTIFS($D$6:$D$305,D15,$H$6:$H$305,"&gt;0"),0)))</f>
      </c>
      <c r="BX15" s="37">
        <f>IF(B15="","",IF(BP15=0,0,INDEX(COSTOS_FIJOS!$G$40:$AD$40,BP15))*BW15)</f>
      </c>
      <c r="BY15" s="72">
        <f>IF(B15="","",IF(Metodo_Prorrateo="KG",IF(SUMIFS($I$6:$I$305,$D$6:$D$305,D15)=0,0,I15/SUMIFS($I$6:$I$305,$D$6:$D$305,D15)),IF(I15&gt;0,1/COUNTIFS($D$6:$D$305,D15,$I$6:$I$305,"&gt;0"),0)))</f>
      </c>
      <c r="BZ15" s="37">
        <f>IF(B15="","",IF(BP15=0,0,INDEX(COSTOS_FIJOS!$G$41:$AD$41,BP15))*BY15)</f>
      </c>
      <c r="CA15" s="70">
        <f>IF(B15="","",BT15+BV15+BX15+BZ15)</f>
      </c>
      <c r="CB15" s="37">
        <f>IF(B15="","",Q15*Imp_Ventas_Serv)</f>
      </c>
      <c r="CC15" s="37">
        <f>IF(B15="","",Q15*Contrib_Territorial)</f>
      </c>
      <c r="CD15" s="70">
        <f>IF(B15="","",BM15-CA15-CB15-CC15)</f>
      </c>
      <c r="CE15" s="37">
        <f>IF(B15="","",MAX(0,CD15)*Imp_Utilidades)</f>
      </c>
      <c r="CF15" s="70">
        <f>IF(B15="","",CD15-CE15)</f>
      </c>
      <c r="CG15" s="72">
        <f>IF(B15="","",IF(Q15=0,0,CF15/Q15))</f>
      </c>
      <c r="CH15" s="73">
        <f>IF(B15="","",IF(J15=0,0,(BL15+CA15+CB15+CC15)/J15))</f>
      </c>
      <c r="CI15" s="73">
        <f>IF(B15="","",IF(J15=0,0,Q15/J15))</f>
      </c>
      <c r="CJ15" s="73">
        <f>IF(B15="","",IF(J15=0,0,CD15/J15))</f>
      </c>
      <c r="CK15" s="37">
        <f>IF(B15="","",Y15+AE15+BK15+BT15)</f>
      </c>
      <c r="CL15" s="37">
        <f>IF(B15="","",IF(J15=0,0,(M15+P15*G15/J15)*(1-Pct_Reclamaciones-Pct_Banco-Imp_Ventas_Serv-Contrib_Territorial)-AI15-BE15-BV15-CK15*G15/J15))</f>
      </c>
      <c r="CM15" s="37">
        <f>IF(B15="","",IF(J15=0,0,(N15+P15*H15/J15)*(1-Pct_Reclamaciones-Pct_Banco-Imp_Ventas_Serv-Contrib_Territorial)-AS15-BF15-BX15-CK15*H15/J15))</f>
      </c>
      <c r="CN15" s="37">
        <f>IF(B15="","",IF(J15=0,0,(O15+P15*I15/J15)*(1-Pct_Reclamaciones-Pct_Banco-Imp_Ventas_Serv-Contrib_Territorial)-BC15-BG15-BZ15-CK15*I15/J15))</f>
      </c>
      <c r="CO15" s="37">
        <f>IF(B15="","",IF(J15=0,0,ROUND(CD15-CL15-CM15-CN15,4)))</f>
      </c>
      <c r="CP15" s="71">
        <f>IF(B15="","",T15+AG15+AK15+AM15+AU15+AW15)</f>
      </c>
      <c r="CQ15" s="71">
        <f>IF(B15="","",U15+AH15+AL15+AN15+AV15+AX15)</f>
      </c>
      <c r="CR15" s="72">
        <f>IF(B15="","",IF(CP15=0,0,CQ15/CP15-1))</f>
      </c>
      <c r="CS15" s="60">
        <f>IF(B15="","",IF(ENTRADA!$Y15="","",ENTRADA!$Y15-C15))</f>
      </c>
      <c r="CT15" s="66">
        <f>IF(B15="","",IF(ENTRADA!$C15="","Falta fecha. ","")&amp;IF(BP15=0,"Mes fuera del rango de COSTOS_FIJOS. ","")&amp;IF(J15=0,"Sin kg. ","")&amp;IF(E15="","Falta transitaria. ","")&amp;IF(AND(T15&gt;0,U15/T15-1&gt;Tolerancia_Comb),"Combustible al puerto "&amp;TEXT(U15/T15-1,"+0%")&amp;" sobre norma. ","")&amp;IF(AND(AG15&gt;0,AH15/AG15-1&gt;Tolerancia_Comb),"Combustible distribución Occidente "&amp;TEXT(AH15/AG15-1,"+0%")&amp;" sobre norma. ","")&amp;IF(AND(AK15&gt;0,AL15/AK15-1&gt;Tolerancia_Comb),"Combustible traslado Centro "&amp;TEXT(AL15/AK15-1,"+0%")&amp;" sobre norma. ","")&amp;IF(AND(AM15&gt;0,AN15/AM15-1&gt;Tolerancia_Comb),"Combustible distribución Centro "&amp;TEXT(AN15/AM15-1,"+0%")&amp;" sobre norma. ","")&amp;IF(AND(AU15&gt;0,AV15/AU15-1&gt;Tolerancia_Comb),"Combustible traslado Oriente "&amp;TEXT(AV15/AU15-1,"+0%")&amp;" sobre norma. ","")&amp;IF(AND(AW15&gt;0,AX15/AW15-1&gt;Tolerancia_Comb),"Combustible distribución Oriente "&amp;TEXT(AX15/AW15-1,"+0%")&amp;" sobre norma. ","")&amp;IF(AND(ENTRADA!$C15&lt;&gt;"",C15&lt;PRECIOS!$A$6),"Fecha anterior a la 1ª vigencia de precios. ","")&amp;IF(CD15&lt;0,"Contenedor con pérdida. ",""))</f>
      </c>
    </row>
    <row r="16">
      <c r="A16" s="60">
        <f>IF(B16="","",ROW()-5)</f>
      </c>
      <c r="B16" s="63">
        <f>IF(ENTRADA!$B16="","",ENTRADA!$B16)</f>
      </c>
      <c r="C16" s="64">
        <f>IF(B16="","",ENTRADA!$C16)</f>
      </c>
      <c r="D16" s="65">
        <f>IF(B16="","",DATE(YEAR(C16),MONTH(C16),1))</f>
      </c>
      <c r="E16" s="66">
        <f>IF(B16="","",ENTRADA!$D16&amp;"")</f>
      </c>
      <c r="F16" s="66">
        <f>IF(B16="","",ENTRADA!$Z16&amp;"")</f>
      </c>
      <c r="G16" s="67">
        <f>IF(B16="","",N(ENTRADA!$G16))</f>
      </c>
      <c r="H16" s="67">
        <f>IF(B16="","",N(ENTRADA!$H16))</f>
      </c>
      <c r="I16" s="67">
        <f>IF(B16="","",N(ENTRADA!$I16))</f>
      </c>
      <c r="J16" s="68">
        <f>IF(B16="","",G16+H16+I16)</f>
      </c>
      <c r="K16" s="60">
        <f>IF(B16="","",IFERROR(MATCH(SUMPRODUCT(MAX((PRECIOS!$A$6:$A$55&lt;=C16)*PRECIOS!$A$6:$A$55)),PRECIOS!$A$6:$A$55,0),1))</f>
      </c>
      <c r="L16" s="69">
        <f>IF(B16="","",INDEX(PRECIOS!$A$6:$A$55,K16))</f>
      </c>
      <c r="M16" s="37">
        <f>IF(B16="","",G16*INDEX(PRECIOS!$B$6:$B$55,K16))</f>
      </c>
      <c r="N16" s="37">
        <f>IF(B16="","",H16*INDEX(PRECIOS!$C$6:$C$55,K16))</f>
      </c>
      <c r="O16" s="37">
        <f>IF(B16="","",I16*INDEX(PRECIOS!$D$6:$D$55,K16))</f>
      </c>
      <c r="P16" s="37">
        <f>IF(B16="","",N(ENTRADA!$X16))</f>
      </c>
      <c r="Q16" s="70">
        <f>IF(B16="","",M16+N16+O16+P16)</f>
      </c>
      <c r="R16" s="71">
        <f>IF(B16="","",IF(ENTRADA!$J16="",Std_Viajes_Puerto,ENTRADA!$J16))</f>
      </c>
      <c r="S16" s="37">
        <f>IF(B16="","",R16*INDEX(PRECIOS!$F$6:$F$55,K16))</f>
      </c>
      <c r="T16" s="71">
        <f>IF(B16="","",R16*Litros_Puerto_Viaje)</f>
      </c>
      <c r="U16" s="71">
        <f>IF(B16="","",IF(ENTRADA!$K16="",T16,ENTRADA!$K16))</f>
      </c>
      <c r="V16" s="37">
        <f>IF(B16="","",U16*INDEX(PRECIOS!$E$6:$E$55,K16))</f>
      </c>
      <c r="W16" s="37">
        <f>IF(B16="","",IF(ENTRADA!$L16="",R16*INDEX(PRECIOS!$G$6:$G$55,K16),ENTRADA!$L16))</f>
      </c>
      <c r="X16" s="37">
        <f>IF(B16="","",R16*Km_Puerto_Viaje*INDEX(PRECIOS!$N$6:$N$55,K16))</f>
      </c>
      <c r="Y16" s="70">
        <f>IF(B16="","",S16+V16+W16+X16)</f>
      </c>
      <c r="Z16" s="71">
        <f>IF(B16="","",IF(J16=0,0,ROUNDUP(J16/Rend_Desagrupe,0)))</f>
      </c>
      <c r="AA16" s="71">
        <f>IF(B16="","",IF(ENTRADA!$M16="",Z16,ENTRADA!$M16))</f>
      </c>
      <c r="AB16" s="37">
        <f>IF(B16="","",AA16*INDEX(PRECIOS!$H$6:$H$55,K16))</f>
      </c>
      <c r="AC16" s="37">
        <f>IF(B16="","",IF(E16="ENCI",INDEX(PRECIOS!$J$6:$J$55,K16),IF(E16="A.V",INDEX(PRECIOS!$K$6:$K$55,K16),0)))</f>
      </c>
      <c r="AD16" s="37">
        <f>IF(B16="","",N(ENTRADA!$N16))</f>
      </c>
      <c r="AE16" s="70">
        <f>IF(B16="","",AB16+AC16+AD16)</f>
      </c>
      <c r="AF16" s="71">
        <f>IF(B16="","",IF(G16=0,0,ROUNDUP(G16/Cap_Camion_OCC,0)))</f>
      </c>
      <c r="AG16" s="71">
        <f>IF(B16="","",AF16*L_Dist_OCC)</f>
      </c>
      <c r="AH16" s="71">
        <f>IF(B16="","",IF(ENTRADA!$O16="",AG16,ENTRADA!$O16))</f>
      </c>
      <c r="AI16" s="37">
        <f>IF(B16="","",AH16*INDEX(PRECIOS!$E$6:$E$55,K16))</f>
      </c>
      <c r="AJ16" s="71">
        <f>IF(B16="","",IF(H16=0,0,ROUNDUP(H16/Cap_Camion_CEN,0)))</f>
      </c>
      <c r="AK16" s="71">
        <f>IF(B16="","",AJ16*L_Tras_CEN)</f>
      </c>
      <c r="AL16" s="71">
        <f>IF(B16="","",IF(ENTRADA!$P16="",AK16,ENTRADA!$P16))</f>
      </c>
      <c r="AM16" s="71">
        <f>IF(B16="","",AJ16*L_Dist_CEN)</f>
      </c>
      <c r="AN16" s="71">
        <f>IF(B16="","",IF(ENTRADA!$Q16="",AM16,ENTRADA!$Q16))</f>
      </c>
      <c r="AO16" s="37">
        <f>IF(B16="","",(AL16+AN16)*INDEX(PRECIOS!$E$6:$E$55,K16))</f>
      </c>
      <c r="AP16" s="71">
        <f>IF(B16="","",IF(H16=0,0,ROUNDUP(H16/Rend_Desagrupe_CT,0)))</f>
      </c>
      <c r="AQ16" s="71">
        <f>IF(B16="","",IF(ENTRADA!$R16="",AP16,ENTRADA!$R16))</f>
      </c>
      <c r="AR16" s="37">
        <f>IF(B16="","",AQ16*INDEX(PRECIOS!$I$6:$I$55,K16))</f>
      </c>
      <c r="AS16" s="37">
        <f>IF(B16="","",AO16+AR16)</f>
      </c>
      <c r="AT16" s="71">
        <f>IF(B16="","",IF(I16=0,0,ROUNDUP(I16/Cap_Camion_ORI,0)))</f>
      </c>
      <c r="AU16" s="71">
        <f>IF(B16="","",AT16*L_Tras_ORI)</f>
      </c>
      <c r="AV16" s="71">
        <f>IF(B16="","",IF(ENTRADA!$S16="",AU16,ENTRADA!$S16))</f>
      </c>
      <c r="AW16" s="71">
        <f>IF(B16="","",AT16*L_Dist_ORI)</f>
      </c>
      <c r="AX16" s="71">
        <f>IF(B16="","",IF(ENTRADA!$T16="",AW16,ENTRADA!$T16))</f>
      </c>
      <c r="AY16" s="37">
        <f>IF(B16="","",(AV16+AX16)*INDEX(PRECIOS!$E$6:$E$55,K16))</f>
      </c>
      <c r="AZ16" s="71">
        <f>IF(B16="","",IF(I16=0,0,ROUNDUP(I16/Rend_Desagrupe_CT,0)))</f>
      </c>
      <c r="BA16" s="71">
        <f>IF(B16="","",IF(ENTRADA!$U16="",AZ16,ENTRADA!$U16))</f>
      </c>
      <c r="BB16" s="37">
        <f>IF(B16="","",BA16*INDEX(PRECIOS!$I$6:$I$55,K16))</f>
      </c>
      <c r="BC16" s="37">
        <f>IF(B16="","",AY16+BB16)</f>
      </c>
      <c r="BD16" s="70">
        <f>IF(B16="","",AI16+AS16+BC16)</f>
      </c>
      <c r="BE16" s="37">
        <f>IF(B16="","",IF(Base_Comision="% DEL INGRESO",M16*INDEX(PRECIOS!$L$6:$L$55,K16),G16*INDEX(PRECIOS!$M$6:$M$55,K16)))</f>
      </c>
      <c r="BF16" s="37">
        <f>IF(B16="","",IF(Base_Comision="% DEL INGRESO",N16*INDEX(PRECIOS!$L$6:$L$55,K16),H16*INDEX(PRECIOS!$M$6:$M$55,K16)))</f>
      </c>
      <c r="BG16" s="37">
        <f>IF(B16="","",IF(Base_Comision="% DEL INGRESO",O16*INDEX(PRECIOS!$L$6:$L$55,K16),I16*INDEX(PRECIOS!$M$6:$M$55,K16)))</f>
      </c>
      <c r="BH16" s="70">
        <f>IF(B16="","",BE16+BF16+BG16)</f>
      </c>
      <c r="BI16" s="37">
        <f>IF(B16="","",Q16*Pct_Reclamaciones)</f>
      </c>
      <c r="BJ16" s="37">
        <f>IF(B16="","",Q16*Pct_Banco)</f>
      </c>
      <c r="BK16" s="37">
        <f>IF(B16="","",N(ENTRADA!$V16))</f>
      </c>
      <c r="BL16" s="70">
        <f>IF(B16="","",Y16+AE16+BD16+BH16+BI16+BJ16+BK16)</f>
      </c>
      <c r="BM16" s="70">
        <f>IF(B16="","",Q16-BL16)</f>
      </c>
      <c r="BN16" s="72">
        <f>IF(B16="","",IF(Q16=0,0,BM16/Q16))</f>
      </c>
      <c r="BO16" s="73">
        <f>IF(B16="","",IF(J16=0,0,BM16/J16))</f>
      </c>
      <c r="BP16" s="60">
        <f>IF(B16="","",IFERROR(MATCH(D16,COSTOS_FIJOS!$G$5:$AD$5,0),0))</f>
      </c>
      <c r="BQ16" s="60">
        <f>IF(B16="","",COUNTIFS($D$6:$D$305,D16))</f>
      </c>
      <c r="BR16" s="67">
        <f>IF(B16="","",SUMIFS($J$6:$J$305,$D$6:$D$305,D16))</f>
      </c>
      <c r="BS16" s="72">
        <f>IF(B16="","",IF(Metodo_Prorrateo="KG",IF(BR16=0,0,J16/BR16),1/BQ16))</f>
      </c>
      <c r="BT16" s="37">
        <f>IF(B16="","",IF(BP16=0,0,INDEX(COSTOS_FIJOS!$G$38:$AD$38,BP16))*BS16)</f>
      </c>
      <c r="BU16" s="72">
        <f>IF(B16="","",IF(Metodo_Prorrateo="KG",IF(SUMIFS($G$6:$G$305,$D$6:$D$305,D16)=0,0,G16/SUMIFS($G$6:$G$305,$D$6:$D$305,D16)),IF(G16&gt;0,1/COUNTIFS($D$6:$D$305,D16,$G$6:$G$305,"&gt;0"),0)))</f>
      </c>
      <c r="BV16" s="37">
        <f>IF(B16="","",IF(BP16=0,0,INDEX(COSTOS_FIJOS!$G$39:$AD$39,BP16))*BU16)</f>
      </c>
      <c r="BW16" s="72">
        <f>IF(B16="","",IF(Metodo_Prorrateo="KG",IF(SUMIFS($H$6:$H$305,$D$6:$D$305,D16)=0,0,H16/SUMIFS($H$6:$H$305,$D$6:$D$305,D16)),IF(H16&gt;0,1/COUNTIFS($D$6:$D$305,D16,$H$6:$H$305,"&gt;0"),0)))</f>
      </c>
      <c r="BX16" s="37">
        <f>IF(B16="","",IF(BP16=0,0,INDEX(COSTOS_FIJOS!$G$40:$AD$40,BP16))*BW16)</f>
      </c>
      <c r="BY16" s="72">
        <f>IF(B16="","",IF(Metodo_Prorrateo="KG",IF(SUMIFS($I$6:$I$305,$D$6:$D$305,D16)=0,0,I16/SUMIFS($I$6:$I$305,$D$6:$D$305,D16)),IF(I16&gt;0,1/COUNTIFS($D$6:$D$305,D16,$I$6:$I$305,"&gt;0"),0)))</f>
      </c>
      <c r="BZ16" s="37">
        <f>IF(B16="","",IF(BP16=0,0,INDEX(COSTOS_FIJOS!$G$41:$AD$41,BP16))*BY16)</f>
      </c>
      <c r="CA16" s="70">
        <f>IF(B16="","",BT16+BV16+BX16+BZ16)</f>
      </c>
      <c r="CB16" s="37">
        <f>IF(B16="","",Q16*Imp_Ventas_Serv)</f>
      </c>
      <c r="CC16" s="37">
        <f>IF(B16="","",Q16*Contrib_Territorial)</f>
      </c>
      <c r="CD16" s="70">
        <f>IF(B16="","",BM16-CA16-CB16-CC16)</f>
      </c>
      <c r="CE16" s="37">
        <f>IF(B16="","",MAX(0,CD16)*Imp_Utilidades)</f>
      </c>
      <c r="CF16" s="70">
        <f>IF(B16="","",CD16-CE16)</f>
      </c>
      <c r="CG16" s="72">
        <f>IF(B16="","",IF(Q16=0,0,CF16/Q16))</f>
      </c>
      <c r="CH16" s="73">
        <f>IF(B16="","",IF(J16=0,0,(BL16+CA16+CB16+CC16)/J16))</f>
      </c>
      <c r="CI16" s="73">
        <f>IF(B16="","",IF(J16=0,0,Q16/J16))</f>
      </c>
      <c r="CJ16" s="73">
        <f>IF(B16="","",IF(J16=0,0,CD16/J16))</f>
      </c>
      <c r="CK16" s="37">
        <f>IF(B16="","",Y16+AE16+BK16+BT16)</f>
      </c>
      <c r="CL16" s="37">
        <f>IF(B16="","",IF(J16=0,0,(M16+P16*G16/J16)*(1-Pct_Reclamaciones-Pct_Banco-Imp_Ventas_Serv-Contrib_Territorial)-AI16-BE16-BV16-CK16*G16/J16))</f>
      </c>
      <c r="CM16" s="37">
        <f>IF(B16="","",IF(J16=0,0,(N16+P16*H16/J16)*(1-Pct_Reclamaciones-Pct_Banco-Imp_Ventas_Serv-Contrib_Territorial)-AS16-BF16-BX16-CK16*H16/J16))</f>
      </c>
      <c r="CN16" s="37">
        <f>IF(B16="","",IF(J16=0,0,(O16+P16*I16/J16)*(1-Pct_Reclamaciones-Pct_Banco-Imp_Ventas_Serv-Contrib_Territorial)-BC16-BG16-BZ16-CK16*I16/J16))</f>
      </c>
      <c r="CO16" s="37">
        <f>IF(B16="","",IF(J16=0,0,ROUND(CD16-CL16-CM16-CN16,4)))</f>
      </c>
      <c r="CP16" s="71">
        <f>IF(B16="","",T16+AG16+AK16+AM16+AU16+AW16)</f>
      </c>
      <c r="CQ16" s="71">
        <f>IF(B16="","",U16+AH16+AL16+AN16+AV16+AX16)</f>
      </c>
      <c r="CR16" s="72">
        <f>IF(B16="","",IF(CP16=0,0,CQ16/CP16-1))</f>
      </c>
      <c r="CS16" s="60">
        <f>IF(B16="","",IF(ENTRADA!$Y16="","",ENTRADA!$Y16-C16))</f>
      </c>
      <c r="CT16" s="66">
        <f>IF(B16="","",IF(ENTRADA!$C16="","Falta fecha. ","")&amp;IF(BP16=0,"Mes fuera del rango de COSTOS_FIJOS. ","")&amp;IF(J16=0,"Sin kg. ","")&amp;IF(E16="","Falta transitaria. ","")&amp;IF(AND(T16&gt;0,U16/T16-1&gt;Tolerancia_Comb),"Combustible al puerto "&amp;TEXT(U16/T16-1,"+0%")&amp;" sobre norma. ","")&amp;IF(AND(AG16&gt;0,AH16/AG16-1&gt;Tolerancia_Comb),"Combustible distribución Occidente "&amp;TEXT(AH16/AG16-1,"+0%")&amp;" sobre norma. ","")&amp;IF(AND(AK16&gt;0,AL16/AK16-1&gt;Tolerancia_Comb),"Combustible traslado Centro "&amp;TEXT(AL16/AK16-1,"+0%")&amp;" sobre norma. ","")&amp;IF(AND(AM16&gt;0,AN16/AM16-1&gt;Tolerancia_Comb),"Combustible distribución Centro "&amp;TEXT(AN16/AM16-1,"+0%")&amp;" sobre norma. ","")&amp;IF(AND(AU16&gt;0,AV16/AU16-1&gt;Tolerancia_Comb),"Combustible traslado Oriente "&amp;TEXT(AV16/AU16-1,"+0%")&amp;" sobre norma. ","")&amp;IF(AND(AW16&gt;0,AX16/AW16-1&gt;Tolerancia_Comb),"Combustible distribución Oriente "&amp;TEXT(AX16/AW16-1,"+0%")&amp;" sobre norma. ","")&amp;IF(AND(ENTRADA!$C16&lt;&gt;"",C16&lt;PRECIOS!$A$6),"Fecha anterior a la 1ª vigencia de precios. ","")&amp;IF(CD16&lt;0,"Contenedor con pérdida. ",""))</f>
      </c>
    </row>
    <row r="17">
      <c r="A17" s="60">
        <f>IF(B17="","",ROW()-5)</f>
      </c>
      <c r="B17" s="63">
        <f>IF(ENTRADA!$B17="","",ENTRADA!$B17)</f>
      </c>
      <c r="C17" s="64">
        <f>IF(B17="","",ENTRADA!$C17)</f>
      </c>
      <c r="D17" s="65">
        <f>IF(B17="","",DATE(YEAR(C17),MONTH(C17),1))</f>
      </c>
      <c r="E17" s="66">
        <f>IF(B17="","",ENTRADA!$D17&amp;"")</f>
      </c>
      <c r="F17" s="66">
        <f>IF(B17="","",ENTRADA!$Z17&amp;"")</f>
      </c>
      <c r="G17" s="67">
        <f>IF(B17="","",N(ENTRADA!$G17))</f>
      </c>
      <c r="H17" s="67">
        <f>IF(B17="","",N(ENTRADA!$H17))</f>
      </c>
      <c r="I17" s="67">
        <f>IF(B17="","",N(ENTRADA!$I17))</f>
      </c>
      <c r="J17" s="68">
        <f>IF(B17="","",G17+H17+I17)</f>
      </c>
      <c r="K17" s="60">
        <f>IF(B17="","",IFERROR(MATCH(SUMPRODUCT(MAX((PRECIOS!$A$6:$A$55&lt;=C17)*PRECIOS!$A$6:$A$55)),PRECIOS!$A$6:$A$55,0),1))</f>
      </c>
      <c r="L17" s="69">
        <f>IF(B17="","",INDEX(PRECIOS!$A$6:$A$55,K17))</f>
      </c>
      <c r="M17" s="37">
        <f>IF(B17="","",G17*INDEX(PRECIOS!$B$6:$B$55,K17))</f>
      </c>
      <c r="N17" s="37">
        <f>IF(B17="","",H17*INDEX(PRECIOS!$C$6:$C$55,K17))</f>
      </c>
      <c r="O17" s="37">
        <f>IF(B17="","",I17*INDEX(PRECIOS!$D$6:$D$55,K17))</f>
      </c>
      <c r="P17" s="37">
        <f>IF(B17="","",N(ENTRADA!$X17))</f>
      </c>
      <c r="Q17" s="70">
        <f>IF(B17="","",M17+N17+O17+P17)</f>
      </c>
      <c r="R17" s="71">
        <f>IF(B17="","",IF(ENTRADA!$J17="",Std_Viajes_Puerto,ENTRADA!$J17))</f>
      </c>
      <c r="S17" s="37">
        <f>IF(B17="","",R17*INDEX(PRECIOS!$F$6:$F$55,K17))</f>
      </c>
      <c r="T17" s="71">
        <f>IF(B17="","",R17*Litros_Puerto_Viaje)</f>
      </c>
      <c r="U17" s="71">
        <f>IF(B17="","",IF(ENTRADA!$K17="",T17,ENTRADA!$K17))</f>
      </c>
      <c r="V17" s="37">
        <f>IF(B17="","",U17*INDEX(PRECIOS!$E$6:$E$55,K17))</f>
      </c>
      <c r="W17" s="37">
        <f>IF(B17="","",IF(ENTRADA!$L17="",R17*INDEX(PRECIOS!$G$6:$G$55,K17),ENTRADA!$L17))</f>
      </c>
      <c r="X17" s="37">
        <f>IF(B17="","",R17*Km_Puerto_Viaje*INDEX(PRECIOS!$N$6:$N$55,K17))</f>
      </c>
      <c r="Y17" s="70">
        <f>IF(B17="","",S17+V17+W17+X17)</f>
      </c>
      <c r="Z17" s="71">
        <f>IF(B17="","",IF(J17=0,0,ROUNDUP(J17/Rend_Desagrupe,0)))</f>
      </c>
      <c r="AA17" s="71">
        <f>IF(B17="","",IF(ENTRADA!$M17="",Z17,ENTRADA!$M17))</f>
      </c>
      <c r="AB17" s="37">
        <f>IF(B17="","",AA17*INDEX(PRECIOS!$H$6:$H$55,K17))</f>
      </c>
      <c r="AC17" s="37">
        <f>IF(B17="","",IF(E17="ENCI",INDEX(PRECIOS!$J$6:$J$55,K17),IF(E17="A.V",INDEX(PRECIOS!$K$6:$K$55,K17),0)))</f>
      </c>
      <c r="AD17" s="37">
        <f>IF(B17="","",N(ENTRADA!$N17))</f>
      </c>
      <c r="AE17" s="70">
        <f>IF(B17="","",AB17+AC17+AD17)</f>
      </c>
      <c r="AF17" s="71">
        <f>IF(B17="","",IF(G17=0,0,ROUNDUP(G17/Cap_Camion_OCC,0)))</f>
      </c>
      <c r="AG17" s="71">
        <f>IF(B17="","",AF17*L_Dist_OCC)</f>
      </c>
      <c r="AH17" s="71">
        <f>IF(B17="","",IF(ENTRADA!$O17="",AG17,ENTRADA!$O17))</f>
      </c>
      <c r="AI17" s="37">
        <f>IF(B17="","",AH17*INDEX(PRECIOS!$E$6:$E$55,K17))</f>
      </c>
      <c r="AJ17" s="71">
        <f>IF(B17="","",IF(H17=0,0,ROUNDUP(H17/Cap_Camion_CEN,0)))</f>
      </c>
      <c r="AK17" s="71">
        <f>IF(B17="","",AJ17*L_Tras_CEN)</f>
      </c>
      <c r="AL17" s="71">
        <f>IF(B17="","",IF(ENTRADA!$P17="",AK17,ENTRADA!$P17))</f>
      </c>
      <c r="AM17" s="71">
        <f>IF(B17="","",AJ17*L_Dist_CEN)</f>
      </c>
      <c r="AN17" s="71">
        <f>IF(B17="","",IF(ENTRADA!$Q17="",AM17,ENTRADA!$Q17))</f>
      </c>
      <c r="AO17" s="37">
        <f>IF(B17="","",(AL17+AN17)*INDEX(PRECIOS!$E$6:$E$55,K17))</f>
      </c>
      <c r="AP17" s="71">
        <f>IF(B17="","",IF(H17=0,0,ROUNDUP(H17/Rend_Desagrupe_CT,0)))</f>
      </c>
      <c r="AQ17" s="71">
        <f>IF(B17="","",IF(ENTRADA!$R17="",AP17,ENTRADA!$R17))</f>
      </c>
      <c r="AR17" s="37">
        <f>IF(B17="","",AQ17*INDEX(PRECIOS!$I$6:$I$55,K17))</f>
      </c>
      <c r="AS17" s="37">
        <f>IF(B17="","",AO17+AR17)</f>
      </c>
      <c r="AT17" s="71">
        <f>IF(B17="","",IF(I17=0,0,ROUNDUP(I17/Cap_Camion_ORI,0)))</f>
      </c>
      <c r="AU17" s="71">
        <f>IF(B17="","",AT17*L_Tras_ORI)</f>
      </c>
      <c r="AV17" s="71">
        <f>IF(B17="","",IF(ENTRADA!$S17="",AU17,ENTRADA!$S17))</f>
      </c>
      <c r="AW17" s="71">
        <f>IF(B17="","",AT17*L_Dist_ORI)</f>
      </c>
      <c r="AX17" s="71">
        <f>IF(B17="","",IF(ENTRADA!$T17="",AW17,ENTRADA!$T17))</f>
      </c>
      <c r="AY17" s="37">
        <f>IF(B17="","",(AV17+AX17)*INDEX(PRECIOS!$E$6:$E$55,K17))</f>
      </c>
      <c r="AZ17" s="71">
        <f>IF(B17="","",IF(I17=0,0,ROUNDUP(I17/Rend_Desagrupe_CT,0)))</f>
      </c>
      <c r="BA17" s="71">
        <f>IF(B17="","",IF(ENTRADA!$U17="",AZ17,ENTRADA!$U17))</f>
      </c>
      <c r="BB17" s="37">
        <f>IF(B17="","",BA17*INDEX(PRECIOS!$I$6:$I$55,K17))</f>
      </c>
      <c r="BC17" s="37">
        <f>IF(B17="","",AY17+BB17)</f>
      </c>
      <c r="BD17" s="70">
        <f>IF(B17="","",AI17+AS17+BC17)</f>
      </c>
      <c r="BE17" s="37">
        <f>IF(B17="","",IF(Base_Comision="% DEL INGRESO",M17*INDEX(PRECIOS!$L$6:$L$55,K17),G17*INDEX(PRECIOS!$M$6:$M$55,K17)))</f>
      </c>
      <c r="BF17" s="37">
        <f>IF(B17="","",IF(Base_Comision="% DEL INGRESO",N17*INDEX(PRECIOS!$L$6:$L$55,K17),H17*INDEX(PRECIOS!$M$6:$M$55,K17)))</f>
      </c>
      <c r="BG17" s="37">
        <f>IF(B17="","",IF(Base_Comision="% DEL INGRESO",O17*INDEX(PRECIOS!$L$6:$L$55,K17),I17*INDEX(PRECIOS!$M$6:$M$55,K17)))</f>
      </c>
      <c r="BH17" s="70">
        <f>IF(B17="","",BE17+BF17+BG17)</f>
      </c>
      <c r="BI17" s="37">
        <f>IF(B17="","",Q17*Pct_Reclamaciones)</f>
      </c>
      <c r="BJ17" s="37">
        <f>IF(B17="","",Q17*Pct_Banco)</f>
      </c>
      <c r="BK17" s="37">
        <f>IF(B17="","",N(ENTRADA!$V17))</f>
      </c>
      <c r="BL17" s="70">
        <f>IF(B17="","",Y17+AE17+BD17+BH17+BI17+BJ17+BK17)</f>
      </c>
      <c r="BM17" s="70">
        <f>IF(B17="","",Q17-BL17)</f>
      </c>
      <c r="BN17" s="72">
        <f>IF(B17="","",IF(Q17=0,0,BM17/Q17))</f>
      </c>
      <c r="BO17" s="73">
        <f>IF(B17="","",IF(J17=0,0,BM17/J17))</f>
      </c>
      <c r="BP17" s="60">
        <f>IF(B17="","",IFERROR(MATCH(D17,COSTOS_FIJOS!$G$5:$AD$5,0),0))</f>
      </c>
      <c r="BQ17" s="60">
        <f>IF(B17="","",COUNTIFS($D$6:$D$305,D17))</f>
      </c>
      <c r="BR17" s="67">
        <f>IF(B17="","",SUMIFS($J$6:$J$305,$D$6:$D$305,D17))</f>
      </c>
      <c r="BS17" s="72">
        <f>IF(B17="","",IF(Metodo_Prorrateo="KG",IF(BR17=0,0,J17/BR17),1/BQ17))</f>
      </c>
      <c r="BT17" s="37">
        <f>IF(B17="","",IF(BP17=0,0,INDEX(COSTOS_FIJOS!$G$38:$AD$38,BP17))*BS17)</f>
      </c>
      <c r="BU17" s="72">
        <f>IF(B17="","",IF(Metodo_Prorrateo="KG",IF(SUMIFS($G$6:$G$305,$D$6:$D$305,D17)=0,0,G17/SUMIFS($G$6:$G$305,$D$6:$D$305,D17)),IF(G17&gt;0,1/COUNTIFS($D$6:$D$305,D17,$G$6:$G$305,"&gt;0"),0)))</f>
      </c>
      <c r="BV17" s="37">
        <f>IF(B17="","",IF(BP17=0,0,INDEX(COSTOS_FIJOS!$G$39:$AD$39,BP17))*BU17)</f>
      </c>
      <c r="BW17" s="72">
        <f>IF(B17="","",IF(Metodo_Prorrateo="KG",IF(SUMIFS($H$6:$H$305,$D$6:$D$305,D17)=0,0,H17/SUMIFS($H$6:$H$305,$D$6:$D$305,D17)),IF(H17&gt;0,1/COUNTIFS($D$6:$D$305,D17,$H$6:$H$305,"&gt;0"),0)))</f>
      </c>
      <c r="BX17" s="37">
        <f>IF(B17="","",IF(BP17=0,0,INDEX(COSTOS_FIJOS!$G$40:$AD$40,BP17))*BW17)</f>
      </c>
      <c r="BY17" s="72">
        <f>IF(B17="","",IF(Metodo_Prorrateo="KG",IF(SUMIFS($I$6:$I$305,$D$6:$D$305,D17)=0,0,I17/SUMIFS($I$6:$I$305,$D$6:$D$305,D17)),IF(I17&gt;0,1/COUNTIFS($D$6:$D$305,D17,$I$6:$I$305,"&gt;0"),0)))</f>
      </c>
      <c r="BZ17" s="37">
        <f>IF(B17="","",IF(BP17=0,0,INDEX(COSTOS_FIJOS!$G$41:$AD$41,BP17))*BY17)</f>
      </c>
      <c r="CA17" s="70">
        <f>IF(B17="","",BT17+BV17+BX17+BZ17)</f>
      </c>
      <c r="CB17" s="37">
        <f>IF(B17="","",Q17*Imp_Ventas_Serv)</f>
      </c>
      <c r="CC17" s="37">
        <f>IF(B17="","",Q17*Contrib_Territorial)</f>
      </c>
      <c r="CD17" s="70">
        <f>IF(B17="","",BM17-CA17-CB17-CC17)</f>
      </c>
      <c r="CE17" s="37">
        <f>IF(B17="","",MAX(0,CD17)*Imp_Utilidades)</f>
      </c>
      <c r="CF17" s="70">
        <f>IF(B17="","",CD17-CE17)</f>
      </c>
      <c r="CG17" s="72">
        <f>IF(B17="","",IF(Q17=0,0,CF17/Q17))</f>
      </c>
      <c r="CH17" s="73">
        <f>IF(B17="","",IF(J17=0,0,(BL17+CA17+CB17+CC17)/J17))</f>
      </c>
      <c r="CI17" s="73">
        <f>IF(B17="","",IF(J17=0,0,Q17/J17))</f>
      </c>
      <c r="CJ17" s="73">
        <f>IF(B17="","",IF(J17=0,0,CD17/J17))</f>
      </c>
      <c r="CK17" s="37">
        <f>IF(B17="","",Y17+AE17+BK17+BT17)</f>
      </c>
      <c r="CL17" s="37">
        <f>IF(B17="","",IF(J17=0,0,(M17+P17*G17/J17)*(1-Pct_Reclamaciones-Pct_Banco-Imp_Ventas_Serv-Contrib_Territorial)-AI17-BE17-BV17-CK17*G17/J17))</f>
      </c>
      <c r="CM17" s="37">
        <f>IF(B17="","",IF(J17=0,0,(N17+P17*H17/J17)*(1-Pct_Reclamaciones-Pct_Banco-Imp_Ventas_Serv-Contrib_Territorial)-AS17-BF17-BX17-CK17*H17/J17))</f>
      </c>
      <c r="CN17" s="37">
        <f>IF(B17="","",IF(J17=0,0,(O17+P17*I17/J17)*(1-Pct_Reclamaciones-Pct_Banco-Imp_Ventas_Serv-Contrib_Territorial)-BC17-BG17-BZ17-CK17*I17/J17))</f>
      </c>
      <c r="CO17" s="37">
        <f>IF(B17="","",IF(J17=0,0,ROUND(CD17-CL17-CM17-CN17,4)))</f>
      </c>
      <c r="CP17" s="71">
        <f>IF(B17="","",T17+AG17+AK17+AM17+AU17+AW17)</f>
      </c>
      <c r="CQ17" s="71">
        <f>IF(B17="","",U17+AH17+AL17+AN17+AV17+AX17)</f>
      </c>
      <c r="CR17" s="72">
        <f>IF(B17="","",IF(CP17=0,0,CQ17/CP17-1))</f>
      </c>
      <c r="CS17" s="60">
        <f>IF(B17="","",IF(ENTRADA!$Y17="","",ENTRADA!$Y17-C17))</f>
      </c>
      <c r="CT17" s="66">
        <f>IF(B17="","",IF(ENTRADA!$C17="","Falta fecha. ","")&amp;IF(BP17=0,"Mes fuera del rango de COSTOS_FIJOS. ","")&amp;IF(J17=0,"Sin kg. ","")&amp;IF(E17="","Falta transitaria. ","")&amp;IF(AND(T17&gt;0,U17/T17-1&gt;Tolerancia_Comb),"Combustible al puerto "&amp;TEXT(U17/T17-1,"+0%")&amp;" sobre norma. ","")&amp;IF(AND(AG17&gt;0,AH17/AG17-1&gt;Tolerancia_Comb),"Combustible distribución Occidente "&amp;TEXT(AH17/AG17-1,"+0%")&amp;" sobre norma. ","")&amp;IF(AND(AK17&gt;0,AL17/AK17-1&gt;Tolerancia_Comb),"Combustible traslado Centro "&amp;TEXT(AL17/AK17-1,"+0%")&amp;" sobre norma. ","")&amp;IF(AND(AM17&gt;0,AN17/AM17-1&gt;Tolerancia_Comb),"Combustible distribución Centro "&amp;TEXT(AN17/AM17-1,"+0%")&amp;" sobre norma. ","")&amp;IF(AND(AU17&gt;0,AV17/AU17-1&gt;Tolerancia_Comb),"Combustible traslado Oriente "&amp;TEXT(AV17/AU17-1,"+0%")&amp;" sobre norma. ","")&amp;IF(AND(AW17&gt;0,AX17/AW17-1&gt;Tolerancia_Comb),"Combustible distribución Oriente "&amp;TEXT(AX17/AW17-1,"+0%")&amp;" sobre norma. ","")&amp;IF(AND(ENTRADA!$C17&lt;&gt;"",C17&lt;PRECIOS!$A$6),"Fecha anterior a la 1ª vigencia de precios. ","")&amp;IF(CD17&lt;0,"Contenedor con pérdida. ",""))</f>
      </c>
    </row>
    <row r="18">
      <c r="A18" s="60">
        <f>IF(B18="","",ROW()-5)</f>
      </c>
      <c r="B18" s="63">
        <f>IF(ENTRADA!$B18="","",ENTRADA!$B18)</f>
      </c>
      <c r="C18" s="64">
        <f>IF(B18="","",ENTRADA!$C18)</f>
      </c>
      <c r="D18" s="65">
        <f>IF(B18="","",DATE(YEAR(C18),MONTH(C18),1))</f>
      </c>
      <c r="E18" s="66">
        <f>IF(B18="","",ENTRADA!$D18&amp;"")</f>
      </c>
      <c r="F18" s="66">
        <f>IF(B18="","",ENTRADA!$Z18&amp;"")</f>
      </c>
      <c r="G18" s="67">
        <f>IF(B18="","",N(ENTRADA!$G18))</f>
      </c>
      <c r="H18" s="67">
        <f>IF(B18="","",N(ENTRADA!$H18))</f>
      </c>
      <c r="I18" s="67">
        <f>IF(B18="","",N(ENTRADA!$I18))</f>
      </c>
      <c r="J18" s="68">
        <f>IF(B18="","",G18+H18+I18)</f>
      </c>
      <c r="K18" s="60">
        <f>IF(B18="","",IFERROR(MATCH(SUMPRODUCT(MAX((PRECIOS!$A$6:$A$55&lt;=C18)*PRECIOS!$A$6:$A$55)),PRECIOS!$A$6:$A$55,0),1))</f>
      </c>
      <c r="L18" s="69">
        <f>IF(B18="","",INDEX(PRECIOS!$A$6:$A$55,K18))</f>
      </c>
      <c r="M18" s="37">
        <f>IF(B18="","",G18*INDEX(PRECIOS!$B$6:$B$55,K18))</f>
      </c>
      <c r="N18" s="37">
        <f>IF(B18="","",H18*INDEX(PRECIOS!$C$6:$C$55,K18))</f>
      </c>
      <c r="O18" s="37">
        <f>IF(B18="","",I18*INDEX(PRECIOS!$D$6:$D$55,K18))</f>
      </c>
      <c r="P18" s="37">
        <f>IF(B18="","",N(ENTRADA!$X18))</f>
      </c>
      <c r="Q18" s="70">
        <f>IF(B18="","",M18+N18+O18+P18)</f>
      </c>
      <c r="R18" s="71">
        <f>IF(B18="","",IF(ENTRADA!$J18="",Std_Viajes_Puerto,ENTRADA!$J18))</f>
      </c>
      <c r="S18" s="37">
        <f>IF(B18="","",R18*INDEX(PRECIOS!$F$6:$F$55,K18))</f>
      </c>
      <c r="T18" s="71">
        <f>IF(B18="","",R18*Litros_Puerto_Viaje)</f>
      </c>
      <c r="U18" s="71">
        <f>IF(B18="","",IF(ENTRADA!$K18="",T18,ENTRADA!$K18))</f>
      </c>
      <c r="V18" s="37">
        <f>IF(B18="","",U18*INDEX(PRECIOS!$E$6:$E$55,K18))</f>
      </c>
      <c r="W18" s="37">
        <f>IF(B18="","",IF(ENTRADA!$L18="",R18*INDEX(PRECIOS!$G$6:$G$55,K18),ENTRADA!$L18))</f>
      </c>
      <c r="X18" s="37">
        <f>IF(B18="","",R18*Km_Puerto_Viaje*INDEX(PRECIOS!$N$6:$N$55,K18))</f>
      </c>
      <c r="Y18" s="70">
        <f>IF(B18="","",S18+V18+W18+X18)</f>
      </c>
      <c r="Z18" s="71">
        <f>IF(B18="","",IF(J18=0,0,ROUNDUP(J18/Rend_Desagrupe,0)))</f>
      </c>
      <c r="AA18" s="71">
        <f>IF(B18="","",IF(ENTRADA!$M18="",Z18,ENTRADA!$M18))</f>
      </c>
      <c r="AB18" s="37">
        <f>IF(B18="","",AA18*INDEX(PRECIOS!$H$6:$H$55,K18))</f>
      </c>
      <c r="AC18" s="37">
        <f>IF(B18="","",IF(E18="ENCI",INDEX(PRECIOS!$J$6:$J$55,K18),IF(E18="A.V",INDEX(PRECIOS!$K$6:$K$55,K18),0)))</f>
      </c>
      <c r="AD18" s="37">
        <f>IF(B18="","",N(ENTRADA!$N18))</f>
      </c>
      <c r="AE18" s="70">
        <f>IF(B18="","",AB18+AC18+AD18)</f>
      </c>
      <c r="AF18" s="71">
        <f>IF(B18="","",IF(G18=0,0,ROUNDUP(G18/Cap_Camion_OCC,0)))</f>
      </c>
      <c r="AG18" s="71">
        <f>IF(B18="","",AF18*L_Dist_OCC)</f>
      </c>
      <c r="AH18" s="71">
        <f>IF(B18="","",IF(ENTRADA!$O18="",AG18,ENTRADA!$O18))</f>
      </c>
      <c r="AI18" s="37">
        <f>IF(B18="","",AH18*INDEX(PRECIOS!$E$6:$E$55,K18))</f>
      </c>
      <c r="AJ18" s="71">
        <f>IF(B18="","",IF(H18=0,0,ROUNDUP(H18/Cap_Camion_CEN,0)))</f>
      </c>
      <c r="AK18" s="71">
        <f>IF(B18="","",AJ18*L_Tras_CEN)</f>
      </c>
      <c r="AL18" s="71">
        <f>IF(B18="","",IF(ENTRADA!$P18="",AK18,ENTRADA!$P18))</f>
      </c>
      <c r="AM18" s="71">
        <f>IF(B18="","",AJ18*L_Dist_CEN)</f>
      </c>
      <c r="AN18" s="71">
        <f>IF(B18="","",IF(ENTRADA!$Q18="",AM18,ENTRADA!$Q18))</f>
      </c>
      <c r="AO18" s="37">
        <f>IF(B18="","",(AL18+AN18)*INDEX(PRECIOS!$E$6:$E$55,K18))</f>
      </c>
      <c r="AP18" s="71">
        <f>IF(B18="","",IF(H18=0,0,ROUNDUP(H18/Rend_Desagrupe_CT,0)))</f>
      </c>
      <c r="AQ18" s="71">
        <f>IF(B18="","",IF(ENTRADA!$R18="",AP18,ENTRADA!$R18))</f>
      </c>
      <c r="AR18" s="37">
        <f>IF(B18="","",AQ18*INDEX(PRECIOS!$I$6:$I$55,K18))</f>
      </c>
      <c r="AS18" s="37">
        <f>IF(B18="","",AO18+AR18)</f>
      </c>
      <c r="AT18" s="71">
        <f>IF(B18="","",IF(I18=0,0,ROUNDUP(I18/Cap_Camion_ORI,0)))</f>
      </c>
      <c r="AU18" s="71">
        <f>IF(B18="","",AT18*L_Tras_ORI)</f>
      </c>
      <c r="AV18" s="71">
        <f>IF(B18="","",IF(ENTRADA!$S18="",AU18,ENTRADA!$S18))</f>
      </c>
      <c r="AW18" s="71">
        <f>IF(B18="","",AT18*L_Dist_ORI)</f>
      </c>
      <c r="AX18" s="71">
        <f>IF(B18="","",IF(ENTRADA!$T18="",AW18,ENTRADA!$T18))</f>
      </c>
      <c r="AY18" s="37">
        <f>IF(B18="","",(AV18+AX18)*INDEX(PRECIOS!$E$6:$E$55,K18))</f>
      </c>
      <c r="AZ18" s="71">
        <f>IF(B18="","",IF(I18=0,0,ROUNDUP(I18/Rend_Desagrupe_CT,0)))</f>
      </c>
      <c r="BA18" s="71">
        <f>IF(B18="","",IF(ENTRADA!$U18="",AZ18,ENTRADA!$U18))</f>
      </c>
      <c r="BB18" s="37">
        <f>IF(B18="","",BA18*INDEX(PRECIOS!$I$6:$I$55,K18))</f>
      </c>
      <c r="BC18" s="37">
        <f>IF(B18="","",AY18+BB18)</f>
      </c>
      <c r="BD18" s="70">
        <f>IF(B18="","",AI18+AS18+BC18)</f>
      </c>
      <c r="BE18" s="37">
        <f>IF(B18="","",IF(Base_Comision="% DEL INGRESO",M18*INDEX(PRECIOS!$L$6:$L$55,K18),G18*INDEX(PRECIOS!$M$6:$M$55,K18)))</f>
      </c>
      <c r="BF18" s="37">
        <f>IF(B18="","",IF(Base_Comision="% DEL INGRESO",N18*INDEX(PRECIOS!$L$6:$L$55,K18),H18*INDEX(PRECIOS!$M$6:$M$55,K18)))</f>
      </c>
      <c r="BG18" s="37">
        <f>IF(B18="","",IF(Base_Comision="% DEL INGRESO",O18*INDEX(PRECIOS!$L$6:$L$55,K18),I18*INDEX(PRECIOS!$M$6:$M$55,K18)))</f>
      </c>
      <c r="BH18" s="70">
        <f>IF(B18="","",BE18+BF18+BG18)</f>
      </c>
      <c r="BI18" s="37">
        <f>IF(B18="","",Q18*Pct_Reclamaciones)</f>
      </c>
      <c r="BJ18" s="37">
        <f>IF(B18="","",Q18*Pct_Banco)</f>
      </c>
      <c r="BK18" s="37">
        <f>IF(B18="","",N(ENTRADA!$V18))</f>
      </c>
      <c r="BL18" s="70">
        <f>IF(B18="","",Y18+AE18+BD18+BH18+BI18+BJ18+BK18)</f>
      </c>
      <c r="BM18" s="70">
        <f>IF(B18="","",Q18-BL18)</f>
      </c>
      <c r="BN18" s="72">
        <f>IF(B18="","",IF(Q18=0,0,BM18/Q18))</f>
      </c>
      <c r="BO18" s="73">
        <f>IF(B18="","",IF(J18=0,0,BM18/J18))</f>
      </c>
      <c r="BP18" s="60">
        <f>IF(B18="","",IFERROR(MATCH(D18,COSTOS_FIJOS!$G$5:$AD$5,0),0))</f>
      </c>
      <c r="BQ18" s="60">
        <f>IF(B18="","",COUNTIFS($D$6:$D$305,D18))</f>
      </c>
      <c r="BR18" s="67">
        <f>IF(B18="","",SUMIFS($J$6:$J$305,$D$6:$D$305,D18))</f>
      </c>
      <c r="BS18" s="72">
        <f>IF(B18="","",IF(Metodo_Prorrateo="KG",IF(BR18=0,0,J18/BR18),1/BQ18))</f>
      </c>
      <c r="BT18" s="37">
        <f>IF(B18="","",IF(BP18=0,0,INDEX(COSTOS_FIJOS!$G$38:$AD$38,BP18))*BS18)</f>
      </c>
      <c r="BU18" s="72">
        <f>IF(B18="","",IF(Metodo_Prorrateo="KG",IF(SUMIFS($G$6:$G$305,$D$6:$D$305,D18)=0,0,G18/SUMIFS($G$6:$G$305,$D$6:$D$305,D18)),IF(G18&gt;0,1/COUNTIFS($D$6:$D$305,D18,$G$6:$G$305,"&gt;0"),0)))</f>
      </c>
      <c r="BV18" s="37">
        <f>IF(B18="","",IF(BP18=0,0,INDEX(COSTOS_FIJOS!$G$39:$AD$39,BP18))*BU18)</f>
      </c>
      <c r="BW18" s="72">
        <f>IF(B18="","",IF(Metodo_Prorrateo="KG",IF(SUMIFS($H$6:$H$305,$D$6:$D$305,D18)=0,0,H18/SUMIFS($H$6:$H$305,$D$6:$D$305,D18)),IF(H18&gt;0,1/COUNTIFS($D$6:$D$305,D18,$H$6:$H$305,"&gt;0"),0)))</f>
      </c>
      <c r="BX18" s="37">
        <f>IF(B18="","",IF(BP18=0,0,INDEX(COSTOS_FIJOS!$G$40:$AD$40,BP18))*BW18)</f>
      </c>
      <c r="BY18" s="72">
        <f>IF(B18="","",IF(Metodo_Prorrateo="KG",IF(SUMIFS($I$6:$I$305,$D$6:$D$305,D18)=0,0,I18/SUMIFS($I$6:$I$305,$D$6:$D$305,D18)),IF(I18&gt;0,1/COUNTIFS($D$6:$D$305,D18,$I$6:$I$305,"&gt;0"),0)))</f>
      </c>
      <c r="BZ18" s="37">
        <f>IF(B18="","",IF(BP18=0,0,INDEX(COSTOS_FIJOS!$G$41:$AD$41,BP18))*BY18)</f>
      </c>
      <c r="CA18" s="70">
        <f>IF(B18="","",BT18+BV18+BX18+BZ18)</f>
      </c>
      <c r="CB18" s="37">
        <f>IF(B18="","",Q18*Imp_Ventas_Serv)</f>
      </c>
      <c r="CC18" s="37">
        <f>IF(B18="","",Q18*Contrib_Territorial)</f>
      </c>
      <c r="CD18" s="70">
        <f>IF(B18="","",BM18-CA18-CB18-CC18)</f>
      </c>
      <c r="CE18" s="37">
        <f>IF(B18="","",MAX(0,CD18)*Imp_Utilidades)</f>
      </c>
      <c r="CF18" s="70">
        <f>IF(B18="","",CD18-CE18)</f>
      </c>
      <c r="CG18" s="72">
        <f>IF(B18="","",IF(Q18=0,0,CF18/Q18))</f>
      </c>
      <c r="CH18" s="73">
        <f>IF(B18="","",IF(J18=0,0,(BL18+CA18+CB18+CC18)/J18))</f>
      </c>
      <c r="CI18" s="73">
        <f>IF(B18="","",IF(J18=0,0,Q18/J18))</f>
      </c>
      <c r="CJ18" s="73">
        <f>IF(B18="","",IF(J18=0,0,CD18/J18))</f>
      </c>
      <c r="CK18" s="37">
        <f>IF(B18="","",Y18+AE18+BK18+BT18)</f>
      </c>
      <c r="CL18" s="37">
        <f>IF(B18="","",IF(J18=0,0,(M18+P18*G18/J18)*(1-Pct_Reclamaciones-Pct_Banco-Imp_Ventas_Serv-Contrib_Territorial)-AI18-BE18-BV18-CK18*G18/J18))</f>
      </c>
      <c r="CM18" s="37">
        <f>IF(B18="","",IF(J18=0,0,(N18+P18*H18/J18)*(1-Pct_Reclamaciones-Pct_Banco-Imp_Ventas_Serv-Contrib_Territorial)-AS18-BF18-BX18-CK18*H18/J18))</f>
      </c>
      <c r="CN18" s="37">
        <f>IF(B18="","",IF(J18=0,0,(O18+P18*I18/J18)*(1-Pct_Reclamaciones-Pct_Banco-Imp_Ventas_Serv-Contrib_Territorial)-BC18-BG18-BZ18-CK18*I18/J18))</f>
      </c>
      <c r="CO18" s="37">
        <f>IF(B18="","",IF(J18=0,0,ROUND(CD18-CL18-CM18-CN18,4)))</f>
      </c>
      <c r="CP18" s="71">
        <f>IF(B18="","",T18+AG18+AK18+AM18+AU18+AW18)</f>
      </c>
      <c r="CQ18" s="71">
        <f>IF(B18="","",U18+AH18+AL18+AN18+AV18+AX18)</f>
      </c>
      <c r="CR18" s="72">
        <f>IF(B18="","",IF(CP18=0,0,CQ18/CP18-1))</f>
      </c>
      <c r="CS18" s="60">
        <f>IF(B18="","",IF(ENTRADA!$Y18="","",ENTRADA!$Y18-C18))</f>
      </c>
      <c r="CT18" s="66">
        <f>IF(B18="","",IF(ENTRADA!$C18="","Falta fecha. ","")&amp;IF(BP18=0,"Mes fuera del rango de COSTOS_FIJOS. ","")&amp;IF(J18=0,"Sin kg. ","")&amp;IF(E18="","Falta transitaria. ","")&amp;IF(AND(T18&gt;0,U18/T18-1&gt;Tolerancia_Comb),"Combustible al puerto "&amp;TEXT(U18/T18-1,"+0%")&amp;" sobre norma. ","")&amp;IF(AND(AG18&gt;0,AH18/AG18-1&gt;Tolerancia_Comb),"Combustible distribución Occidente "&amp;TEXT(AH18/AG18-1,"+0%")&amp;" sobre norma. ","")&amp;IF(AND(AK18&gt;0,AL18/AK18-1&gt;Tolerancia_Comb),"Combustible traslado Centro "&amp;TEXT(AL18/AK18-1,"+0%")&amp;" sobre norma. ","")&amp;IF(AND(AM18&gt;0,AN18/AM18-1&gt;Tolerancia_Comb),"Combustible distribución Centro "&amp;TEXT(AN18/AM18-1,"+0%")&amp;" sobre norma. ","")&amp;IF(AND(AU18&gt;0,AV18/AU18-1&gt;Tolerancia_Comb),"Combustible traslado Oriente "&amp;TEXT(AV18/AU18-1,"+0%")&amp;" sobre norma. ","")&amp;IF(AND(AW18&gt;0,AX18/AW18-1&gt;Tolerancia_Comb),"Combustible distribución Oriente "&amp;TEXT(AX18/AW18-1,"+0%")&amp;" sobre norma. ","")&amp;IF(AND(ENTRADA!$C18&lt;&gt;"",C18&lt;PRECIOS!$A$6),"Fecha anterior a la 1ª vigencia de precios. ","")&amp;IF(CD18&lt;0,"Contenedor con pérdida. ",""))</f>
      </c>
    </row>
    <row r="19">
      <c r="A19" s="60">
        <f>IF(B19="","",ROW()-5)</f>
      </c>
      <c r="B19" s="63">
        <f>IF(ENTRADA!$B19="","",ENTRADA!$B19)</f>
      </c>
      <c r="C19" s="64">
        <f>IF(B19="","",ENTRADA!$C19)</f>
      </c>
      <c r="D19" s="65">
        <f>IF(B19="","",DATE(YEAR(C19),MONTH(C19),1))</f>
      </c>
      <c r="E19" s="66">
        <f>IF(B19="","",ENTRADA!$D19&amp;"")</f>
      </c>
      <c r="F19" s="66">
        <f>IF(B19="","",ENTRADA!$Z19&amp;"")</f>
      </c>
      <c r="G19" s="67">
        <f>IF(B19="","",N(ENTRADA!$G19))</f>
      </c>
      <c r="H19" s="67">
        <f>IF(B19="","",N(ENTRADA!$H19))</f>
      </c>
      <c r="I19" s="67">
        <f>IF(B19="","",N(ENTRADA!$I19))</f>
      </c>
      <c r="J19" s="68">
        <f>IF(B19="","",G19+H19+I19)</f>
      </c>
      <c r="K19" s="60">
        <f>IF(B19="","",IFERROR(MATCH(SUMPRODUCT(MAX((PRECIOS!$A$6:$A$55&lt;=C19)*PRECIOS!$A$6:$A$55)),PRECIOS!$A$6:$A$55,0),1))</f>
      </c>
      <c r="L19" s="69">
        <f>IF(B19="","",INDEX(PRECIOS!$A$6:$A$55,K19))</f>
      </c>
      <c r="M19" s="37">
        <f>IF(B19="","",G19*INDEX(PRECIOS!$B$6:$B$55,K19))</f>
      </c>
      <c r="N19" s="37">
        <f>IF(B19="","",H19*INDEX(PRECIOS!$C$6:$C$55,K19))</f>
      </c>
      <c r="O19" s="37">
        <f>IF(B19="","",I19*INDEX(PRECIOS!$D$6:$D$55,K19))</f>
      </c>
      <c r="P19" s="37">
        <f>IF(B19="","",N(ENTRADA!$X19))</f>
      </c>
      <c r="Q19" s="70">
        <f>IF(B19="","",M19+N19+O19+P19)</f>
      </c>
      <c r="R19" s="71">
        <f>IF(B19="","",IF(ENTRADA!$J19="",Std_Viajes_Puerto,ENTRADA!$J19))</f>
      </c>
      <c r="S19" s="37">
        <f>IF(B19="","",R19*INDEX(PRECIOS!$F$6:$F$55,K19))</f>
      </c>
      <c r="T19" s="71">
        <f>IF(B19="","",R19*Litros_Puerto_Viaje)</f>
      </c>
      <c r="U19" s="71">
        <f>IF(B19="","",IF(ENTRADA!$K19="",T19,ENTRADA!$K19))</f>
      </c>
      <c r="V19" s="37">
        <f>IF(B19="","",U19*INDEX(PRECIOS!$E$6:$E$55,K19))</f>
      </c>
      <c r="W19" s="37">
        <f>IF(B19="","",IF(ENTRADA!$L19="",R19*INDEX(PRECIOS!$G$6:$G$55,K19),ENTRADA!$L19))</f>
      </c>
      <c r="X19" s="37">
        <f>IF(B19="","",R19*Km_Puerto_Viaje*INDEX(PRECIOS!$N$6:$N$55,K19))</f>
      </c>
      <c r="Y19" s="70">
        <f>IF(B19="","",S19+V19+W19+X19)</f>
      </c>
      <c r="Z19" s="71">
        <f>IF(B19="","",IF(J19=0,0,ROUNDUP(J19/Rend_Desagrupe,0)))</f>
      </c>
      <c r="AA19" s="71">
        <f>IF(B19="","",IF(ENTRADA!$M19="",Z19,ENTRADA!$M19))</f>
      </c>
      <c r="AB19" s="37">
        <f>IF(B19="","",AA19*INDEX(PRECIOS!$H$6:$H$55,K19))</f>
      </c>
      <c r="AC19" s="37">
        <f>IF(B19="","",IF(E19="ENCI",INDEX(PRECIOS!$J$6:$J$55,K19),IF(E19="A.V",INDEX(PRECIOS!$K$6:$K$55,K19),0)))</f>
      </c>
      <c r="AD19" s="37">
        <f>IF(B19="","",N(ENTRADA!$N19))</f>
      </c>
      <c r="AE19" s="70">
        <f>IF(B19="","",AB19+AC19+AD19)</f>
      </c>
      <c r="AF19" s="71">
        <f>IF(B19="","",IF(G19=0,0,ROUNDUP(G19/Cap_Camion_OCC,0)))</f>
      </c>
      <c r="AG19" s="71">
        <f>IF(B19="","",AF19*L_Dist_OCC)</f>
      </c>
      <c r="AH19" s="71">
        <f>IF(B19="","",IF(ENTRADA!$O19="",AG19,ENTRADA!$O19))</f>
      </c>
      <c r="AI19" s="37">
        <f>IF(B19="","",AH19*INDEX(PRECIOS!$E$6:$E$55,K19))</f>
      </c>
      <c r="AJ19" s="71">
        <f>IF(B19="","",IF(H19=0,0,ROUNDUP(H19/Cap_Camion_CEN,0)))</f>
      </c>
      <c r="AK19" s="71">
        <f>IF(B19="","",AJ19*L_Tras_CEN)</f>
      </c>
      <c r="AL19" s="71">
        <f>IF(B19="","",IF(ENTRADA!$P19="",AK19,ENTRADA!$P19))</f>
      </c>
      <c r="AM19" s="71">
        <f>IF(B19="","",AJ19*L_Dist_CEN)</f>
      </c>
      <c r="AN19" s="71">
        <f>IF(B19="","",IF(ENTRADA!$Q19="",AM19,ENTRADA!$Q19))</f>
      </c>
      <c r="AO19" s="37">
        <f>IF(B19="","",(AL19+AN19)*INDEX(PRECIOS!$E$6:$E$55,K19))</f>
      </c>
      <c r="AP19" s="71">
        <f>IF(B19="","",IF(H19=0,0,ROUNDUP(H19/Rend_Desagrupe_CT,0)))</f>
      </c>
      <c r="AQ19" s="71">
        <f>IF(B19="","",IF(ENTRADA!$R19="",AP19,ENTRADA!$R19))</f>
      </c>
      <c r="AR19" s="37">
        <f>IF(B19="","",AQ19*INDEX(PRECIOS!$I$6:$I$55,K19))</f>
      </c>
      <c r="AS19" s="37">
        <f>IF(B19="","",AO19+AR19)</f>
      </c>
      <c r="AT19" s="71">
        <f>IF(B19="","",IF(I19=0,0,ROUNDUP(I19/Cap_Camion_ORI,0)))</f>
      </c>
      <c r="AU19" s="71">
        <f>IF(B19="","",AT19*L_Tras_ORI)</f>
      </c>
      <c r="AV19" s="71">
        <f>IF(B19="","",IF(ENTRADA!$S19="",AU19,ENTRADA!$S19))</f>
      </c>
      <c r="AW19" s="71">
        <f>IF(B19="","",AT19*L_Dist_ORI)</f>
      </c>
      <c r="AX19" s="71">
        <f>IF(B19="","",IF(ENTRADA!$T19="",AW19,ENTRADA!$T19))</f>
      </c>
      <c r="AY19" s="37">
        <f>IF(B19="","",(AV19+AX19)*INDEX(PRECIOS!$E$6:$E$55,K19))</f>
      </c>
      <c r="AZ19" s="71">
        <f>IF(B19="","",IF(I19=0,0,ROUNDUP(I19/Rend_Desagrupe_CT,0)))</f>
      </c>
      <c r="BA19" s="71">
        <f>IF(B19="","",IF(ENTRADA!$U19="",AZ19,ENTRADA!$U19))</f>
      </c>
      <c r="BB19" s="37">
        <f>IF(B19="","",BA19*INDEX(PRECIOS!$I$6:$I$55,K19))</f>
      </c>
      <c r="BC19" s="37">
        <f>IF(B19="","",AY19+BB19)</f>
      </c>
      <c r="BD19" s="70">
        <f>IF(B19="","",AI19+AS19+BC19)</f>
      </c>
      <c r="BE19" s="37">
        <f>IF(B19="","",IF(Base_Comision="% DEL INGRESO",M19*INDEX(PRECIOS!$L$6:$L$55,K19),G19*INDEX(PRECIOS!$M$6:$M$55,K19)))</f>
      </c>
      <c r="BF19" s="37">
        <f>IF(B19="","",IF(Base_Comision="% DEL INGRESO",N19*INDEX(PRECIOS!$L$6:$L$55,K19),H19*INDEX(PRECIOS!$M$6:$M$55,K19)))</f>
      </c>
      <c r="BG19" s="37">
        <f>IF(B19="","",IF(Base_Comision="% DEL INGRESO",O19*INDEX(PRECIOS!$L$6:$L$55,K19),I19*INDEX(PRECIOS!$M$6:$M$55,K19)))</f>
      </c>
      <c r="BH19" s="70">
        <f>IF(B19="","",BE19+BF19+BG19)</f>
      </c>
      <c r="BI19" s="37">
        <f>IF(B19="","",Q19*Pct_Reclamaciones)</f>
      </c>
      <c r="BJ19" s="37">
        <f>IF(B19="","",Q19*Pct_Banco)</f>
      </c>
      <c r="BK19" s="37">
        <f>IF(B19="","",N(ENTRADA!$V19))</f>
      </c>
      <c r="BL19" s="70">
        <f>IF(B19="","",Y19+AE19+BD19+BH19+BI19+BJ19+BK19)</f>
      </c>
      <c r="BM19" s="70">
        <f>IF(B19="","",Q19-BL19)</f>
      </c>
      <c r="BN19" s="72">
        <f>IF(B19="","",IF(Q19=0,0,BM19/Q19))</f>
      </c>
      <c r="BO19" s="73">
        <f>IF(B19="","",IF(J19=0,0,BM19/J19))</f>
      </c>
      <c r="BP19" s="60">
        <f>IF(B19="","",IFERROR(MATCH(D19,COSTOS_FIJOS!$G$5:$AD$5,0),0))</f>
      </c>
      <c r="BQ19" s="60">
        <f>IF(B19="","",COUNTIFS($D$6:$D$305,D19))</f>
      </c>
      <c r="BR19" s="67">
        <f>IF(B19="","",SUMIFS($J$6:$J$305,$D$6:$D$305,D19))</f>
      </c>
      <c r="BS19" s="72">
        <f>IF(B19="","",IF(Metodo_Prorrateo="KG",IF(BR19=0,0,J19/BR19),1/BQ19))</f>
      </c>
      <c r="BT19" s="37">
        <f>IF(B19="","",IF(BP19=0,0,INDEX(COSTOS_FIJOS!$G$38:$AD$38,BP19))*BS19)</f>
      </c>
      <c r="BU19" s="72">
        <f>IF(B19="","",IF(Metodo_Prorrateo="KG",IF(SUMIFS($G$6:$G$305,$D$6:$D$305,D19)=0,0,G19/SUMIFS($G$6:$G$305,$D$6:$D$305,D19)),IF(G19&gt;0,1/COUNTIFS($D$6:$D$305,D19,$G$6:$G$305,"&gt;0"),0)))</f>
      </c>
      <c r="BV19" s="37">
        <f>IF(B19="","",IF(BP19=0,0,INDEX(COSTOS_FIJOS!$G$39:$AD$39,BP19))*BU19)</f>
      </c>
      <c r="BW19" s="72">
        <f>IF(B19="","",IF(Metodo_Prorrateo="KG",IF(SUMIFS($H$6:$H$305,$D$6:$D$305,D19)=0,0,H19/SUMIFS($H$6:$H$305,$D$6:$D$305,D19)),IF(H19&gt;0,1/COUNTIFS($D$6:$D$305,D19,$H$6:$H$305,"&gt;0"),0)))</f>
      </c>
      <c r="BX19" s="37">
        <f>IF(B19="","",IF(BP19=0,0,INDEX(COSTOS_FIJOS!$G$40:$AD$40,BP19))*BW19)</f>
      </c>
      <c r="BY19" s="72">
        <f>IF(B19="","",IF(Metodo_Prorrateo="KG",IF(SUMIFS($I$6:$I$305,$D$6:$D$305,D19)=0,0,I19/SUMIFS($I$6:$I$305,$D$6:$D$305,D19)),IF(I19&gt;0,1/COUNTIFS($D$6:$D$305,D19,$I$6:$I$305,"&gt;0"),0)))</f>
      </c>
      <c r="BZ19" s="37">
        <f>IF(B19="","",IF(BP19=0,0,INDEX(COSTOS_FIJOS!$G$41:$AD$41,BP19))*BY19)</f>
      </c>
      <c r="CA19" s="70">
        <f>IF(B19="","",BT19+BV19+BX19+BZ19)</f>
      </c>
      <c r="CB19" s="37">
        <f>IF(B19="","",Q19*Imp_Ventas_Serv)</f>
      </c>
      <c r="CC19" s="37">
        <f>IF(B19="","",Q19*Contrib_Territorial)</f>
      </c>
      <c r="CD19" s="70">
        <f>IF(B19="","",BM19-CA19-CB19-CC19)</f>
      </c>
      <c r="CE19" s="37">
        <f>IF(B19="","",MAX(0,CD19)*Imp_Utilidades)</f>
      </c>
      <c r="CF19" s="70">
        <f>IF(B19="","",CD19-CE19)</f>
      </c>
      <c r="CG19" s="72">
        <f>IF(B19="","",IF(Q19=0,0,CF19/Q19))</f>
      </c>
      <c r="CH19" s="73">
        <f>IF(B19="","",IF(J19=0,0,(BL19+CA19+CB19+CC19)/J19))</f>
      </c>
      <c r="CI19" s="73">
        <f>IF(B19="","",IF(J19=0,0,Q19/J19))</f>
      </c>
      <c r="CJ19" s="73">
        <f>IF(B19="","",IF(J19=0,0,CD19/J19))</f>
      </c>
      <c r="CK19" s="37">
        <f>IF(B19="","",Y19+AE19+BK19+BT19)</f>
      </c>
      <c r="CL19" s="37">
        <f>IF(B19="","",IF(J19=0,0,(M19+P19*G19/J19)*(1-Pct_Reclamaciones-Pct_Banco-Imp_Ventas_Serv-Contrib_Territorial)-AI19-BE19-BV19-CK19*G19/J19))</f>
      </c>
      <c r="CM19" s="37">
        <f>IF(B19="","",IF(J19=0,0,(N19+P19*H19/J19)*(1-Pct_Reclamaciones-Pct_Banco-Imp_Ventas_Serv-Contrib_Territorial)-AS19-BF19-BX19-CK19*H19/J19))</f>
      </c>
      <c r="CN19" s="37">
        <f>IF(B19="","",IF(J19=0,0,(O19+P19*I19/J19)*(1-Pct_Reclamaciones-Pct_Banco-Imp_Ventas_Serv-Contrib_Territorial)-BC19-BG19-BZ19-CK19*I19/J19))</f>
      </c>
      <c r="CO19" s="37">
        <f>IF(B19="","",IF(J19=0,0,ROUND(CD19-CL19-CM19-CN19,4)))</f>
      </c>
      <c r="CP19" s="71">
        <f>IF(B19="","",T19+AG19+AK19+AM19+AU19+AW19)</f>
      </c>
      <c r="CQ19" s="71">
        <f>IF(B19="","",U19+AH19+AL19+AN19+AV19+AX19)</f>
      </c>
      <c r="CR19" s="72">
        <f>IF(B19="","",IF(CP19=0,0,CQ19/CP19-1))</f>
      </c>
      <c r="CS19" s="60">
        <f>IF(B19="","",IF(ENTRADA!$Y19="","",ENTRADA!$Y19-C19))</f>
      </c>
      <c r="CT19" s="66">
        <f>IF(B19="","",IF(ENTRADA!$C19="","Falta fecha. ","")&amp;IF(BP19=0,"Mes fuera del rango de COSTOS_FIJOS. ","")&amp;IF(J19=0,"Sin kg. ","")&amp;IF(E19="","Falta transitaria. ","")&amp;IF(AND(T19&gt;0,U19/T19-1&gt;Tolerancia_Comb),"Combustible al puerto "&amp;TEXT(U19/T19-1,"+0%")&amp;" sobre norma. ","")&amp;IF(AND(AG19&gt;0,AH19/AG19-1&gt;Tolerancia_Comb),"Combustible distribución Occidente "&amp;TEXT(AH19/AG19-1,"+0%")&amp;" sobre norma. ","")&amp;IF(AND(AK19&gt;0,AL19/AK19-1&gt;Tolerancia_Comb),"Combustible traslado Centro "&amp;TEXT(AL19/AK19-1,"+0%")&amp;" sobre norma. ","")&amp;IF(AND(AM19&gt;0,AN19/AM19-1&gt;Tolerancia_Comb),"Combustible distribución Centro "&amp;TEXT(AN19/AM19-1,"+0%")&amp;" sobre norma. ","")&amp;IF(AND(AU19&gt;0,AV19/AU19-1&gt;Tolerancia_Comb),"Combustible traslado Oriente "&amp;TEXT(AV19/AU19-1,"+0%")&amp;" sobre norma. ","")&amp;IF(AND(AW19&gt;0,AX19/AW19-1&gt;Tolerancia_Comb),"Combustible distribución Oriente "&amp;TEXT(AX19/AW19-1,"+0%")&amp;" sobre norma. ","")&amp;IF(AND(ENTRADA!$C19&lt;&gt;"",C19&lt;PRECIOS!$A$6),"Fecha anterior a la 1ª vigencia de precios. ","")&amp;IF(CD19&lt;0,"Contenedor con pérdida. ",""))</f>
      </c>
    </row>
    <row r="20">
      <c r="A20" s="60">
        <f>IF(B20="","",ROW()-5)</f>
      </c>
      <c r="B20" s="63">
        <f>IF(ENTRADA!$B20="","",ENTRADA!$B20)</f>
      </c>
      <c r="C20" s="64">
        <f>IF(B20="","",ENTRADA!$C20)</f>
      </c>
      <c r="D20" s="65">
        <f>IF(B20="","",DATE(YEAR(C20),MONTH(C20),1))</f>
      </c>
      <c r="E20" s="66">
        <f>IF(B20="","",ENTRADA!$D20&amp;"")</f>
      </c>
      <c r="F20" s="66">
        <f>IF(B20="","",ENTRADA!$Z20&amp;"")</f>
      </c>
      <c r="G20" s="67">
        <f>IF(B20="","",N(ENTRADA!$G20))</f>
      </c>
      <c r="H20" s="67">
        <f>IF(B20="","",N(ENTRADA!$H20))</f>
      </c>
      <c r="I20" s="67">
        <f>IF(B20="","",N(ENTRADA!$I20))</f>
      </c>
      <c r="J20" s="68">
        <f>IF(B20="","",G20+H20+I20)</f>
      </c>
      <c r="K20" s="60">
        <f>IF(B20="","",IFERROR(MATCH(SUMPRODUCT(MAX((PRECIOS!$A$6:$A$55&lt;=C20)*PRECIOS!$A$6:$A$55)),PRECIOS!$A$6:$A$55,0),1))</f>
      </c>
      <c r="L20" s="69">
        <f>IF(B20="","",INDEX(PRECIOS!$A$6:$A$55,K20))</f>
      </c>
      <c r="M20" s="37">
        <f>IF(B20="","",G20*INDEX(PRECIOS!$B$6:$B$55,K20))</f>
      </c>
      <c r="N20" s="37">
        <f>IF(B20="","",H20*INDEX(PRECIOS!$C$6:$C$55,K20))</f>
      </c>
      <c r="O20" s="37">
        <f>IF(B20="","",I20*INDEX(PRECIOS!$D$6:$D$55,K20))</f>
      </c>
      <c r="P20" s="37">
        <f>IF(B20="","",N(ENTRADA!$X20))</f>
      </c>
      <c r="Q20" s="70">
        <f>IF(B20="","",M20+N20+O20+P20)</f>
      </c>
      <c r="R20" s="71">
        <f>IF(B20="","",IF(ENTRADA!$J20="",Std_Viajes_Puerto,ENTRADA!$J20))</f>
      </c>
      <c r="S20" s="37">
        <f>IF(B20="","",R20*INDEX(PRECIOS!$F$6:$F$55,K20))</f>
      </c>
      <c r="T20" s="71">
        <f>IF(B20="","",R20*Litros_Puerto_Viaje)</f>
      </c>
      <c r="U20" s="71">
        <f>IF(B20="","",IF(ENTRADA!$K20="",T20,ENTRADA!$K20))</f>
      </c>
      <c r="V20" s="37">
        <f>IF(B20="","",U20*INDEX(PRECIOS!$E$6:$E$55,K20))</f>
      </c>
      <c r="W20" s="37">
        <f>IF(B20="","",IF(ENTRADA!$L20="",R20*INDEX(PRECIOS!$G$6:$G$55,K20),ENTRADA!$L20))</f>
      </c>
      <c r="X20" s="37">
        <f>IF(B20="","",R20*Km_Puerto_Viaje*INDEX(PRECIOS!$N$6:$N$55,K20))</f>
      </c>
      <c r="Y20" s="70">
        <f>IF(B20="","",S20+V20+W20+X20)</f>
      </c>
      <c r="Z20" s="71">
        <f>IF(B20="","",IF(J20=0,0,ROUNDUP(J20/Rend_Desagrupe,0)))</f>
      </c>
      <c r="AA20" s="71">
        <f>IF(B20="","",IF(ENTRADA!$M20="",Z20,ENTRADA!$M20))</f>
      </c>
      <c r="AB20" s="37">
        <f>IF(B20="","",AA20*INDEX(PRECIOS!$H$6:$H$55,K20))</f>
      </c>
      <c r="AC20" s="37">
        <f>IF(B20="","",IF(E20="ENCI",INDEX(PRECIOS!$J$6:$J$55,K20),IF(E20="A.V",INDEX(PRECIOS!$K$6:$K$55,K20),0)))</f>
      </c>
      <c r="AD20" s="37">
        <f>IF(B20="","",N(ENTRADA!$N20))</f>
      </c>
      <c r="AE20" s="70">
        <f>IF(B20="","",AB20+AC20+AD20)</f>
      </c>
      <c r="AF20" s="71">
        <f>IF(B20="","",IF(G20=0,0,ROUNDUP(G20/Cap_Camion_OCC,0)))</f>
      </c>
      <c r="AG20" s="71">
        <f>IF(B20="","",AF20*L_Dist_OCC)</f>
      </c>
      <c r="AH20" s="71">
        <f>IF(B20="","",IF(ENTRADA!$O20="",AG20,ENTRADA!$O20))</f>
      </c>
      <c r="AI20" s="37">
        <f>IF(B20="","",AH20*INDEX(PRECIOS!$E$6:$E$55,K20))</f>
      </c>
      <c r="AJ20" s="71">
        <f>IF(B20="","",IF(H20=0,0,ROUNDUP(H20/Cap_Camion_CEN,0)))</f>
      </c>
      <c r="AK20" s="71">
        <f>IF(B20="","",AJ20*L_Tras_CEN)</f>
      </c>
      <c r="AL20" s="71">
        <f>IF(B20="","",IF(ENTRADA!$P20="",AK20,ENTRADA!$P20))</f>
      </c>
      <c r="AM20" s="71">
        <f>IF(B20="","",AJ20*L_Dist_CEN)</f>
      </c>
      <c r="AN20" s="71">
        <f>IF(B20="","",IF(ENTRADA!$Q20="",AM20,ENTRADA!$Q20))</f>
      </c>
      <c r="AO20" s="37">
        <f>IF(B20="","",(AL20+AN20)*INDEX(PRECIOS!$E$6:$E$55,K20))</f>
      </c>
      <c r="AP20" s="71">
        <f>IF(B20="","",IF(H20=0,0,ROUNDUP(H20/Rend_Desagrupe_CT,0)))</f>
      </c>
      <c r="AQ20" s="71">
        <f>IF(B20="","",IF(ENTRADA!$R20="",AP20,ENTRADA!$R20))</f>
      </c>
      <c r="AR20" s="37">
        <f>IF(B20="","",AQ20*INDEX(PRECIOS!$I$6:$I$55,K20))</f>
      </c>
      <c r="AS20" s="37">
        <f>IF(B20="","",AO20+AR20)</f>
      </c>
      <c r="AT20" s="71">
        <f>IF(B20="","",IF(I20=0,0,ROUNDUP(I20/Cap_Camion_ORI,0)))</f>
      </c>
      <c r="AU20" s="71">
        <f>IF(B20="","",AT20*L_Tras_ORI)</f>
      </c>
      <c r="AV20" s="71">
        <f>IF(B20="","",IF(ENTRADA!$S20="",AU20,ENTRADA!$S20))</f>
      </c>
      <c r="AW20" s="71">
        <f>IF(B20="","",AT20*L_Dist_ORI)</f>
      </c>
      <c r="AX20" s="71">
        <f>IF(B20="","",IF(ENTRADA!$T20="",AW20,ENTRADA!$T20))</f>
      </c>
      <c r="AY20" s="37">
        <f>IF(B20="","",(AV20+AX20)*INDEX(PRECIOS!$E$6:$E$55,K20))</f>
      </c>
      <c r="AZ20" s="71">
        <f>IF(B20="","",IF(I20=0,0,ROUNDUP(I20/Rend_Desagrupe_CT,0)))</f>
      </c>
      <c r="BA20" s="71">
        <f>IF(B20="","",IF(ENTRADA!$U20="",AZ20,ENTRADA!$U20))</f>
      </c>
      <c r="BB20" s="37">
        <f>IF(B20="","",BA20*INDEX(PRECIOS!$I$6:$I$55,K20))</f>
      </c>
      <c r="BC20" s="37">
        <f>IF(B20="","",AY20+BB20)</f>
      </c>
      <c r="BD20" s="70">
        <f>IF(B20="","",AI20+AS20+BC20)</f>
      </c>
      <c r="BE20" s="37">
        <f>IF(B20="","",IF(Base_Comision="% DEL INGRESO",M20*INDEX(PRECIOS!$L$6:$L$55,K20),G20*INDEX(PRECIOS!$M$6:$M$55,K20)))</f>
      </c>
      <c r="BF20" s="37">
        <f>IF(B20="","",IF(Base_Comision="% DEL INGRESO",N20*INDEX(PRECIOS!$L$6:$L$55,K20),H20*INDEX(PRECIOS!$M$6:$M$55,K20)))</f>
      </c>
      <c r="BG20" s="37">
        <f>IF(B20="","",IF(Base_Comision="% DEL INGRESO",O20*INDEX(PRECIOS!$L$6:$L$55,K20),I20*INDEX(PRECIOS!$M$6:$M$55,K20)))</f>
      </c>
      <c r="BH20" s="70">
        <f>IF(B20="","",BE20+BF20+BG20)</f>
      </c>
      <c r="BI20" s="37">
        <f>IF(B20="","",Q20*Pct_Reclamaciones)</f>
      </c>
      <c r="BJ20" s="37">
        <f>IF(B20="","",Q20*Pct_Banco)</f>
      </c>
      <c r="BK20" s="37">
        <f>IF(B20="","",N(ENTRADA!$V20))</f>
      </c>
      <c r="BL20" s="70">
        <f>IF(B20="","",Y20+AE20+BD20+BH20+BI20+BJ20+BK20)</f>
      </c>
      <c r="BM20" s="70">
        <f>IF(B20="","",Q20-BL20)</f>
      </c>
      <c r="BN20" s="72">
        <f>IF(B20="","",IF(Q20=0,0,BM20/Q20))</f>
      </c>
      <c r="BO20" s="73">
        <f>IF(B20="","",IF(J20=0,0,BM20/J20))</f>
      </c>
      <c r="BP20" s="60">
        <f>IF(B20="","",IFERROR(MATCH(D20,COSTOS_FIJOS!$G$5:$AD$5,0),0))</f>
      </c>
      <c r="BQ20" s="60">
        <f>IF(B20="","",COUNTIFS($D$6:$D$305,D20))</f>
      </c>
      <c r="BR20" s="67">
        <f>IF(B20="","",SUMIFS($J$6:$J$305,$D$6:$D$305,D20))</f>
      </c>
      <c r="BS20" s="72">
        <f>IF(B20="","",IF(Metodo_Prorrateo="KG",IF(BR20=0,0,J20/BR20),1/BQ20))</f>
      </c>
      <c r="BT20" s="37">
        <f>IF(B20="","",IF(BP20=0,0,INDEX(COSTOS_FIJOS!$G$38:$AD$38,BP20))*BS20)</f>
      </c>
      <c r="BU20" s="72">
        <f>IF(B20="","",IF(Metodo_Prorrateo="KG",IF(SUMIFS($G$6:$G$305,$D$6:$D$305,D20)=0,0,G20/SUMIFS($G$6:$G$305,$D$6:$D$305,D20)),IF(G20&gt;0,1/COUNTIFS($D$6:$D$305,D20,$G$6:$G$305,"&gt;0"),0)))</f>
      </c>
      <c r="BV20" s="37">
        <f>IF(B20="","",IF(BP20=0,0,INDEX(COSTOS_FIJOS!$G$39:$AD$39,BP20))*BU20)</f>
      </c>
      <c r="BW20" s="72">
        <f>IF(B20="","",IF(Metodo_Prorrateo="KG",IF(SUMIFS($H$6:$H$305,$D$6:$D$305,D20)=0,0,H20/SUMIFS($H$6:$H$305,$D$6:$D$305,D20)),IF(H20&gt;0,1/COUNTIFS($D$6:$D$305,D20,$H$6:$H$305,"&gt;0"),0)))</f>
      </c>
      <c r="BX20" s="37">
        <f>IF(B20="","",IF(BP20=0,0,INDEX(COSTOS_FIJOS!$G$40:$AD$40,BP20))*BW20)</f>
      </c>
      <c r="BY20" s="72">
        <f>IF(B20="","",IF(Metodo_Prorrateo="KG",IF(SUMIFS($I$6:$I$305,$D$6:$D$305,D20)=0,0,I20/SUMIFS($I$6:$I$305,$D$6:$D$305,D20)),IF(I20&gt;0,1/COUNTIFS($D$6:$D$305,D20,$I$6:$I$305,"&gt;0"),0)))</f>
      </c>
      <c r="BZ20" s="37">
        <f>IF(B20="","",IF(BP20=0,0,INDEX(COSTOS_FIJOS!$G$41:$AD$41,BP20))*BY20)</f>
      </c>
      <c r="CA20" s="70">
        <f>IF(B20="","",BT20+BV20+BX20+BZ20)</f>
      </c>
      <c r="CB20" s="37">
        <f>IF(B20="","",Q20*Imp_Ventas_Serv)</f>
      </c>
      <c r="CC20" s="37">
        <f>IF(B20="","",Q20*Contrib_Territorial)</f>
      </c>
      <c r="CD20" s="70">
        <f>IF(B20="","",BM20-CA20-CB20-CC20)</f>
      </c>
      <c r="CE20" s="37">
        <f>IF(B20="","",MAX(0,CD20)*Imp_Utilidades)</f>
      </c>
      <c r="CF20" s="70">
        <f>IF(B20="","",CD20-CE20)</f>
      </c>
      <c r="CG20" s="72">
        <f>IF(B20="","",IF(Q20=0,0,CF20/Q20))</f>
      </c>
      <c r="CH20" s="73">
        <f>IF(B20="","",IF(J20=0,0,(BL20+CA20+CB20+CC20)/J20))</f>
      </c>
      <c r="CI20" s="73">
        <f>IF(B20="","",IF(J20=0,0,Q20/J20))</f>
      </c>
      <c r="CJ20" s="73">
        <f>IF(B20="","",IF(J20=0,0,CD20/J20))</f>
      </c>
      <c r="CK20" s="37">
        <f>IF(B20="","",Y20+AE20+BK20+BT20)</f>
      </c>
      <c r="CL20" s="37">
        <f>IF(B20="","",IF(J20=0,0,(M20+P20*G20/J20)*(1-Pct_Reclamaciones-Pct_Banco-Imp_Ventas_Serv-Contrib_Territorial)-AI20-BE20-BV20-CK20*G20/J20))</f>
      </c>
      <c r="CM20" s="37">
        <f>IF(B20="","",IF(J20=0,0,(N20+P20*H20/J20)*(1-Pct_Reclamaciones-Pct_Banco-Imp_Ventas_Serv-Contrib_Territorial)-AS20-BF20-BX20-CK20*H20/J20))</f>
      </c>
      <c r="CN20" s="37">
        <f>IF(B20="","",IF(J20=0,0,(O20+P20*I20/J20)*(1-Pct_Reclamaciones-Pct_Banco-Imp_Ventas_Serv-Contrib_Territorial)-BC20-BG20-BZ20-CK20*I20/J20))</f>
      </c>
      <c r="CO20" s="37">
        <f>IF(B20="","",IF(J20=0,0,ROUND(CD20-CL20-CM20-CN20,4)))</f>
      </c>
      <c r="CP20" s="71">
        <f>IF(B20="","",T20+AG20+AK20+AM20+AU20+AW20)</f>
      </c>
      <c r="CQ20" s="71">
        <f>IF(B20="","",U20+AH20+AL20+AN20+AV20+AX20)</f>
      </c>
      <c r="CR20" s="72">
        <f>IF(B20="","",IF(CP20=0,0,CQ20/CP20-1))</f>
      </c>
      <c r="CS20" s="60">
        <f>IF(B20="","",IF(ENTRADA!$Y20="","",ENTRADA!$Y20-C20))</f>
      </c>
      <c r="CT20" s="66">
        <f>IF(B20="","",IF(ENTRADA!$C20="","Falta fecha. ","")&amp;IF(BP20=0,"Mes fuera del rango de COSTOS_FIJOS. ","")&amp;IF(J20=0,"Sin kg. ","")&amp;IF(E20="","Falta transitaria. ","")&amp;IF(AND(T20&gt;0,U20/T20-1&gt;Tolerancia_Comb),"Combustible al puerto "&amp;TEXT(U20/T20-1,"+0%")&amp;" sobre norma. ","")&amp;IF(AND(AG20&gt;0,AH20/AG20-1&gt;Tolerancia_Comb),"Combustible distribución Occidente "&amp;TEXT(AH20/AG20-1,"+0%")&amp;" sobre norma. ","")&amp;IF(AND(AK20&gt;0,AL20/AK20-1&gt;Tolerancia_Comb),"Combustible traslado Centro "&amp;TEXT(AL20/AK20-1,"+0%")&amp;" sobre norma. ","")&amp;IF(AND(AM20&gt;0,AN20/AM20-1&gt;Tolerancia_Comb),"Combustible distribución Centro "&amp;TEXT(AN20/AM20-1,"+0%")&amp;" sobre norma. ","")&amp;IF(AND(AU20&gt;0,AV20/AU20-1&gt;Tolerancia_Comb),"Combustible traslado Oriente "&amp;TEXT(AV20/AU20-1,"+0%")&amp;" sobre norma. ","")&amp;IF(AND(AW20&gt;0,AX20/AW20-1&gt;Tolerancia_Comb),"Combustible distribución Oriente "&amp;TEXT(AX20/AW20-1,"+0%")&amp;" sobre norma. ","")&amp;IF(AND(ENTRADA!$C20&lt;&gt;"",C20&lt;PRECIOS!$A$6),"Fecha anterior a la 1ª vigencia de precios. ","")&amp;IF(CD20&lt;0,"Contenedor con pérdida. ",""))</f>
      </c>
    </row>
    <row r="21">
      <c r="A21" s="60">
        <f>IF(B21="","",ROW()-5)</f>
      </c>
      <c r="B21" s="63">
        <f>IF(ENTRADA!$B21="","",ENTRADA!$B21)</f>
      </c>
      <c r="C21" s="64">
        <f>IF(B21="","",ENTRADA!$C21)</f>
      </c>
      <c r="D21" s="65">
        <f>IF(B21="","",DATE(YEAR(C21),MONTH(C21),1))</f>
      </c>
      <c r="E21" s="66">
        <f>IF(B21="","",ENTRADA!$D21&amp;"")</f>
      </c>
      <c r="F21" s="66">
        <f>IF(B21="","",ENTRADA!$Z21&amp;"")</f>
      </c>
      <c r="G21" s="67">
        <f>IF(B21="","",N(ENTRADA!$G21))</f>
      </c>
      <c r="H21" s="67">
        <f>IF(B21="","",N(ENTRADA!$H21))</f>
      </c>
      <c r="I21" s="67">
        <f>IF(B21="","",N(ENTRADA!$I21))</f>
      </c>
      <c r="J21" s="68">
        <f>IF(B21="","",G21+H21+I21)</f>
      </c>
      <c r="K21" s="60">
        <f>IF(B21="","",IFERROR(MATCH(SUMPRODUCT(MAX((PRECIOS!$A$6:$A$55&lt;=C21)*PRECIOS!$A$6:$A$55)),PRECIOS!$A$6:$A$55,0),1))</f>
      </c>
      <c r="L21" s="69">
        <f>IF(B21="","",INDEX(PRECIOS!$A$6:$A$55,K21))</f>
      </c>
      <c r="M21" s="37">
        <f>IF(B21="","",G21*INDEX(PRECIOS!$B$6:$B$55,K21))</f>
      </c>
      <c r="N21" s="37">
        <f>IF(B21="","",H21*INDEX(PRECIOS!$C$6:$C$55,K21))</f>
      </c>
      <c r="O21" s="37">
        <f>IF(B21="","",I21*INDEX(PRECIOS!$D$6:$D$55,K21))</f>
      </c>
      <c r="P21" s="37">
        <f>IF(B21="","",N(ENTRADA!$X21))</f>
      </c>
      <c r="Q21" s="70">
        <f>IF(B21="","",M21+N21+O21+P21)</f>
      </c>
      <c r="R21" s="71">
        <f>IF(B21="","",IF(ENTRADA!$J21="",Std_Viajes_Puerto,ENTRADA!$J21))</f>
      </c>
      <c r="S21" s="37">
        <f>IF(B21="","",R21*INDEX(PRECIOS!$F$6:$F$55,K21))</f>
      </c>
      <c r="T21" s="71">
        <f>IF(B21="","",R21*Litros_Puerto_Viaje)</f>
      </c>
      <c r="U21" s="71">
        <f>IF(B21="","",IF(ENTRADA!$K21="",T21,ENTRADA!$K21))</f>
      </c>
      <c r="V21" s="37">
        <f>IF(B21="","",U21*INDEX(PRECIOS!$E$6:$E$55,K21))</f>
      </c>
      <c r="W21" s="37">
        <f>IF(B21="","",IF(ENTRADA!$L21="",R21*INDEX(PRECIOS!$G$6:$G$55,K21),ENTRADA!$L21))</f>
      </c>
      <c r="X21" s="37">
        <f>IF(B21="","",R21*Km_Puerto_Viaje*INDEX(PRECIOS!$N$6:$N$55,K21))</f>
      </c>
      <c r="Y21" s="70">
        <f>IF(B21="","",S21+V21+W21+X21)</f>
      </c>
      <c r="Z21" s="71">
        <f>IF(B21="","",IF(J21=0,0,ROUNDUP(J21/Rend_Desagrupe,0)))</f>
      </c>
      <c r="AA21" s="71">
        <f>IF(B21="","",IF(ENTRADA!$M21="",Z21,ENTRADA!$M21))</f>
      </c>
      <c r="AB21" s="37">
        <f>IF(B21="","",AA21*INDEX(PRECIOS!$H$6:$H$55,K21))</f>
      </c>
      <c r="AC21" s="37">
        <f>IF(B21="","",IF(E21="ENCI",INDEX(PRECIOS!$J$6:$J$55,K21),IF(E21="A.V",INDEX(PRECIOS!$K$6:$K$55,K21),0)))</f>
      </c>
      <c r="AD21" s="37">
        <f>IF(B21="","",N(ENTRADA!$N21))</f>
      </c>
      <c r="AE21" s="70">
        <f>IF(B21="","",AB21+AC21+AD21)</f>
      </c>
      <c r="AF21" s="71">
        <f>IF(B21="","",IF(G21=0,0,ROUNDUP(G21/Cap_Camion_OCC,0)))</f>
      </c>
      <c r="AG21" s="71">
        <f>IF(B21="","",AF21*L_Dist_OCC)</f>
      </c>
      <c r="AH21" s="71">
        <f>IF(B21="","",IF(ENTRADA!$O21="",AG21,ENTRADA!$O21))</f>
      </c>
      <c r="AI21" s="37">
        <f>IF(B21="","",AH21*INDEX(PRECIOS!$E$6:$E$55,K21))</f>
      </c>
      <c r="AJ21" s="71">
        <f>IF(B21="","",IF(H21=0,0,ROUNDUP(H21/Cap_Camion_CEN,0)))</f>
      </c>
      <c r="AK21" s="71">
        <f>IF(B21="","",AJ21*L_Tras_CEN)</f>
      </c>
      <c r="AL21" s="71">
        <f>IF(B21="","",IF(ENTRADA!$P21="",AK21,ENTRADA!$P21))</f>
      </c>
      <c r="AM21" s="71">
        <f>IF(B21="","",AJ21*L_Dist_CEN)</f>
      </c>
      <c r="AN21" s="71">
        <f>IF(B21="","",IF(ENTRADA!$Q21="",AM21,ENTRADA!$Q21))</f>
      </c>
      <c r="AO21" s="37">
        <f>IF(B21="","",(AL21+AN21)*INDEX(PRECIOS!$E$6:$E$55,K21))</f>
      </c>
      <c r="AP21" s="71">
        <f>IF(B21="","",IF(H21=0,0,ROUNDUP(H21/Rend_Desagrupe_CT,0)))</f>
      </c>
      <c r="AQ21" s="71">
        <f>IF(B21="","",IF(ENTRADA!$R21="",AP21,ENTRADA!$R21))</f>
      </c>
      <c r="AR21" s="37">
        <f>IF(B21="","",AQ21*INDEX(PRECIOS!$I$6:$I$55,K21))</f>
      </c>
      <c r="AS21" s="37">
        <f>IF(B21="","",AO21+AR21)</f>
      </c>
      <c r="AT21" s="71">
        <f>IF(B21="","",IF(I21=0,0,ROUNDUP(I21/Cap_Camion_ORI,0)))</f>
      </c>
      <c r="AU21" s="71">
        <f>IF(B21="","",AT21*L_Tras_ORI)</f>
      </c>
      <c r="AV21" s="71">
        <f>IF(B21="","",IF(ENTRADA!$S21="",AU21,ENTRADA!$S21))</f>
      </c>
      <c r="AW21" s="71">
        <f>IF(B21="","",AT21*L_Dist_ORI)</f>
      </c>
      <c r="AX21" s="71">
        <f>IF(B21="","",IF(ENTRADA!$T21="",AW21,ENTRADA!$T21))</f>
      </c>
      <c r="AY21" s="37">
        <f>IF(B21="","",(AV21+AX21)*INDEX(PRECIOS!$E$6:$E$55,K21))</f>
      </c>
      <c r="AZ21" s="71">
        <f>IF(B21="","",IF(I21=0,0,ROUNDUP(I21/Rend_Desagrupe_CT,0)))</f>
      </c>
      <c r="BA21" s="71">
        <f>IF(B21="","",IF(ENTRADA!$U21="",AZ21,ENTRADA!$U21))</f>
      </c>
      <c r="BB21" s="37">
        <f>IF(B21="","",BA21*INDEX(PRECIOS!$I$6:$I$55,K21))</f>
      </c>
      <c r="BC21" s="37">
        <f>IF(B21="","",AY21+BB21)</f>
      </c>
      <c r="BD21" s="70">
        <f>IF(B21="","",AI21+AS21+BC21)</f>
      </c>
      <c r="BE21" s="37">
        <f>IF(B21="","",IF(Base_Comision="% DEL INGRESO",M21*INDEX(PRECIOS!$L$6:$L$55,K21),G21*INDEX(PRECIOS!$M$6:$M$55,K21)))</f>
      </c>
      <c r="BF21" s="37">
        <f>IF(B21="","",IF(Base_Comision="% DEL INGRESO",N21*INDEX(PRECIOS!$L$6:$L$55,K21),H21*INDEX(PRECIOS!$M$6:$M$55,K21)))</f>
      </c>
      <c r="BG21" s="37">
        <f>IF(B21="","",IF(Base_Comision="% DEL INGRESO",O21*INDEX(PRECIOS!$L$6:$L$55,K21),I21*INDEX(PRECIOS!$M$6:$M$55,K21)))</f>
      </c>
      <c r="BH21" s="70">
        <f>IF(B21="","",BE21+BF21+BG21)</f>
      </c>
      <c r="BI21" s="37">
        <f>IF(B21="","",Q21*Pct_Reclamaciones)</f>
      </c>
      <c r="BJ21" s="37">
        <f>IF(B21="","",Q21*Pct_Banco)</f>
      </c>
      <c r="BK21" s="37">
        <f>IF(B21="","",N(ENTRADA!$V21))</f>
      </c>
      <c r="BL21" s="70">
        <f>IF(B21="","",Y21+AE21+BD21+BH21+BI21+BJ21+BK21)</f>
      </c>
      <c r="BM21" s="70">
        <f>IF(B21="","",Q21-BL21)</f>
      </c>
      <c r="BN21" s="72">
        <f>IF(B21="","",IF(Q21=0,0,BM21/Q21))</f>
      </c>
      <c r="BO21" s="73">
        <f>IF(B21="","",IF(J21=0,0,BM21/J21))</f>
      </c>
      <c r="BP21" s="60">
        <f>IF(B21="","",IFERROR(MATCH(D21,COSTOS_FIJOS!$G$5:$AD$5,0),0))</f>
      </c>
      <c r="BQ21" s="60">
        <f>IF(B21="","",COUNTIFS($D$6:$D$305,D21))</f>
      </c>
      <c r="BR21" s="67">
        <f>IF(B21="","",SUMIFS($J$6:$J$305,$D$6:$D$305,D21))</f>
      </c>
      <c r="BS21" s="72">
        <f>IF(B21="","",IF(Metodo_Prorrateo="KG",IF(BR21=0,0,J21/BR21),1/BQ21))</f>
      </c>
      <c r="BT21" s="37">
        <f>IF(B21="","",IF(BP21=0,0,INDEX(COSTOS_FIJOS!$G$38:$AD$38,BP21))*BS21)</f>
      </c>
      <c r="BU21" s="72">
        <f>IF(B21="","",IF(Metodo_Prorrateo="KG",IF(SUMIFS($G$6:$G$305,$D$6:$D$305,D21)=0,0,G21/SUMIFS($G$6:$G$305,$D$6:$D$305,D21)),IF(G21&gt;0,1/COUNTIFS($D$6:$D$305,D21,$G$6:$G$305,"&gt;0"),0)))</f>
      </c>
      <c r="BV21" s="37">
        <f>IF(B21="","",IF(BP21=0,0,INDEX(COSTOS_FIJOS!$G$39:$AD$39,BP21))*BU21)</f>
      </c>
      <c r="BW21" s="72">
        <f>IF(B21="","",IF(Metodo_Prorrateo="KG",IF(SUMIFS($H$6:$H$305,$D$6:$D$305,D21)=0,0,H21/SUMIFS($H$6:$H$305,$D$6:$D$305,D21)),IF(H21&gt;0,1/COUNTIFS($D$6:$D$305,D21,$H$6:$H$305,"&gt;0"),0)))</f>
      </c>
      <c r="BX21" s="37">
        <f>IF(B21="","",IF(BP21=0,0,INDEX(COSTOS_FIJOS!$G$40:$AD$40,BP21))*BW21)</f>
      </c>
      <c r="BY21" s="72">
        <f>IF(B21="","",IF(Metodo_Prorrateo="KG",IF(SUMIFS($I$6:$I$305,$D$6:$D$305,D21)=0,0,I21/SUMIFS($I$6:$I$305,$D$6:$D$305,D21)),IF(I21&gt;0,1/COUNTIFS($D$6:$D$305,D21,$I$6:$I$305,"&gt;0"),0)))</f>
      </c>
      <c r="BZ21" s="37">
        <f>IF(B21="","",IF(BP21=0,0,INDEX(COSTOS_FIJOS!$G$41:$AD$41,BP21))*BY21)</f>
      </c>
      <c r="CA21" s="70">
        <f>IF(B21="","",BT21+BV21+BX21+BZ21)</f>
      </c>
      <c r="CB21" s="37">
        <f>IF(B21="","",Q21*Imp_Ventas_Serv)</f>
      </c>
      <c r="CC21" s="37">
        <f>IF(B21="","",Q21*Contrib_Territorial)</f>
      </c>
      <c r="CD21" s="70">
        <f>IF(B21="","",BM21-CA21-CB21-CC21)</f>
      </c>
      <c r="CE21" s="37">
        <f>IF(B21="","",MAX(0,CD21)*Imp_Utilidades)</f>
      </c>
      <c r="CF21" s="70">
        <f>IF(B21="","",CD21-CE21)</f>
      </c>
      <c r="CG21" s="72">
        <f>IF(B21="","",IF(Q21=0,0,CF21/Q21))</f>
      </c>
      <c r="CH21" s="73">
        <f>IF(B21="","",IF(J21=0,0,(BL21+CA21+CB21+CC21)/J21))</f>
      </c>
      <c r="CI21" s="73">
        <f>IF(B21="","",IF(J21=0,0,Q21/J21))</f>
      </c>
      <c r="CJ21" s="73">
        <f>IF(B21="","",IF(J21=0,0,CD21/J21))</f>
      </c>
      <c r="CK21" s="37">
        <f>IF(B21="","",Y21+AE21+BK21+BT21)</f>
      </c>
      <c r="CL21" s="37">
        <f>IF(B21="","",IF(J21=0,0,(M21+P21*G21/J21)*(1-Pct_Reclamaciones-Pct_Banco-Imp_Ventas_Serv-Contrib_Territorial)-AI21-BE21-BV21-CK21*G21/J21))</f>
      </c>
      <c r="CM21" s="37">
        <f>IF(B21="","",IF(J21=0,0,(N21+P21*H21/J21)*(1-Pct_Reclamaciones-Pct_Banco-Imp_Ventas_Serv-Contrib_Territorial)-AS21-BF21-BX21-CK21*H21/J21))</f>
      </c>
      <c r="CN21" s="37">
        <f>IF(B21="","",IF(J21=0,0,(O21+P21*I21/J21)*(1-Pct_Reclamaciones-Pct_Banco-Imp_Ventas_Serv-Contrib_Territorial)-BC21-BG21-BZ21-CK21*I21/J21))</f>
      </c>
      <c r="CO21" s="37">
        <f>IF(B21="","",IF(J21=0,0,ROUND(CD21-CL21-CM21-CN21,4)))</f>
      </c>
      <c r="CP21" s="71">
        <f>IF(B21="","",T21+AG21+AK21+AM21+AU21+AW21)</f>
      </c>
      <c r="CQ21" s="71">
        <f>IF(B21="","",U21+AH21+AL21+AN21+AV21+AX21)</f>
      </c>
      <c r="CR21" s="72">
        <f>IF(B21="","",IF(CP21=0,0,CQ21/CP21-1))</f>
      </c>
      <c r="CS21" s="60">
        <f>IF(B21="","",IF(ENTRADA!$Y21="","",ENTRADA!$Y21-C21))</f>
      </c>
      <c r="CT21" s="66">
        <f>IF(B21="","",IF(ENTRADA!$C21="","Falta fecha. ","")&amp;IF(BP21=0,"Mes fuera del rango de COSTOS_FIJOS. ","")&amp;IF(J21=0,"Sin kg. ","")&amp;IF(E21="","Falta transitaria. ","")&amp;IF(AND(T21&gt;0,U21/T21-1&gt;Tolerancia_Comb),"Combustible al puerto "&amp;TEXT(U21/T21-1,"+0%")&amp;" sobre norma. ","")&amp;IF(AND(AG21&gt;0,AH21/AG21-1&gt;Tolerancia_Comb),"Combustible distribución Occidente "&amp;TEXT(AH21/AG21-1,"+0%")&amp;" sobre norma. ","")&amp;IF(AND(AK21&gt;0,AL21/AK21-1&gt;Tolerancia_Comb),"Combustible traslado Centro "&amp;TEXT(AL21/AK21-1,"+0%")&amp;" sobre norma. ","")&amp;IF(AND(AM21&gt;0,AN21/AM21-1&gt;Tolerancia_Comb),"Combustible distribución Centro "&amp;TEXT(AN21/AM21-1,"+0%")&amp;" sobre norma. ","")&amp;IF(AND(AU21&gt;0,AV21/AU21-1&gt;Tolerancia_Comb),"Combustible traslado Oriente "&amp;TEXT(AV21/AU21-1,"+0%")&amp;" sobre norma. ","")&amp;IF(AND(AW21&gt;0,AX21/AW21-1&gt;Tolerancia_Comb),"Combustible distribución Oriente "&amp;TEXT(AX21/AW21-1,"+0%")&amp;" sobre norma. ","")&amp;IF(AND(ENTRADA!$C21&lt;&gt;"",C21&lt;PRECIOS!$A$6),"Fecha anterior a la 1ª vigencia de precios. ","")&amp;IF(CD21&lt;0,"Contenedor con pérdida. ",""))</f>
      </c>
    </row>
    <row r="22">
      <c r="A22" s="60">
        <f>IF(B22="","",ROW()-5)</f>
      </c>
      <c r="B22" s="63">
        <f>IF(ENTRADA!$B22="","",ENTRADA!$B22)</f>
      </c>
      <c r="C22" s="64">
        <f>IF(B22="","",ENTRADA!$C22)</f>
      </c>
      <c r="D22" s="65">
        <f>IF(B22="","",DATE(YEAR(C22),MONTH(C22),1))</f>
      </c>
      <c r="E22" s="66">
        <f>IF(B22="","",ENTRADA!$D22&amp;"")</f>
      </c>
      <c r="F22" s="66">
        <f>IF(B22="","",ENTRADA!$Z22&amp;"")</f>
      </c>
      <c r="G22" s="67">
        <f>IF(B22="","",N(ENTRADA!$G22))</f>
      </c>
      <c r="H22" s="67">
        <f>IF(B22="","",N(ENTRADA!$H22))</f>
      </c>
      <c r="I22" s="67">
        <f>IF(B22="","",N(ENTRADA!$I22))</f>
      </c>
      <c r="J22" s="68">
        <f>IF(B22="","",G22+H22+I22)</f>
      </c>
      <c r="K22" s="60">
        <f>IF(B22="","",IFERROR(MATCH(SUMPRODUCT(MAX((PRECIOS!$A$6:$A$55&lt;=C22)*PRECIOS!$A$6:$A$55)),PRECIOS!$A$6:$A$55,0),1))</f>
      </c>
      <c r="L22" s="69">
        <f>IF(B22="","",INDEX(PRECIOS!$A$6:$A$55,K22))</f>
      </c>
      <c r="M22" s="37">
        <f>IF(B22="","",G22*INDEX(PRECIOS!$B$6:$B$55,K22))</f>
      </c>
      <c r="N22" s="37">
        <f>IF(B22="","",H22*INDEX(PRECIOS!$C$6:$C$55,K22))</f>
      </c>
      <c r="O22" s="37">
        <f>IF(B22="","",I22*INDEX(PRECIOS!$D$6:$D$55,K22))</f>
      </c>
      <c r="P22" s="37">
        <f>IF(B22="","",N(ENTRADA!$X22))</f>
      </c>
      <c r="Q22" s="70">
        <f>IF(B22="","",M22+N22+O22+P22)</f>
      </c>
      <c r="R22" s="71">
        <f>IF(B22="","",IF(ENTRADA!$J22="",Std_Viajes_Puerto,ENTRADA!$J22))</f>
      </c>
      <c r="S22" s="37">
        <f>IF(B22="","",R22*INDEX(PRECIOS!$F$6:$F$55,K22))</f>
      </c>
      <c r="T22" s="71">
        <f>IF(B22="","",R22*Litros_Puerto_Viaje)</f>
      </c>
      <c r="U22" s="71">
        <f>IF(B22="","",IF(ENTRADA!$K22="",T22,ENTRADA!$K22))</f>
      </c>
      <c r="V22" s="37">
        <f>IF(B22="","",U22*INDEX(PRECIOS!$E$6:$E$55,K22))</f>
      </c>
      <c r="W22" s="37">
        <f>IF(B22="","",IF(ENTRADA!$L22="",R22*INDEX(PRECIOS!$G$6:$G$55,K22),ENTRADA!$L22))</f>
      </c>
      <c r="X22" s="37">
        <f>IF(B22="","",R22*Km_Puerto_Viaje*INDEX(PRECIOS!$N$6:$N$55,K22))</f>
      </c>
      <c r="Y22" s="70">
        <f>IF(B22="","",S22+V22+W22+X22)</f>
      </c>
      <c r="Z22" s="71">
        <f>IF(B22="","",IF(J22=0,0,ROUNDUP(J22/Rend_Desagrupe,0)))</f>
      </c>
      <c r="AA22" s="71">
        <f>IF(B22="","",IF(ENTRADA!$M22="",Z22,ENTRADA!$M22))</f>
      </c>
      <c r="AB22" s="37">
        <f>IF(B22="","",AA22*INDEX(PRECIOS!$H$6:$H$55,K22))</f>
      </c>
      <c r="AC22" s="37">
        <f>IF(B22="","",IF(E22="ENCI",INDEX(PRECIOS!$J$6:$J$55,K22),IF(E22="A.V",INDEX(PRECIOS!$K$6:$K$55,K22),0)))</f>
      </c>
      <c r="AD22" s="37">
        <f>IF(B22="","",N(ENTRADA!$N22))</f>
      </c>
      <c r="AE22" s="70">
        <f>IF(B22="","",AB22+AC22+AD22)</f>
      </c>
      <c r="AF22" s="71">
        <f>IF(B22="","",IF(G22=0,0,ROUNDUP(G22/Cap_Camion_OCC,0)))</f>
      </c>
      <c r="AG22" s="71">
        <f>IF(B22="","",AF22*L_Dist_OCC)</f>
      </c>
      <c r="AH22" s="71">
        <f>IF(B22="","",IF(ENTRADA!$O22="",AG22,ENTRADA!$O22))</f>
      </c>
      <c r="AI22" s="37">
        <f>IF(B22="","",AH22*INDEX(PRECIOS!$E$6:$E$55,K22))</f>
      </c>
      <c r="AJ22" s="71">
        <f>IF(B22="","",IF(H22=0,0,ROUNDUP(H22/Cap_Camion_CEN,0)))</f>
      </c>
      <c r="AK22" s="71">
        <f>IF(B22="","",AJ22*L_Tras_CEN)</f>
      </c>
      <c r="AL22" s="71">
        <f>IF(B22="","",IF(ENTRADA!$P22="",AK22,ENTRADA!$P22))</f>
      </c>
      <c r="AM22" s="71">
        <f>IF(B22="","",AJ22*L_Dist_CEN)</f>
      </c>
      <c r="AN22" s="71">
        <f>IF(B22="","",IF(ENTRADA!$Q22="",AM22,ENTRADA!$Q22))</f>
      </c>
      <c r="AO22" s="37">
        <f>IF(B22="","",(AL22+AN22)*INDEX(PRECIOS!$E$6:$E$55,K22))</f>
      </c>
      <c r="AP22" s="71">
        <f>IF(B22="","",IF(H22=0,0,ROUNDUP(H22/Rend_Desagrupe_CT,0)))</f>
      </c>
      <c r="AQ22" s="71">
        <f>IF(B22="","",IF(ENTRADA!$R22="",AP22,ENTRADA!$R22))</f>
      </c>
      <c r="AR22" s="37">
        <f>IF(B22="","",AQ22*INDEX(PRECIOS!$I$6:$I$55,K22))</f>
      </c>
      <c r="AS22" s="37">
        <f>IF(B22="","",AO22+AR22)</f>
      </c>
      <c r="AT22" s="71">
        <f>IF(B22="","",IF(I22=0,0,ROUNDUP(I22/Cap_Camion_ORI,0)))</f>
      </c>
      <c r="AU22" s="71">
        <f>IF(B22="","",AT22*L_Tras_ORI)</f>
      </c>
      <c r="AV22" s="71">
        <f>IF(B22="","",IF(ENTRADA!$S22="",AU22,ENTRADA!$S22))</f>
      </c>
      <c r="AW22" s="71">
        <f>IF(B22="","",AT22*L_Dist_ORI)</f>
      </c>
      <c r="AX22" s="71">
        <f>IF(B22="","",IF(ENTRADA!$T22="",AW22,ENTRADA!$T22))</f>
      </c>
      <c r="AY22" s="37">
        <f>IF(B22="","",(AV22+AX22)*INDEX(PRECIOS!$E$6:$E$55,K22))</f>
      </c>
      <c r="AZ22" s="71">
        <f>IF(B22="","",IF(I22=0,0,ROUNDUP(I22/Rend_Desagrupe_CT,0)))</f>
      </c>
      <c r="BA22" s="71">
        <f>IF(B22="","",IF(ENTRADA!$U22="",AZ22,ENTRADA!$U22))</f>
      </c>
      <c r="BB22" s="37">
        <f>IF(B22="","",BA22*INDEX(PRECIOS!$I$6:$I$55,K22))</f>
      </c>
      <c r="BC22" s="37">
        <f>IF(B22="","",AY22+BB22)</f>
      </c>
      <c r="BD22" s="70">
        <f>IF(B22="","",AI22+AS22+BC22)</f>
      </c>
      <c r="BE22" s="37">
        <f>IF(B22="","",IF(Base_Comision="% DEL INGRESO",M22*INDEX(PRECIOS!$L$6:$L$55,K22),G22*INDEX(PRECIOS!$M$6:$M$55,K22)))</f>
      </c>
      <c r="BF22" s="37">
        <f>IF(B22="","",IF(Base_Comision="% DEL INGRESO",N22*INDEX(PRECIOS!$L$6:$L$55,K22),H22*INDEX(PRECIOS!$M$6:$M$55,K22)))</f>
      </c>
      <c r="BG22" s="37">
        <f>IF(B22="","",IF(Base_Comision="% DEL INGRESO",O22*INDEX(PRECIOS!$L$6:$L$55,K22),I22*INDEX(PRECIOS!$M$6:$M$55,K22)))</f>
      </c>
      <c r="BH22" s="70">
        <f>IF(B22="","",BE22+BF22+BG22)</f>
      </c>
      <c r="BI22" s="37">
        <f>IF(B22="","",Q22*Pct_Reclamaciones)</f>
      </c>
      <c r="BJ22" s="37">
        <f>IF(B22="","",Q22*Pct_Banco)</f>
      </c>
      <c r="BK22" s="37">
        <f>IF(B22="","",N(ENTRADA!$V22))</f>
      </c>
      <c r="BL22" s="70">
        <f>IF(B22="","",Y22+AE22+BD22+BH22+BI22+BJ22+BK22)</f>
      </c>
      <c r="BM22" s="70">
        <f>IF(B22="","",Q22-BL22)</f>
      </c>
      <c r="BN22" s="72">
        <f>IF(B22="","",IF(Q22=0,0,BM22/Q22))</f>
      </c>
      <c r="BO22" s="73">
        <f>IF(B22="","",IF(J22=0,0,BM22/J22))</f>
      </c>
      <c r="BP22" s="60">
        <f>IF(B22="","",IFERROR(MATCH(D22,COSTOS_FIJOS!$G$5:$AD$5,0),0))</f>
      </c>
      <c r="BQ22" s="60">
        <f>IF(B22="","",COUNTIFS($D$6:$D$305,D22))</f>
      </c>
      <c r="BR22" s="67">
        <f>IF(B22="","",SUMIFS($J$6:$J$305,$D$6:$D$305,D22))</f>
      </c>
      <c r="BS22" s="72">
        <f>IF(B22="","",IF(Metodo_Prorrateo="KG",IF(BR22=0,0,J22/BR22),1/BQ22))</f>
      </c>
      <c r="BT22" s="37">
        <f>IF(B22="","",IF(BP22=0,0,INDEX(COSTOS_FIJOS!$G$38:$AD$38,BP22))*BS22)</f>
      </c>
      <c r="BU22" s="72">
        <f>IF(B22="","",IF(Metodo_Prorrateo="KG",IF(SUMIFS($G$6:$G$305,$D$6:$D$305,D22)=0,0,G22/SUMIFS($G$6:$G$305,$D$6:$D$305,D22)),IF(G22&gt;0,1/COUNTIFS($D$6:$D$305,D22,$G$6:$G$305,"&gt;0"),0)))</f>
      </c>
      <c r="BV22" s="37">
        <f>IF(B22="","",IF(BP22=0,0,INDEX(COSTOS_FIJOS!$G$39:$AD$39,BP22))*BU22)</f>
      </c>
      <c r="BW22" s="72">
        <f>IF(B22="","",IF(Metodo_Prorrateo="KG",IF(SUMIFS($H$6:$H$305,$D$6:$D$305,D22)=0,0,H22/SUMIFS($H$6:$H$305,$D$6:$D$305,D22)),IF(H22&gt;0,1/COUNTIFS($D$6:$D$305,D22,$H$6:$H$305,"&gt;0"),0)))</f>
      </c>
      <c r="BX22" s="37">
        <f>IF(B22="","",IF(BP22=0,0,INDEX(COSTOS_FIJOS!$G$40:$AD$40,BP22))*BW22)</f>
      </c>
      <c r="BY22" s="72">
        <f>IF(B22="","",IF(Metodo_Prorrateo="KG",IF(SUMIFS($I$6:$I$305,$D$6:$D$305,D22)=0,0,I22/SUMIFS($I$6:$I$305,$D$6:$D$305,D22)),IF(I22&gt;0,1/COUNTIFS($D$6:$D$305,D22,$I$6:$I$305,"&gt;0"),0)))</f>
      </c>
      <c r="BZ22" s="37">
        <f>IF(B22="","",IF(BP22=0,0,INDEX(COSTOS_FIJOS!$G$41:$AD$41,BP22))*BY22)</f>
      </c>
      <c r="CA22" s="70">
        <f>IF(B22="","",BT22+BV22+BX22+BZ22)</f>
      </c>
      <c r="CB22" s="37">
        <f>IF(B22="","",Q22*Imp_Ventas_Serv)</f>
      </c>
      <c r="CC22" s="37">
        <f>IF(B22="","",Q22*Contrib_Territorial)</f>
      </c>
      <c r="CD22" s="70">
        <f>IF(B22="","",BM22-CA22-CB22-CC22)</f>
      </c>
      <c r="CE22" s="37">
        <f>IF(B22="","",MAX(0,CD22)*Imp_Utilidades)</f>
      </c>
      <c r="CF22" s="70">
        <f>IF(B22="","",CD22-CE22)</f>
      </c>
      <c r="CG22" s="72">
        <f>IF(B22="","",IF(Q22=0,0,CF22/Q22))</f>
      </c>
      <c r="CH22" s="73">
        <f>IF(B22="","",IF(J22=0,0,(BL22+CA22+CB22+CC22)/J22))</f>
      </c>
      <c r="CI22" s="73">
        <f>IF(B22="","",IF(J22=0,0,Q22/J22))</f>
      </c>
      <c r="CJ22" s="73">
        <f>IF(B22="","",IF(J22=0,0,CD22/J22))</f>
      </c>
      <c r="CK22" s="37">
        <f>IF(B22="","",Y22+AE22+BK22+BT22)</f>
      </c>
      <c r="CL22" s="37">
        <f>IF(B22="","",IF(J22=0,0,(M22+P22*G22/J22)*(1-Pct_Reclamaciones-Pct_Banco-Imp_Ventas_Serv-Contrib_Territorial)-AI22-BE22-BV22-CK22*G22/J22))</f>
      </c>
      <c r="CM22" s="37">
        <f>IF(B22="","",IF(J22=0,0,(N22+P22*H22/J22)*(1-Pct_Reclamaciones-Pct_Banco-Imp_Ventas_Serv-Contrib_Territorial)-AS22-BF22-BX22-CK22*H22/J22))</f>
      </c>
      <c r="CN22" s="37">
        <f>IF(B22="","",IF(J22=0,0,(O22+P22*I22/J22)*(1-Pct_Reclamaciones-Pct_Banco-Imp_Ventas_Serv-Contrib_Territorial)-BC22-BG22-BZ22-CK22*I22/J22))</f>
      </c>
      <c r="CO22" s="37">
        <f>IF(B22="","",IF(J22=0,0,ROUND(CD22-CL22-CM22-CN22,4)))</f>
      </c>
      <c r="CP22" s="71">
        <f>IF(B22="","",T22+AG22+AK22+AM22+AU22+AW22)</f>
      </c>
      <c r="CQ22" s="71">
        <f>IF(B22="","",U22+AH22+AL22+AN22+AV22+AX22)</f>
      </c>
      <c r="CR22" s="72">
        <f>IF(B22="","",IF(CP22=0,0,CQ22/CP22-1))</f>
      </c>
      <c r="CS22" s="60">
        <f>IF(B22="","",IF(ENTRADA!$Y22="","",ENTRADA!$Y22-C22))</f>
      </c>
      <c r="CT22" s="66">
        <f>IF(B22="","",IF(ENTRADA!$C22="","Falta fecha. ","")&amp;IF(BP22=0,"Mes fuera del rango de COSTOS_FIJOS. ","")&amp;IF(J22=0,"Sin kg. ","")&amp;IF(E22="","Falta transitaria. ","")&amp;IF(AND(T22&gt;0,U22/T22-1&gt;Tolerancia_Comb),"Combustible al puerto "&amp;TEXT(U22/T22-1,"+0%")&amp;" sobre norma. ","")&amp;IF(AND(AG22&gt;0,AH22/AG22-1&gt;Tolerancia_Comb),"Combustible distribución Occidente "&amp;TEXT(AH22/AG22-1,"+0%")&amp;" sobre norma. ","")&amp;IF(AND(AK22&gt;0,AL22/AK22-1&gt;Tolerancia_Comb),"Combustible traslado Centro "&amp;TEXT(AL22/AK22-1,"+0%")&amp;" sobre norma. ","")&amp;IF(AND(AM22&gt;0,AN22/AM22-1&gt;Tolerancia_Comb),"Combustible distribución Centro "&amp;TEXT(AN22/AM22-1,"+0%")&amp;" sobre norma. ","")&amp;IF(AND(AU22&gt;0,AV22/AU22-1&gt;Tolerancia_Comb),"Combustible traslado Oriente "&amp;TEXT(AV22/AU22-1,"+0%")&amp;" sobre norma. ","")&amp;IF(AND(AW22&gt;0,AX22/AW22-1&gt;Tolerancia_Comb),"Combustible distribución Oriente "&amp;TEXT(AX22/AW22-1,"+0%")&amp;" sobre norma. ","")&amp;IF(AND(ENTRADA!$C22&lt;&gt;"",C22&lt;PRECIOS!$A$6),"Fecha anterior a la 1ª vigencia de precios. ","")&amp;IF(CD22&lt;0,"Contenedor con pérdida. ",""))</f>
      </c>
    </row>
    <row r="23">
      <c r="A23" s="60">
        <f>IF(B23="","",ROW()-5)</f>
      </c>
      <c r="B23" s="63">
        <f>IF(ENTRADA!$B23="","",ENTRADA!$B23)</f>
      </c>
      <c r="C23" s="64">
        <f>IF(B23="","",ENTRADA!$C23)</f>
      </c>
      <c r="D23" s="65">
        <f>IF(B23="","",DATE(YEAR(C23),MONTH(C23),1))</f>
      </c>
      <c r="E23" s="66">
        <f>IF(B23="","",ENTRADA!$D23&amp;"")</f>
      </c>
      <c r="F23" s="66">
        <f>IF(B23="","",ENTRADA!$Z23&amp;"")</f>
      </c>
      <c r="G23" s="67">
        <f>IF(B23="","",N(ENTRADA!$G23))</f>
      </c>
      <c r="H23" s="67">
        <f>IF(B23="","",N(ENTRADA!$H23))</f>
      </c>
      <c r="I23" s="67">
        <f>IF(B23="","",N(ENTRADA!$I23))</f>
      </c>
      <c r="J23" s="68">
        <f>IF(B23="","",G23+H23+I23)</f>
      </c>
      <c r="K23" s="60">
        <f>IF(B23="","",IFERROR(MATCH(SUMPRODUCT(MAX((PRECIOS!$A$6:$A$55&lt;=C23)*PRECIOS!$A$6:$A$55)),PRECIOS!$A$6:$A$55,0),1))</f>
      </c>
      <c r="L23" s="69">
        <f>IF(B23="","",INDEX(PRECIOS!$A$6:$A$55,K23))</f>
      </c>
      <c r="M23" s="37">
        <f>IF(B23="","",G23*INDEX(PRECIOS!$B$6:$B$55,K23))</f>
      </c>
      <c r="N23" s="37">
        <f>IF(B23="","",H23*INDEX(PRECIOS!$C$6:$C$55,K23))</f>
      </c>
      <c r="O23" s="37">
        <f>IF(B23="","",I23*INDEX(PRECIOS!$D$6:$D$55,K23))</f>
      </c>
      <c r="P23" s="37">
        <f>IF(B23="","",N(ENTRADA!$X23))</f>
      </c>
      <c r="Q23" s="70">
        <f>IF(B23="","",M23+N23+O23+P23)</f>
      </c>
      <c r="R23" s="71">
        <f>IF(B23="","",IF(ENTRADA!$J23="",Std_Viajes_Puerto,ENTRADA!$J23))</f>
      </c>
      <c r="S23" s="37">
        <f>IF(B23="","",R23*INDEX(PRECIOS!$F$6:$F$55,K23))</f>
      </c>
      <c r="T23" s="71">
        <f>IF(B23="","",R23*Litros_Puerto_Viaje)</f>
      </c>
      <c r="U23" s="71">
        <f>IF(B23="","",IF(ENTRADA!$K23="",T23,ENTRADA!$K23))</f>
      </c>
      <c r="V23" s="37">
        <f>IF(B23="","",U23*INDEX(PRECIOS!$E$6:$E$55,K23))</f>
      </c>
      <c r="W23" s="37">
        <f>IF(B23="","",IF(ENTRADA!$L23="",R23*INDEX(PRECIOS!$G$6:$G$55,K23),ENTRADA!$L23))</f>
      </c>
      <c r="X23" s="37">
        <f>IF(B23="","",R23*Km_Puerto_Viaje*INDEX(PRECIOS!$N$6:$N$55,K23))</f>
      </c>
      <c r="Y23" s="70">
        <f>IF(B23="","",S23+V23+W23+X23)</f>
      </c>
      <c r="Z23" s="71">
        <f>IF(B23="","",IF(J23=0,0,ROUNDUP(J23/Rend_Desagrupe,0)))</f>
      </c>
      <c r="AA23" s="71">
        <f>IF(B23="","",IF(ENTRADA!$M23="",Z23,ENTRADA!$M23))</f>
      </c>
      <c r="AB23" s="37">
        <f>IF(B23="","",AA23*INDEX(PRECIOS!$H$6:$H$55,K23))</f>
      </c>
      <c r="AC23" s="37">
        <f>IF(B23="","",IF(E23="ENCI",INDEX(PRECIOS!$J$6:$J$55,K23),IF(E23="A.V",INDEX(PRECIOS!$K$6:$K$55,K23),0)))</f>
      </c>
      <c r="AD23" s="37">
        <f>IF(B23="","",N(ENTRADA!$N23))</f>
      </c>
      <c r="AE23" s="70">
        <f>IF(B23="","",AB23+AC23+AD23)</f>
      </c>
      <c r="AF23" s="71">
        <f>IF(B23="","",IF(G23=0,0,ROUNDUP(G23/Cap_Camion_OCC,0)))</f>
      </c>
      <c r="AG23" s="71">
        <f>IF(B23="","",AF23*L_Dist_OCC)</f>
      </c>
      <c r="AH23" s="71">
        <f>IF(B23="","",IF(ENTRADA!$O23="",AG23,ENTRADA!$O23))</f>
      </c>
      <c r="AI23" s="37">
        <f>IF(B23="","",AH23*INDEX(PRECIOS!$E$6:$E$55,K23))</f>
      </c>
      <c r="AJ23" s="71">
        <f>IF(B23="","",IF(H23=0,0,ROUNDUP(H23/Cap_Camion_CEN,0)))</f>
      </c>
      <c r="AK23" s="71">
        <f>IF(B23="","",AJ23*L_Tras_CEN)</f>
      </c>
      <c r="AL23" s="71">
        <f>IF(B23="","",IF(ENTRADA!$P23="",AK23,ENTRADA!$P23))</f>
      </c>
      <c r="AM23" s="71">
        <f>IF(B23="","",AJ23*L_Dist_CEN)</f>
      </c>
      <c r="AN23" s="71">
        <f>IF(B23="","",IF(ENTRADA!$Q23="",AM23,ENTRADA!$Q23))</f>
      </c>
      <c r="AO23" s="37">
        <f>IF(B23="","",(AL23+AN23)*INDEX(PRECIOS!$E$6:$E$55,K23))</f>
      </c>
      <c r="AP23" s="71">
        <f>IF(B23="","",IF(H23=0,0,ROUNDUP(H23/Rend_Desagrupe_CT,0)))</f>
      </c>
      <c r="AQ23" s="71">
        <f>IF(B23="","",IF(ENTRADA!$R23="",AP23,ENTRADA!$R23))</f>
      </c>
      <c r="AR23" s="37">
        <f>IF(B23="","",AQ23*INDEX(PRECIOS!$I$6:$I$55,K23))</f>
      </c>
      <c r="AS23" s="37">
        <f>IF(B23="","",AO23+AR23)</f>
      </c>
      <c r="AT23" s="71">
        <f>IF(B23="","",IF(I23=0,0,ROUNDUP(I23/Cap_Camion_ORI,0)))</f>
      </c>
      <c r="AU23" s="71">
        <f>IF(B23="","",AT23*L_Tras_ORI)</f>
      </c>
      <c r="AV23" s="71">
        <f>IF(B23="","",IF(ENTRADA!$S23="",AU23,ENTRADA!$S23))</f>
      </c>
      <c r="AW23" s="71">
        <f>IF(B23="","",AT23*L_Dist_ORI)</f>
      </c>
      <c r="AX23" s="71">
        <f>IF(B23="","",IF(ENTRADA!$T23="",AW23,ENTRADA!$T23))</f>
      </c>
      <c r="AY23" s="37">
        <f>IF(B23="","",(AV23+AX23)*INDEX(PRECIOS!$E$6:$E$55,K23))</f>
      </c>
      <c r="AZ23" s="71">
        <f>IF(B23="","",IF(I23=0,0,ROUNDUP(I23/Rend_Desagrupe_CT,0)))</f>
      </c>
      <c r="BA23" s="71">
        <f>IF(B23="","",IF(ENTRADA!$U23="",AZ23,ENTRADA!$U23))</f>
      </c>
      <c r="BB23" s="37">
        <f>IF(B23="","",BA23*INDEX(PRECIOS!$I$6:$I$55,K23))</f>
      </c>
      <c r="BC23" s="37">
        <f>IF(B23="","",AY23+BB23)</f>
      </c>
      <c r="BD23" s="70">
        <f>IF(B23="","",AI23+AS23+BC23)</f>
      </c>
      <c r="BE23" s="37">
        <f>IF(B23="","",IF(Base_Comision="% DEL INGRESO",M23*INDEX(PRECIOS!$L$6:$L$55,K23),G23*INDEX(PRECIOS!$M$6:$M$55,K23)))</f>
      </c>
      <c r="BF23" s="37">
        <f>IF(B23="","",IF(Base_Comision="% DEL INGRESO",N23*INDEX(PRECIOS!$L$6:$L$55,K23),H23*INDEX(PRECIOS!$M$6:$M$55,K23)))</f>
      </c>
      <c r="BG23" s="37">
        <f>IF(B23="","",IF(Base_Comision="% DEL INGRESO",O23*INDEX(PRECIOS!$L$6:$L$55,K23),I23*INDEX(PRECIOS!$M$6:$M$55,K23)))</f>
      </c>
      <c r="BH23" s="70">
        <f>IF(B23="","",BE23+BF23+BG23)</f>
      </c>
      <c r="BI23" s="37">
        <f>IF(B23="","",Q23*Pct_Reclamaciones)</f>
      </c>
      <c r="BJ23" s="37">
        <f>IF(B23="","",Q23*Pct_Banco)</f>
      </c>
      <c r="BK23" s="37">
        <f>IF(B23="","",N(ENTRADA!$V23))</f>
      </c>
      <c r="BL23" s="70">
        <f>IF(B23="","",Y23+AE23+BD23+BH23+BI23+BJ23+BK23)</f>
      </c>
      <c r="BM23" s="70">
        <f>IF(B23="","",Q23-BL23)</f>
      </c>
      <c r="BN23" s="72">
        <f>IF(B23="","",IF(Q23=0,0,BM23/Q23))</f>
      </c>
      <c r="BO23" s="73">
        <f>IF(B23="","",IF(J23=0,0,BM23/J23))</f>
      </c>
      <c r="BP23" s="60">
        <f>IF(B23="","",IFERROR(MATCH(D23,COSTOS_FIJOS!$G$5:$AD$5,0),0))</f>
      </c>
      <c r="BQ23" s="60">
        <f>IF(B23="","",COUNTIFS($D$6:$D$305,D23))</f>
      </c>
      <c r="BR23" s="67">
        <f>IF(B23="","",SUMIFS($J$6:$J$305,$D$6:$D$305,D23))</f>
      </c>
      <c r="BS23" s="72">
        <f>IF(B23="","",IF(Metodo_Prorrateo="KG",IF(BR23=0,0,J23/BR23),1/BQ23))</f>
      </c>
      <c r="BT23" s="37">
        <f>IF(B23="","",IF(BP23=0,0,INDEX(COSTOS_FIJOS!$G$38:$AD$38,BP23))*BS23)</f>
      </c>
      <c r="BU23" s="72">
        <f>IF(B23="","",IF(Metodo_Prorrateo="KG",IF(SUMIFS($G$6:$G$305,$D$6:$D$305,D23)=0,0,G23/SUMIFS($G$6:$G$305,$D$6:$D$305,D23)),IF(G23&gt;0,1/COUNTIFS($D$6:$D$305,D23,$G$6:$G$305,"&gt;0"),0)))</f>
      </c>
      <c r="BV23" s="37">
        <f>IF(B23="","",IF(BP23=0,0,INDEX(COSTOS_FIJOS!$G$39:$AD$39,BP23))*BU23)</f>
      </c>
      <c r="BW23" s="72">
        <f>IF(B23="","",IF(Metodo_Prorrateo="KG",IF(SUMIFS($H$6:$H$305,$D$6:$D$305,D23)=0,0,H23/SUMIFS($H$6:$H$305,$D$6:$D$305,D23)),IF(H23&gt;0,1/COUNTIFS($D$6:$D$305,D23,$H$6:$H$305,"&gt;0"),0)))</f>
      </c>
      <c r="BX23" s="37">
        <f>IF(B23="","",IF(BP23=0,0,INDEX(COSTOS_FIJOS!$G$40:$AD$40,BP23))*BW23)</f>
      </c>
      <c r="BY23" s="72">
        <f>IF(B23="","",IF(Metodo_Prorrateo="KG",IF(SUMIFS($I$6:$I$305,$D$6:$D$305,D23)=0,0,I23/SUMIFS($I$6:$I$305,$D$6:$D$305,D23)),IF(I23&gt;0,1/COUNTIFS($D$6:$D$305,D23,$I$6:$I$305,"&gt;0"),0)))</f>
      </c>
      <c r="BZ23" s="37">
        <f>IF(B23="","",IF(BP23=0,0,INDEX(COSTOS_FIJOS!$G$41:$AD$41,BP23))*BY23)</f>
      </c>
      <c r="CA23" s="70">
        <f>IF(B23="","",BT23+BV23+BX23+BZ23)</f>
      </c>
      <c r="CB23" s="37">
        <f>IF(B23="","",Q23*Imp_Ventas_Serv)</f>
      </c>
      <c r="CC23" s="37">
        <f>IF(B23="","",Q23*Contrib_Territorial)</f>
      </c>
      <c r="CD23" s="70">
        <f>IF(B23="","",BM23-CA23-CB23-CC23)</f>
      </c>
      <c r="CE23" s="37">
        <f>IF(B23="","",MAX(0,CD23)*Imp_Utilidades)</f>
      </c>
      <c r="CF23" s="70">
        <f>IF(B23="","",CD23-CE23)</f>
      </c>
      <c r="CG23" s="72">
        <f>IF(B23="","",IF(Q23=0,0,CF23/Q23))</f>
      </c>
      <c r="CH23" s="73">
        <f>IF(B23="","",IF(J23=0,0,(BL23+CA23+CB23+CC23)/J23))</f>
      </c>
      <c r="CI23" s="73">
        <f>IF(B23="","",IF(J23=0,0,Q23/J23))</f>
      </c>
      <c r="CJ23" s="73">
        <f>IF(B23="","",IF(J23=0,0,CD23/J23))</f>
      </c>
      <c r="CK23" s="37">
        <f>IF(B23="","",Y23+AE23+BK23+BT23)</f>
      </c>
      <c r="CL23" s="37">
        <f>IF(B23="","",IF(J23=0,0,(M23+P23*G23/J23)*(1-Pct_Reclamaciones-Pct_Banco-Imp_Ventas_Serv-Contrib_Territorial)-AI23-BE23-BV23-CK23*G23/J23))</f>
      </c>
      <c r="CM23" s="37">
        <f>IF(B23="","",IF(J23=0,0,(N23+P23*H23/J23)*(1-Pct_Reclamaciones-Pct_Banco-Imp_Ventas_Serv-Contrib_Territorial)-AS23-BF23-BX23-CK23*H23/J23))</f>
      </c>
      <c r="CN23" s="37">
        <f>IF(B23="","",IF(J23=0,0,(O23+P23*I23/J23)*(1-Pct_Reclamaciones-Pct_Banco-Imp_Ventas_Serv-Contrib_Territorial)-BC23-BG23-BZ23-CK23*I23/J23))</f>
      </c>
      <c r="CO23" s="37">
        <f>IF(B23="","",IF(J23=0,0,ROUND(CD23-CL23-CM23-CN23,4)))</f>
      </c>
      <c r="CP23" s="71">
        <f>IF(B23="","",T23+AG23+AK23+AM23+AU23+AW23)</f>
      </c>
      <c r="CQ23" s="71">
        <f>IF(B23="","",U23+AH23+AL23+AN23+AV23+AX23)</f>
      </c>
      <c r="CR23" s="72">
        <f>IF(B23="","",IF(CP23=0,0,CQ23/CP23-1))</f>
      </c>
      <c r="CS23" s="60">
        <f>IF(B23="","",IF(ENTRADA!$Y23="","",ENTRADA!$Y23-C23))</f>
      </c>
      <c r="CT23" s="66">
        <f>IF(B23="","",IF(ENTRADA!$C23="","Falta fecha. ","")&amp;IF(BP23=0,"Mes fuera del rango de COSTOS_FIJOS. ","")&amp;IF(J23=0,"Sin kg. ","")&amp;IF(E23="","Falta transitaria. ","")&amp;IF(AND(T23&gt;0,U23/T23-1&gt;Tolerancia_Comb),"Combustible al puerto "&amp;TEXT(U23/T23-1,"+0%")&amp;" sobre norma. ","")&amp;IF(AND(AG23&gt;0,AH23/AG23-1&gt;Tolerancia_Comb),"Combustible distribución Occidente "&amp;TEXT(AH23/AG23-1,"+0%")&amp;" sobre norma. ","")&amp;IF(AND(AK23&gt;0,AL23/AK23-1&gt;Tolerancia_Comb),"Combustible traslado Centro "&amp;TEXT(AL23/AK23-1,"+0%")&amp;" sobre norma. ","")&amp;IF(AND(AM23&gt;0,AN23/AM23-1&gt;Tolerancia_Comb),"Combustible distribución Centro "&amp;TEXT(AN23/AM23-1,"+0%")&amp;" sobre norma. ","")&amp;IF(AND(AU23&gt;0,AV23/AU23-1&gt;Tolerancia_Comb),"Combustible traslado Oriente "&amp;TEXT(AV23/AU23-1,"+0%")&amp;" sobre norma. ","")&amp;IF(AND(AW23&gt;0,AX23/AW23-1&gt;Tolerancia_Comb),"Combustible distribución Oriente "&amp;TEXT(AX23/AW23-1,"+0%")&amp;" sobre norma. ","")&amp;IF(AND(ENTRADA!$C23&lt;&gt;"",C23&lt;PRECIOS!$A$6),"Fecha anterior a la 1ª vigencia de precios. ","")&amp;IF(CD23&lt;0,"Contenedor con pérdida. ",""))</f>
      </c>
    </row>
    <row r="24">
      <c r="A24" s="60">
        <f>IF(B24="","",ROW()-5)</f>
      </c>
      <c r="B24" s="63">
        <f>IF(ENTRADA!$B24="","",ENTRADA!$B24)</f>
      </c>
      <c r="C24" s="64">
        <f>IF(B24="","",ENTRADA!$C24)</f>
      </c>
      <c r="D24" s="65">
        <f>IF(B24="","",DATE(YEAR(C24),MONTH(C24),1))</f>
      </c>
      <c r="E24" s="66">
        <f>IF(B24="","",ENTRADA!$D24&amp;"")</f>
      </c>
      <c r="F24" s="66">
        <f>IF(B24="","",ENTRADA!$Z24&amp;"")</f>
      </c>
      <c r="G24" s="67">
        <f>IF(B24="","",N(ENTRADA!$G24))</f>
      </c>
      <c r="H24" s="67">
        <f>IF(B24="","",N(ENTRADA!$H24))</f>
      </c>
      <c r="I24" s="67">
        <f>IF(B24="","",N(ENTRADA!$I24))</f>
      </c>
      <c r="J24" s="68">
        <f>IF(B24="","",G24+H24+I24)</f>
      </c>
      <c r="K24" s="60">
        <f>IF(B24="","",IFERROR(MATCH(SUMPRODUCT(MAX((PRECIOS!$A$6:$A$55&lt;=C24)*PRECIOS!$A$6:$A$55)),PRECIOS!$A$6:$A$55,0),1))</f>
      </c>
      <c r="L24" s="69">
        <f>IF(B24="","",INDEX(PRECIOS!$A$6:$A$55,K24))</f>
      </c>
      <c r="M24" s="37">
        <f>IF(B24="","",G24*INDEX(PRECIOS!$B$6:$B$55,K24))</f>
      </c>
      <c r="N24" s="37">
        <f>IF(B24="","",H24*INDEX(PRECIOS!$C$6:$C$55,K24))</f>
      </c>
      <c r="O24" s="37">
        <f>IF(B24="","",I24*INDEX(PRECIOS!$D$6:$D$55,K24))</f>
      </c>
      <c r="P24" s="37">
        <f>IF(B24="","",N(ENTRADA!$X24))</f>
      </c>
      <c r="Q24" s="70">
        <f>IF(B24="","",M24+N24+O24+P24)</f>
      </c>
      <c r="R24" s="71">
        <f>IF(B24="","",IF(ENTRADA!$J24="",Std_Viajes_Puerto,ENTRADA!$J24))</f>
      </c>
      <c r="S24" s="37">
        <f>IF(B24="","",R24*INDEX(PRECIOS!$F$6:$F$55,K24))</f>
      </c>
      <c r="T24" s="71">
        <f>IF(B24="","",R24*Litros_Puerto_Viaje)</f>
      </c>
      <c r="U24" s="71">
        <f>IF(B24="","",IF(ENTRADA!$K24="",T24,ENTRADA!$K24))</f>
      </c>
      <c r="V24" s="37">
        <f>IF(B24="","",U24*INDEX(PRECIOS!$E$6:$E$55,K24))</f>
      </c>
      <c r="W24" s="37">
        <f>IF(B24="","",IF(ENTRADA!$L24="",R24*INDEX(PRECIOS!$G$6:$G$55,K24),ENTRADA!$L24))</f>
      </c>
      <c r="X24" s="37">
        <f>IF(B24="","",R24*Km_Puerto_Viaje*INDEX(PRECIOS!$N$6:$N$55,K24))</f>
      </c>
      <c r="Y24" s="70">
        <f>IF(B24="","",S24+V24+W24+X24)</f>
      </c>
      <c r="Z24" s="71">
        <f>IF(B24="","",IF(J24=0,0,ROUNDUP(J24/Rend_Desagrupe,0)))</f>
      </c>
      <c r="AA24" s="71">
        <f>IF(B24="","",IF(ENTRADA!$M24="",Z24,ENTRADA!$M24))</f>
      </c>
      <c r="AB24" s="37">
        <f>IF(B24="","",AA24*INDEX(PRECIOS!$H$6:$H$55,K24))</f>
      </c>
      <c r="AC24" s="37">
        <f>IF(B24="","",IF(E24="ENCI",INDEX(PRECIOS!$J$6:$J$55,K24),IF(E24="A.V",INDEX(PRECIOS!$K$6:$K$55,K24),0)))</f>
      </c>
      <c r="AD24" s="37">
        <f>IF(B24="","",N(ENTRADA!$N24))</f>
      </c>
      <c r="AE24" s="70">
        <f>IF(B24="","",AB24+AC24+AD24)</f>
      </c>
      <c r="AF24" s="71">
        <f>IF(B24="","",IF(G24=0,0,ROUNDUP(G24/Cap_Camion_OCC,0)))</f>
      </c>
      <c r="AG24" s="71">
        <f>IF(B24="","",AF24*L_Dist_OCC)</f>
      </c>
      <c r="AH24" s="71">
        <f>IF(B24="","",IF(ENTRADA!$O24="",AG24,ENTRADA!$O24))</f>
      </c>
      <c r="AI24" s="37">
        <f>IF(B24="","",AH24*INDEX(PRECIOS!$E$6:$E$55,K24))</f>
      </c>
      <c r="AJ24" s="71">
        <f>IF(B24="","",IF(H24=0,0,ROUNDUP(H24/Cap_Camion_CEN,0)))</f>
      </c>
      <c r="AK24" s="71">
        <f>IF(B24="","",AJ24*L_Tras_CEN)</f>
      </c>
      <c r="AL24" s="71">
        <f>IF(B24="","",IF(ENTRADA!$P24="",AK24,ENTRADA!$P24))</f>
      </c>
      <c r="AM24" s="71">
        <f>IF(B24="","",AJ24*L_Dist_CEN)</f>
      </c>
      <c r="AN24" s="71">
        <f>IF(B24="","",IF(ENTRADA!$Q24="",AM24,ENTRADA!$Q24))</f>
      </c>
      <c r="AO24" s="37">
        <f>IF(B24="","",(AL24+AN24)*INDEX(PRECIOS!$E$6:$E$55,K24))</f>
      </c>
      <c r="AP24" s="71">
        <f>IF(B24="","",IF(H24=0,0,ROUNDUP(H24/Rend_Desagrupe_CT,0)))</f>
      </c>
      <c r="AQ24" s="71">
        <f>IF(B24="","",IF(ENTRADA!$R24="",AP24,ENTRADA!$R24))</f>
      </c>
      <c r="AR24" s="37">
        <f>IF(B24="","",AQ24*INDEX(PRECIOS!$I$6:$I$55,K24))</f>
      </c>
      <c r="AS24" s="37">
        <f>IF(B24="","",AO24+AR24)</f>
      </c>
      <c r="AT24" s="71">
        <f>IF(B24="","",IF(I24=0,0,ROUNDUP(I24/Cap_Camion_ORI,0)))</f>
      </c>
      <c r="AU24" s="71">
        <f>IF(B24="","",AT24*L_Tras_ORI)</f>
      </c>
      <c r="AV24" s="71">
        <f>IF(B24="","",IF(ENTRADA!$S24="",AU24,ENTRADA!$S24))</f>
      </c>
      <c r="AW24" s="71">
        <f>IF(B24="","",AT24*L_Dist_ORI)</f>
      </c>
      <c r="AX24" s="71">
        <f>IF(B24="","",IF(ENTRADA!$T24="",AW24,ENTRADA!$T24))</f>
      </c>
      <c r="AY24" s="37">
        <f>IF(B24="","",(AV24+AX24)*INDEX(PRECIOS!$E$6:$E$55,K24))</f>
      </c>
      <c r="AZ24" s="71">
        <f>IF(B24="","",IF(I24=0,0,ROUNDUP(I24/Rend_Desagrupe_CT,0)))</f>
      </c>
      <c r="BA24" s="71">
        <f>IF(B24="","",IF(ENTRADA!$U24="",AZ24,ENTRADA!$U24))</f>
      </c>
      <c r="BB24" s="37">
        <f>IF(B24="","",BA24*INDEX(PRECIOS!$I$6:$I$55,K24))</f>
      </c>
      <c r="BC24" s="37">
        <f>IF(B24="","",AY24+BB24)</f>
      </c>
      <c r="BD24" s="70">
        <f>IF(B24="","",AI24+AS24+BC24)</f>
      </c>
      <c r="BE24" s="37">
        <f>IF(B24="","",IF(Base_Comision="% DEL INGRESO",M24*INDEX(PRECIOS!$L$6:$L$55,K24),G24*INDEX(PRECIOS!$M$6:$M$55,K24)))</f>
      </c>
      <c r="BF24" s="37">
        <f>IF(B24="","",IF(Base_Comision="% DEL INGRESO",N24*INDEX(PRECIOS!$L$6:$L$55,K24),H24*INDEX(PRECIOS!$M$6:$M$55,K24)))</f>
      </c>
      <c r="BG24" s="37">
        <f>IF(B24="","",IF(Base_Comision="% DEL INGRESO",O24*INDEX(PRECIOS!$L$6:$L$55,K24),I24*INDEX(PRECIOS!$M$6:$M$55,K24)))</f>
      </c>
      <c r="BH24" s="70">
        <f>IF(B24="","",BE24+BF24+BG24)</f>
      </c>
      <c r="BI24" s="37">
        <f>IF(B24="","",Q24*Pct_Reclamaciones)</f>
      </c>
      <c r="BJ24" s="37">
        <f>IF(B24="","",Q24*Pct_Banco)</f>
      </c>
      <c r="BK24" s="37">
        <f>IF(B24="","",N(ENTRADA!$V24))</f>
      </c>
      <c r="BL24" s="70">
        <f>IF(B24="","",Y24+AE24+BD24+BH24+BI24+BJ24+BK24)</f>
      </c>
      <c r="BM24" s="70">
        <f>IF(B24="","",Q24-BL24)</f>
      </c>
      <c r="BN24" s="72">
        <f>IF(B24="","",IF(Q24=0,0,BM24/Q24))</f>
      </c>
      <c r="BO24" s="73">
        <f>IF(B24="","",IF(J24=0,0,BM24/J24))</f>
      </c>
      <c r="BP24" s="60">
        <f>IF(B24="","",IFERROR(MATCH(D24,COSTOS_FIJOS!$G$5:$AD$5,0),0))</f>
      </c>
      <c r="BQ24" s="60">
        <f>IF(B24="","",COUNTIFS($D$6:$D$305,D24))</f>
      </c>
      <c r="BR24" s="67">
        <f>IF(B24="","",SUMIFS($J$6:$J$305,$D$6:$D$305,D24))</f>
      </c>
      <c r="BS24" s="72">
        <f>IF(B24="","",IF(Metodo_Prorrateo="KG",IF(BR24=0,0,J24/BR24),1/BQ24))</f>
      </c>
      <c r="BT24" s="37">
        <f>IF(B24="","",IF(BP24=0,0,INDEX(COSTOS_FIJOS!$G$38:$AD$38,BP24))*BS24)</f>
      </c>
      <c r="BU24" s="72">
        <f>IF(B24="","",IF(Metodo_Prorrateo="KG",IF(SUMIFS($G$6:$G$305,$D$6:$D$305,D24)=0,0,G24/SUMIFS($G$6:$G$305,$D$6:$D$305,D24)),IF(G24&gt;0,1/COUNTIFS($D$6:$D$305,D24,$G$6:$G$305,"&gt;0"),0)))</f>
      </c>
      <c r="BV24" s="37">
        <f>IF(B24="","",IF(BP24=0,0,INDEX(COSTOS_FIJOS!$G$39:$AD$39,BP24))*BU24)</f>
      </c>
      <c r="BW24" s="72">
        <f>IF(B24="","",IF(Metodo_Prorrateo="KG",IF(SUMIFS($H$6:$H$305,$D$6:$D$305,D24)=0,0,H24/SUMIFS($H$6:$H$305,$D$6:$D$305,D24)),IF(H24&gt;0,1/COUNTIFS($D$6:$D$305,D24,$H$6:$H$305,"&gt;0"),0)))</f>
      </c>
      <c r="BX24" s="37">
        <f>IF(B24="","",IF(BP24=0,0,INDEX(COSTOS_FIJOS!$G$40:$AD$40,BP24))*BW24)</f>
      </c>
      <c r="BY24" s="72">
        <f>IF(B24="","",IF(Metodo_Prorrateo="KG",IF(SUMIFS($I$6:$I$305,$D$6:$D$305,D24)=0,0,I24/SUMIFS($I$6:$I$305,$D$6:$D$305,D24)),IF(I24&gt;0,1/COUNTIFS($D$6:$D$305,D24,$I$6:$I$305,"&gt;0"),0)))</f>
      </c>
      <c r="BZ24" s="37">
        <f>IF(B24="","",IF(BP24=0,0,INDEX(COSTOS_FIJOS!$G$41:$AD$41,BP24))*BY24)</f>
      </c>
      <c r="CA24" s="70">
        <f>IF(B24="","",BT24+BV24+BX24+BZ24)</f>
      </c>
      <c r="CB24" s="37">
        <f>IF(B24="","",Q24*Imp_Ventas_Serv)</f>
      </c>
      <c r="CC24" s="37">
        <f>IF(B24="","",Q24*Contrib_Territorial)</f>
      </c>
      <c r="CD24" s="70">
        <f>IF(B24="","",BM24-CA24-CB24-CC24)</f>
      </c>
      <c r="CE24" s="37">
        <f>IF(B24="","",MAX(0,CD24)*Imp_Utilidades)</f>
      </c>
      <c r="CF24" s="70">
        <f>IF(B24="","",CD24-CE24)</f>
      </c>
      <c r="CG24" s="72">
        <f>IF(B24="","",IF(Q24=0,0,CF24/Q24))</f>
      </c>
      <c r="CH24" s="73">
        <f>IF(B24="","",IF(J24=0,0,(BL24+CA24+CB24+CC24)/J24))</f>
      </c>
      <c r="CI24" s="73">
        <f>IF(B24="","",IF(J24=0,0,Q24/J24))</f>
      </c>
      <c r="CJ24" s="73">
        <f>IF(B24="","",IF(J24=0,0,CD24/J24))</f>
      </c>
      <c r="CK24" s="37">
        <f>IF(B24="","",Y24+AE24+BK24+BT24)</f>
      </c>
      <c r="CL24" s="37">
        <f>IF(B24="","",IF(J24=0,0,(M24+P24*G24/J24)*(1-Pct_Reclamaciones-Pct_Banco-Imp_Ventas_Serv-Contrib_Territorial)-AI24-BE24-BV24-CK24*G24/J24))</f>
      </c>
      <c r="CM24" s="37">
        <f>IF(B24="","",IF(J24=0,0,(N24+P24*H24/J24)*(1-Pct_Reclamaciones-Pct_Banco-Imp_Ventas_Serv-Contrib_Territorial)-AS24-BF24-BX24-CK24*H24/J24))</f>
      </c>
      <c r="CN24" s="37">
        <f>IF(B24="","",IF(J24=0,0,(O24+P24*I24/J24)*(1-Pct_Reclamaciones-Pct_Banco-Imp_Ventas_Serv-Contrib_Territorial)-BC24-BG24-BZ24-CK24*I24/J24))</f>
      </c>
      <c r="CO24" s="37">
        <f>IF(B24="","",IF(J24=0,0,ROUND(CD24-CL24-CM24-CN24,4)))</f>
      </c>
      <c r="CP24" s="71">
        <f>IF(B24="","",T24+AG24+AK24+AM24+AU24+AW24)</f>
      </c>
      <c r="CQ24" s="71">
        <f>IF(B24="","",U24+AH24+AL24+AN24+AV24+AX24)</f>
      </c>
      <c r="CR24" s="72">
        <f>IF(B24="","",IF(CP24=0,0,CQ24/CP24-1))</f>
      </c>
      <c r="CS24" s="60">
        <f>IF(B24="","",IF(ENTRADA!$Y24="","",ENTRADA!$Y24-C24))</f>
      </c>
      <c r="CT24" s="66">
        <f>IF(B24="","",IF(ENTRADA!$C24="","Falta fecha. ","")&amp;IF(BP24=0,"Mes fuera del rango de COSTOS_FIJOS. ","")&amp;IF(J24=0,"Sin kg. ","")&amp;IF(E24="","Falta transitaria. ","")&amp;IF(AND(T24&gt;0,U24/T24-1&gt;Tolerancia_Comb),"Combustible al puerto "&amp;TEXT(U24/T24-1,"+0%")&amp;" sobre norma. ","")&amp;IF(AND(AG24&gt;0,AH24/AG24-1&gt;Tolerancia_Comb),"Combustible distribución Occidente "&amp;TEXT(AH24/AG24-1,"+0%")&amp;" sobre norma. ","")&amp;IF(AND(AK24&gt;0,AL24/AK24-1&gt;Tolerancia_Comb),"Combustible traslado Centro "&amp;TEXT(AL24/AK24-1,"+0%")&amp;" sobre norma. ","")&amp;IF(AND(AM24&gt;0,AN24/AM24-1&gt;Tolerancia_Comb),"Combustible distribución Centro "&amp;TEXT(AN24/AM24-1,"+0%")&amp;" sobre norma. ","")&amp;IF(AND(AU24&gt;0,AV24/AU24-1&gt;Tolerancia_Comb),"Combustible traslado Oriente "&amp;TEXT(AV24/AU24-1,"+0%")&amp;" sobre norma. ","")&amp;IF(AND(AW24&gt;0,AX24/AW24-1&gt;Tolerancia_Comb),"Combustible distribución Oriente "&amp;TEXT(AX24/AW24-1,"+0%")&amp;" sobre norma. ","")&amp;IF(AND(ENTRADA!$C24&lt;&gt;"",C24&lt;PRECIOS!$A$6),"Fecha anterior a la 1ª vigencia de precios. ","")&amp;IF(CD24&lt;0,"Contenedor con pérdida. ",""))</f>
      </c>
    </row>
    <row r="25">
      <c r="A25" s="60">
        <f>IF(B25="","",ROW()-5)</f>
      </c>
      <c r="B25" s="63">
        <f>IF(ENTRADA!$B25="","",ENTRADA!$B25)</f>
      </c>
      <c r="C25" s="64">
        <f>IF(B25="","",ENTRADA!$C25)</f>
      </c>
      <c r="D25" s="65">
        <f>IF(B25="","",DATE(YEAR(C25),MONTH(C25),1))</f>
      </c>
      <c r="E25" s="66">
        <f>IF(B25="","",ENTRADA!$D25&amp;"")</f>
      </c>
      <c r="F25" s="66">
        <f>IF(B25="","",ENTRADA!$Z25&amp;"")</f>
      </c>
      <c r="G25" s="67">
        <f>IF(B25="","",N(ENTRADA!$G25))</f>
      </c>
      <c r="H25" s="67">
        <f>IF(B25="","",N(ENTRADA!$H25))</f>
      </c>
      <c r="I25" s="67">
        <f>IF(B25="","",N(ENTRADA!$I25))</f>
      </c>
      <c r="J25" s="68">
        <f>IF(B25="","",G25+H25+I25)</f>
      </c>
      <c r="K25" s="60">
        <f>IF(B25="","",IFERROR(MATCH(SUMPRODUCT(MAX((PRECIOS!$A$6:$A$55&lt;=C25)*PRECIOS!$A$6:$A$55)),PRECIOS!$A$6:$A$55,0),1))</f>
      </c>
      <c r="L25" s="69">
        <f>IF(B25="","",INDEX(PRECIOS!$A$6:$A$55,K25))</f>
      </c>
      <c r="M25" s="37">
        <f>IF(B25="","",G25*INDEX(PRECIOS!$B$6:$B$55,K25))</f>
      </c>
      <c r="N25" s="37">
        <f>IF(B25="","",H25*INDEX(PRECIOS!$C$6:$C$55,K25))</f>
      </c>
      <c r="O25" s="37">
        <f>IF(B25="","",I25*INDEX(PRECIOS!$D$6:$D$55,K25))</f>
      </c>
      <c r="P25" s="37">
        <f>IF(B25="","",N(ENTRADA!$X25))</f>
      </c>
      <c r="Q25" s="70">
        <f>IF(B25="","",M25+N25+O25+P25)</f>
      </c>
      <c r="R25" s="71">
        <f>IF(B25="","",IF(ENTRADA!$J25="",Std_Viajes_Puerto,ENTRADA!$J25))</f>
      </c>
      <c r="S25" s="37">
        <f>IF(B25="","",R25*INDEX(PRECIOS!$F$6:$F$55,K25))</f>
      </c>
      <c r="T25" s="71">
        <f>IF(B25="","",R25*Litros_Puerto_Viaje)</f>
      </c>
      <c r="U25" s="71">
        <f>IF(B25="","",IF(ENTRADA!$K25="",T25,ENTRADA!$K25))</f>
      </c>
      <c r="V25" s="37">
        <f>IF(B25="","",U25*INDEX(PRECIOS!$E$6:$E$55,K25))</f>
      </c>
      <c r="W25" s="37">
        <f>IF(B25="","",IF(ENTRADA!$L25="",R25*INDEX(PRECIOS!$G$6:$G$55,K25),ENTRADA!$L25))</f>
      </c>
      <c r="X25" s="37">
        <f>IF(B25="","",R25*Km_Puerto_Viaje*INDEX(PRECIOS!$N$6:$N$55,K25))</f>
      </c>
      <c r="Y25" s="70">
        <f>IF(B25="","",S25+V25+W25+X25)</f>
      </c>
      <c r="Z25" s="71">
        <f>IF(B25="","",IF(J25=0,0,ROUNDUP(J25/Rend_Desagrupe,0)))</f>
      </c>
      <c r="AA25" s="71">
        <f>IF(B25="","",IF(ENTRADA!$M25="",Z25,ENTRADA!$M25))</f>
      </c>
      <c r="AB25" s="37">
        <f>IF(B25="","",AA25*INDEX(PRECIOS!$H$6:$H$55,K25))</f>
      </c>
      <c r="AC25" s="37">
        <f>IF(B25="","",IF(E25="ENCI",INDEX(PRECIOS!$J$6:$J$55,K25),IF(E25="A.V",INDEX(PRECIOS!$K$6:$K$55,K25),0)))</f>
      </c>
      <c r="AD25" s="37">
        <f>IF(B25="","",N(ENTRADA!$N25))</f>
      </c>
      <c r="AE25" s="70">
        <f>IF(B25="","",AB25+AC25+AD25)</f>
      </c>
      <c r="AF25" s="71">
        <f>IF(B25="","",IF(G25=0,0,ROUNDUP(G25/Cap_Camion_OCC,0)))</f>
      </c>
      <c r="AG25" s="71">
        <f>IF(B25="","",AF25*L_Dist_OCC)</f>
      </c>
      <c r="AH25" s="71">
        <f>IF(B25="","",IF(ENTRADA!$O25="",AG25,ENTRADA!$O25))</f>
      </c>
      <c r="AI25" s="37">
        <f>IF(B25="","",AH25*INDEX(PRECIOS!$E$6:$E$55,K25))</f>
      </c>
      <c r="AJ25" s="71">
        <f>IF(B25="","",IF(H25=0,0,ROUNDUP(H25/Cap_Camion_CEN,0)))</f>
      </c>
      <c r="AK25" s="71">
        <f>IF(B25="","",AJ25*L_Tras_CEN)</f>
      </c>
      <c r="AL25" s="71">
        <f>IF(B25="","",IF(ENTRADA!$P25="",AK25,ENTRADA!$P25))</f>
      </c>
      <c r="AM25" s="71">
        <f>IF(B25="","",AJ25*L_Dist_CEN)</f>
      </c>
      <c r="AN25" s="71">
        <f>IF(B25="","",IF(ENTRADA!$Q25="",AM25,ENTRADA!$Q25))</f>
      </c>
      <c r="AO25" s="37">
        <f>IF(B25="","",(AL25+AN25)*INDEX(PRECIOS!$E$6:$E$55,K25))</f>
      </c>
      <c r="AP25" s="71">
        <f>IF(B25="","",IF(H25=0,0,ROUNDUP(H25/Rend_Desagrupe_CT,0)))</f>
      </c>
      <c r="AQ25" s="71">
        <f>IF(B25="","",IF(ENTRADA!$R25="",AP25,ENTRADA!$R25))</f>
      </c>
      <c r="AR25" s="37">
        <f>IF(B25="","",AQ25*INDEX(PRECIOS!$I$6:$I$55,K25))</f>
      </c>
      <c r="AS25" s="37">
        <f>IF(B25="","",AO25+AR25)</f>
      </c>
      <c r="AT25" s="71">
        <f>IF(B25="","",IF(I25=0,0,ROUNDUP(I25/Cap_Camion_ORI,0)))</f>
      </c>
      <c r="AU25" s="71">
        <f>IF(B25="","",AT25*L_Tras_ORI)</f>
      </c>
      <c r="AV25" s="71">
        <f>IF(B25="","",IF(ENTRADA!$S25="",AU25,ENTRADA!$S25))</f>
      </c>
      <c r="AW25" s="71">
        <f>IF(B25="","",AT25*L_Dist_ORI)</f>
      </c>
      <c r="AX25" s="71">
        <f>IF(B25="","",IF(ENTRADA!$T25="",AW25,ENTRADA!$T25))</f>
      </c>
      <c r="AY25" s="37">
        <f>IF(B25="","",(AV25+AX25)*INDEX(PRECIOS!$E$6:$E$55,K25))</f>
      </c>
      <c r="AZ25" s="71">
        <f>IF(B25="","",IF(I25=0,0,ROUNDUP(I25/Rend_Desagrupe_CT,0)))</f>
      </c>
      <c r="BA25" s="71">
        <f>IF(B25="","",IF(ENTRADA!$U25="",AZ25,ENTRADA!$U25))</f>
      </c>
      <c r="BB25" s="37">
        <f>IF(B25="","",BA25*INDEX(PRECIOS!$I$6:$I$55,K25))</f>
      </c>
      <c r="BC25" s="37">
        <f>IF(B25="","",AY25+BB25)</f>
      </c>
      <c r="BD25" s="70">
        <f>IF(B25="","",AI25+AS25+BC25)</f>
      </c>
      <c r="BE25" s="37">
        <f>IF(B25="","",IF(Base_Comision="% DEL INGRESO",M25*INDEX(PRECIOS!$L$6:$L$55,K25),G25*INDEX(PRECIOS!$M$6:$M$55,K25)))</f>
      </c>
      <c r="BF25" s="37">
        <f>IF(B25="","",IF(Base_Comision="% DEL INGRESO",N25*INDEX(PRECIOS!$L$6:$L$55,K25),H25*INDEX(PRECIOS!$M$6:$M$55,K25)))</f>
      </c>
      <c r="BG25" s="37">
        <f>IF(B25="","",IF(Base_Comision="% DEL INGRESO",O25*INDEX(PRECIOS!$L$6:$L$55,K25),I25*INDEX(PRECIOS!$M$6:$M$55,K25)))</f>
      </c>
      <c r="BH25" s="70">
        <f>IF(B25="","",BE25+BF25+BG25)</f>
      </c>
      <c r="BI25" s="37">
        <f>IF(B25="","",Q25*Pct_Reclamaciones)</f>
      </c>
      <c r="BJ25" s="37">
        <f>IF(B25="","",Q25*Pct_Banco)</f>
      </c>
      <c r="BK25" s="37">
        <f>IF(B25="","",N(ENTRADA!$V25))</f>
      </c>
      <c r="BL25" s="70">
        <f>IF(B25="","",Y25+AE25+BD25+BH25+BI25+BJ25+BK25)</f>
      </c>
      <c r="BM25" s="70">
        <f>IF(B25="","",Q25-BL25)</f>
      </c>
      <c r="BN25" s="72">
        <f>IF(B25="","",IF(Q25=0,0,BM25/Q25))</f>
      </c>
      <c r="BO25" s="73">
        <f>IF(B25="","",IF(J25=0,0,BM25/J25))</f>
      </c>
      <c r="BP25" s="60">
        <f>IF(B25="","",IFERROR(MATCH(D25,COSTOS_FIJOS!$G$5:$AD$5,0),0))</f>
      </c>
      <c r="BQ25" s="60">
        <f>IF(B25="","",COUNTIFS($D$6:$D$305,D25))</f>
      </c>
      <c r="BR25" s="67">
        <f>IF(B25="","",SUMIFS($J$6:$J$305,$D$6:$D$305,D25))</f>
      </c>
      <c r="BS25" s="72">
        <f>IF(B25="","",IF(Metodo_Prorrateo="KG",IF(BR25=0,0,J25/BR25),1/BQ25))</f>
      </c>
      <c r="BT25" s="37">
        <f>IF(B25="","",IF(BP25=0,0,INDEX(COSTOS_FIJOS!$G$38:$AD$38,BP25))*BS25)</f>
      </c>
      <c r="BU25" s="72">
        <f>IF(B25="","",IF(Metodo_Prorrateo="KG",IF(SUMIFS($G$6:$G$305,$D$6:$D$305,D25)=0,0,G25/SUMIFS($G$6:$G$305,$D$6:$D$305,D25)),IF(G25&gt;0,1/COUNTIFS($D$6:$D$305,D25,$G$6:$G$305,"&gt;0"),0)))</f>
      </c>
      <c r="BV25" s="37">
        <f>IF(B25="","",IF(BP25=0,0,INDEX(COSTOS_FIJOS!$G$39:$AD$39,BP25))*BU25)</f>
      </c>
      <c r="BW25" s="72">
        <f>IF(B25="","",IF(Metodo_Prorrateo="KG",IF(SUMIFS($H$6:$H$305,$D$6:$D$305,D25)=0,0,H25/SUMIFS($H$6:$H$305,$D$6:$D$305,D25)),IF(H25&gt;0,1/COUNTIFS($D$6:$D$305,D25,$H$6:$H$305,"&gt;0"),0)))</f>
      </c>
      <c r="BX25" s="37">
        <f>IF(B25="","",IF(BP25=0,0,INDEX(COSTOS_FIJOS!$G$40:$AD$40,BP25))*BW25)</f>
      </c>
      <c r="BY25" s="72">
        <f>IF(B25="","",IF(Metodo_Prorrateo="KG",IF(SUMIFS($I$6:$I$305,$D$6:$D$305,D25)=0,0,I25/SUMIFS($I$6:$I$305,$D$6:$D$305,D25)),IF(I25&gt;0,1/COUNTIFS($D$6:$D$305,D25,$I$6:$I$305,"&gt;0"),0)))</f>
      </c>
      <c r="BZ25" s="37">
        <f>IF(B25="","",IF(BP25=0,0,INDEX(COSTOS_FIJOS!$G$41:$AD$41,BP25))*BY25)</f>
      </c>
      <c r="CA25" s="70">
        <f>IF(B25="","",BT25+BV25+BX25+BZ25)</f>
      </c>
      <c r="CB25" s="37">
        <f>IF(B25="","",Q25*Imp_Ventas_Serv)</f>
      </c>
      <c r="CC25" s="37">
        <f>IF(B25="","",Q25*Contrib_Territorial)</f>
      </c>
      <c r="CD25" s="70">
        <f>IF(B25="","",BM25-CA25-CB25-CC25)</f>
      </c>
      <c r="CE25" s="37">
        <f>IF(B25="","",MAX(0,CD25)*Imp_Utilidades)</f>
      </c>
      <c r="CF25" s="70">
        <f>IF(B25="","",CD25-CE25)</f>
      </c>
      <c r="CG25" s="72">
        <f>IF(B25="","",IF(Q25=0,0,CF25/Q25))</f>
      </c>
      <c r="CH25" s="73">
        <f>IF(B25="","",IF(J25=0,0,(BL25+CA25+CB25+CC25)/J25))</f>
      </c>
      <c r="CI25" s="73">
        <f>IF(B25="","",IF(J25=0,0,Q25/J25))</f>
      </c>
      <c r="CJ25" s="73">
        <f>IF(B25="","",IF(J25=0,0,CD25/J25))</f>
      </c>
      <c r="CK25" s="37">
        <f>IF(B25="","",Y25+AE25+BK25+BT25)</f>
      </c>
      <c r="CL25" s="37">
        <f>IF(B25="","",IF(J25=0,0,(M25+P25*G25/J25)*(1-Pct_Reclamaciones-Pct_Banco-Imp_Ventas_Serv-Contrib_Territorial)-AI25-BE25-BV25-CK25*G25/J25))</f>
      </c>
      <c r="CM25" s="37">
        <f>IF(B25="","",IF(J25=0,0,(N25+P25*H25/J25)*(1-Pct_Reclamaciones-Pct_Banco-Imp_Ventas_Serv-Contrib_Territorial)-AS25-BF25-BX25-CK25*H25/J25))</f>
      </c>
      <c r="CN25" s="37">
        <f>IF(B25="","",IF(J25=0,0,(O25+P25*I25/J25)*(1-Pct_Reclamaciones-Pct_Banco-Imp_Ventas_Serv-Contrib_Territorial)-BC25-BG25-BZ25-CK25*I25/J25))</f>
      </c>
      <c r="CO25" s="37">
        <f>IF(B25="","",IF(J25=0,0,ROUND(CD25-CL25-CM25-CN25,4)))</f>
      </c>
      <c r="CP25" s="71">
        <f>IF(B25="","",T25+AG25+AK25+AM25+AU25+AW25)</f>
      </c>
      <c r="CQ25" s="71">
        <f>IF(B25="","",U25+AH25+AL25+AN25+AV25+AX25)</f>
      </c>
      <c r="CR25" s="72">
        <f>IF(B25="","",IF(CP25=0,0,CQ25/CP25-1))</f>
      </c>
      <c r="CS25" s="60">
        <f>IF(B25="","",IF(ENTRADA!$Y25="","",ENTRADA!$Y25-C25))</f>
      </c>
      <c r="CT25" s="66">
        <f>IF(B25="","",IF(ENTRADA!$C25="","Falta fecha. ","")&amp;IF(BP25=0,"Mes fuera del rango de COSTOS_FIJOS. ","")&amp;IF(J25=0,"Sin kg. ","")&amp;IF(E25="","Falta transitaria. ","")&amp;IF(AND(T25&gt;0,U25/T25-1&gt;Tolerancia_Comb),"Combustible al puerto "&amp;TEXT(U25/T25-1,"+0%")&amp;" sobre norma. ","")&amp;IF(AND(AG25&gt;0,AH25/AG25-1&gt;Tolerancia_Comb),"Combustible distribución Occidente "&amp;TEXT(AH25/AG25-1,"+0%")&amp;" sobre norma. ","")&amp;IF(AND(AK25&gt;0,AL25/AK25-1&gt;Tolerancia_Comb),"Combustible traslado Centro "&amp;TEXT(AL25/AK25-1,"+0%")&amp;" sobre norma. ","")&amp;IF(AND(AM25&gt;0,AN25/AM25-1&gt;Tolerancia_Comb),"Combustible distribución Centro "&amp;TEXT(AN25/AM25-1,"+0%")&amp;" sobre norma. ","")&amp;IF(AND(AU25&gt;0,AV25/AU25-1&gt;Tolerancia_Comb),"Combustible traslado Oriente "&amp;TEXT(AV25/AU25-1,"+0%")&amp;" sobre norma. ","")&amp;IF(AND(AW25&gt;0,AX25/AW25-1&gt;Tolerancia_Comb),"Combustible distribución Oriente "&amp;TEXT(AX25/AW25-1,"+0%")&amp;" sobre norma. ","")&amp;IF(AND(ENTRADA!$C25&lt;&gt;"",C25&lt;PRECIOS!$A$6),"Fecha anterior a la 1ª vigencia de precios. ","")&amp;IF(CD25&lt;0,"Contenedor con pérdida. ",""))</f>
      </c>
    </row>
    <row r="26">
      <c r="A26" s="60">
        <f>IF(B26="","",ROW()-5)</f>
      </c>
      <c r="B26" s="63">
        <f>IF(ENTRADA!$B26="","",ENTRADA!$B26)</f>
      </c>
      <c r="C26" s="64">
        <f>IF(B26="","",ENTRADA!$C26)</f>
      </c>
      <c r="D26" s="65">
        <f>IF(B26="","",DATE(YEAR(C26),MONTH(C26),1))</f>
      </c>
      <c r="E26" s="66">
        <f>IF(B26="","",ENTRADA!$D26&amp;"")</f>
      </c>
      <c r="F26" s="66">
        <f>IF(B26="","",ENTRADA!$Z26&amp;"")</f>
      </c>
      <c r="G26" s="67">
        <f>IF(B26="","",N(ENTRADA!$G26))</f>
      </c>
      <c r="H26" s="67">
        <f>IF(B26="","",N(ENTRADA!$H26))</f>
      </c>
      <c r="I26" s="67">
        <f>IF(B26="","",N(ENTRADA!$I26))</f>
      </c>
      <c r="J26" s="68">
        <f>IF(B26="","",G26+H26+I26)</f>
      </c>
      <c r="K26" s="60">
        <f>IF(B26="","",IFERROR(MATCH(SUMPRODUCT(MAX((PRECIOS!$A$6:$A$55&lt;=C26)*PRECIOS!$A$6:$A$55)),PRECIOS!$A$6:$A$55,0),1))</f>
      </c>
      <c r="L26" s="69">
        <f>IF(B26="","",INDEX(PRECIOS!$A$6:$A$55,K26))</f>
      </c>
      <c r="M26" s="37">
        <f>IF(B26="","",G26*INDEX(PRECIOS!$B$6:$B$55,K26))</f>
      </c>
      <c r="N26" s="37">
        <f>IF(B26="","",H26*INDEX(PRECIOS!$C$6:$C$55,K26))</f>
      </c>
      <c r="O26" s="37">
        <f>IF(B26="","",I26*INDEX(PRECIOS!$D$6:$D$55,K26))</f>
      </c>
      <c r="P26" s="37">
        <f>IF(B26="","",N(ENTRADA!$X26))</f>
      </c>
      <c r="Q26" s="70">
        <f>IF(B26="","",M26+N26+O26+P26)</f>
      </c>
      <c r="R26" s="71">
        <f>IF(B26="","",IF(ENTRADA!$J26="",Std_Viajes_Puerto,ENTRADA!$J26))</f>
      </c>
      <c r="S26" s="37">
        <f>IF(B26="","",R26*INDEX(PRECIOS!$F$6:$F$55,K26))</f>
      </c>
      <c r="T26" s="71">
        <f>IF(B26="","",R26*Litros_Puerto_Viaje)</f>
      </c>
      <c r="U26" s="71">
        <f>IF(B26="","",IF(ENTRADA!$K26="",T26,ENTRADA!$K26))</f>
      </c>
      <c r="V26" s="37">
        <f>IF(B26="","",U26*INDEX(PRECIOS!$E$6:$E$55,K26))</f>
      </c>
      <c r="W26" s="37">
        <f>IF(B26="","",IF(ENTRADA!$L26="",R26*INDEX(PRECIOS!$G$6:$G$55,K26),ENTRADA!$L26))</f>
      </c>
      <c r="X26" s="37">
        <f>IF(B26="","",R26*Km_Puerto_Viaje*INDEX(PRECIOS!$N$6:$N$55,K26))</f>
      </c>
      <c r="Y26" s="70">
        <f>IF(B26="","",S26+V26+W26+X26)</f>
      </c>
      <c r="Z26" s="71">
        <f>IF(B26="","",IF(J26=0,0,ROUNDUP(J26/Rend_Desagrupe,0)))</f>
      </c>
      <c r="AA26" s="71">
        <f>IF(B26="","",IF(ENTRADA!$M26="",Z26,ENTRADA!$M26))</f>
      </c>
      <c r="AB26" s="37">
        <f>IF(B26="","",AA26*INDEX(PRECIOS!$H$6:$H$55,K26))</f>
      </c>
      <c r="AC26" s="37">
        <f>IF(B26="","",IF(E26="ENCI",INDEX(PRECIOS!$J$6:$J$55,K26),IF(E26="A.V",INDEX(PRECIOS!$K$6:$K$55,K26),0)))</f>
      </c>
      <c r="AD26" s="37">
        <f>IF(B26="","",N(ENTRADA!$N26))</f>
      </c>
      <c r="AE26" s="70">
        <f>IF(B26="","",AB26+AC26+AD26)</f>
      </c>
      <c r="AF26" s="71">
        <f>IF(B26="","",IF(G26=0,0,ROUNDUP(G26/Cap_Camion_OCC,0)))</f>
      </c>
      <c r="AG26" s="71">
        <f>IF(B26="","",AF26*L_Dist_OCC)</f>
      </c>
      <c r="AH26" s="71">
        <f>IF(B26="","",IF(ENTRADA!$O26="",AG26,ENTRADA!$O26))</f>
      </c>
      <c r="AI26" s="37">
        <f>IF(B26="","",AH26*INDEX(PRECIOS!$E$6:$E$55,K26))</f>
      </c>
      <c r="AJ26" s="71">
        <f>IF(B26="","",IF(H26=0,0,ROUNDUP(H26/Cap_Camion_CEN,0)))</f>
      </c>
      <c r="AK26" s="71">
        <f>IF(B26="","",AJ26*L_Tras_CEN)</f>
      </c>
      <c r="AL26" s="71">
        <f>IF(B26="","",IF(ENTRADA!$P26="",AK26,ENTRADA!$P26))</f>
      </c>
      <c r="AM26" s="71">
        <f>IF(B26="","",AJ26*L_Dist_CEN)</f>
      </c>
      <c r="AN26" s="71">
        <f>IF(B26="","",IF(ENTRADA!$Q26="",AM26,ENTRADA!$Q26))</f>
      </c>
      <c r="AO26" s="37">
        <f>IF(B26="","",(AL26+AN26)*INDEX(PRECIOS!$E$6:$E$55,K26))</f>
      </c>
      <c r="AP26" s="71">
        <f>IF(B26="","",IF(H26=0,0,ROUNDUP(H26/Rend_Desagrupe_CT,0)))</f>
      </c>
      <c r="AQ26" s="71">
        <f>IF(B26="","",IF(ENTRADA!$R26="",AP26,ENTRADA!$R26))</f>
      </c>
      <c r="AR26" s="37">
        <f>IF(B26="","",AQ26*INDEX(PRECIOS!$I$6:$I$55,K26))</f>
      </c>
      <c r="AS26" s="37">
        <f>IF(B26="","",AO26+AR26)</f>
      </c>
      <c r="AT26" s="71">
        <f>IF(B26="","",IF(I26=0,0,ROUNDUP(I26/Cap_Camion_ORI,0)))</f>
      </c>
      <c r="AU26" s="71">
        <f>IF(B26="","",AT26*L_Tras_ORI)</f>
      </c>
      <c r="AV26" s="71">
        <f>IF(B26="","",IF(ENTRADA!$S26="",AU26,ENTRADA!$S26))</f>
      </c>
      <c r="AW26" s="71">
        <f>IF(B26="","",AT26*L_Dist_ORI)</f>
      </c>
      <c r="AX26" s="71">
        <f>IF(B26="","",IF(ENTRADA!$T26="",AW26,ENTRADA!$T26))</f>
      </c>
      <c r="AY26" s="37">
        <f>IF(B26="","",(AV26+AX26)*INDEX(PRECIOS!$E$6:$E$55,K26))</f>
      </c>
      <c r="AZ26" s="71">
        <f>IF(B26="","",IF(I26=0,0,ROUNDUP(I26/Rend_Desagrupe_CT,0)))</f>
      </c>
      <c r="BA26" s="71">
        <f>IF(B26="","",IF(ENTRADA!$U26="",AZ26,ENTRADA!$U26))</f>
      </c>
      <c r="BB26" s="37">
        <f>IF(B26="","",BA26*INDEX(PRECIOS!$I$6:$I$55,K26))</f>
      </c>
      <c r="BC26" s="37">
        <f>IF(B26="","",AY26+BB26)</f>
      </c>
      <c r="BD26" s="70">
        <f>IF(B26="","",AI26+AS26+BC26)</f>
      </c>
      <c r="BE26" s="37">
        <f>IF(B26="","",IF(Base_Comision="% DEL INGRESO",M26*INDEX(PRECIOS!$L$6:$L$55,K26),G26*INDEX(PRECIOS!$M$6:$M$55,K26)))</f>
      </c>
      <c r="BF26" s="37">
        <f>IF(B26="","",IF(Base_Comision="% DEL INGRESO",N26*INDEX(PRECIOS!$L$6:$L$55,K26),H26*INDEX(PRECIOS!$M$6:$M$55,K26)))</f>
      </c>
      <c r="BG26" s="37">
        <f>IF(B26="","",IF(Base_Comision="% DEL INGRESO",O26*INDEX(PRECIOS!$L$6:$L$55,K26),I26*INDEX(PRECIOS!$M$6:$M$55,K26)))</f>
      </c>
      <c r="BH26" s="70">
        <f>IF(B26="","",BE26+BF26+BG26)</f>
      </c>
      <c r="BI26" s="37">
        <f>IF(B26="","",Q26*Pct_Reclamaciones)</f>
      </c>
      <c r="BJ26" s="37">
        <f>IF(B26="","",Q26*Pct_Banco)</f>
      </c>
      <c r="BK26" s="37">
        <f>IF(B26="","",N(ENTRADA!$V26))</f>
      </c>
      <c r="BL26" s="70">
        <f>IF(B26="","",Y26+AE26+BD26+BH26+BI26+BJ26+BK26)</f>
      </c>
      <c r="BM26" s="70">
        <f>IF(B26="","",Q26-BL26)</f>
      </c>
      <c r="BN26" s="72">
        <f>IF(B26="","",IF(Q26=0,0,BM26/Q26))</f>
      </c>
      <c r="BO26" s="73">
        <f>IF(B26="","",IF(J26=0,0,BM26/J26))</f>
      </c>
      <c r="BP26" s="60">
        <f>IF(B26="","",IFERROR(MATCH(D26,COSTOS_FIJOS!$G$5:$AD$5,0),0))</f>
      </c>
      <c r="BQ26" s="60">
        <f>IF(B26="","",COUNTIFS($D$6:$D$305,D26))</f>
      </c>
      <c r="BR26" s="67">
        <f>IF(B26="","",SUMIFS($J$6:$J$305,$D$6:$D$305,D26))</f>
      </c>
      <c r="BS26" s="72">
        <f>IF(B26="","",IF(Metodo_Prorrateo="KG",IF(BR26=0,0,J26/BR26),1/BQ26))</f>
      </c>
      <c r="BT26" s="37">
        <f>IF(B26="","",IF(BP26=0,0,INDEX(COSTOS_FIJOS!$G$38:$AD$38,BP26))*BS26)</f>
      </c>
      <c r="BU26" s="72">
        <f>IF(B26="","",IF(Metodo_Prorrateo="KG",IF(SUMIFS($G$6:$G$305,$D$6:$D$305,D26)=0,0,G26/SUMIFS($G$6:$G$305,$D$6:$D$305,D26)),IF(G26&gt;0,1/COUNTIFS($D$6:$D$305,D26,$G$6:$G$305,"&gt;0"),0)))</f>
      </c>
      <c r="BV26" s="37">
        <f>IF(B26="","",IF(BP26=0,0,INDEX(COSTOS_FIJOS!$G$39:$AD$39,BP26))*BU26)</f>
      </c>
      <c r="BW26" s="72">
        <f>IF(B26="","",IF(Metodo_Prorrateo="KG",IF(SUMIFS($H$6:$H$305,$D$6:$D$305,D26)=0,0,H26/SUMIFS($H$6:$H$305,$D$6:$D$305,D26)),IF(H26&gt;0,1/COUNTIFS($D$6:$D$305,D26,$H$6:$H$305,"&gt;0"),0)))</f>
      </c>
      <c r="BX26" s="37">
        <f>IF(B26="","",IF(BP26=0,0,INDEX(COSTOS_FIJOS!$G$40:$AD$40,BP26))*BW26)</f>
      </c>
      <c r="BY26" s="72">
        <f>IF(B26="","",IF(Metodo_Prorrateo="KG",IF(SUMIFS($I$6:$I$305,$D$6:$D$305,D26)=0,0,I26/SUMIFS($I$6:$I$305,$D$6:$D$305,D26)),IF(I26&gt;0,1/COUNTIFS($D$6:$D$305,D26,$I$6:$I$305,"&gt;0"),0)))</f>
      </c>
      <c r="BZ26" s="37">
        <f>IF(B26="","",IF(BP26=0,0,INDEX(COSTOS_FIJOS!$G$41:$AD$41,BP26))*BY26)</f>
      </c>
      <c r="CA26" s="70">
        <f>IF(B26="","",BT26+BV26+BX26+BZ26)</f>
      </c>
      <c r="CB26" s="37">
        <f>IF(B26="","",Q26*Imp_Ventas_Serv)</f>
      </c>
      <c r="CC26" s="37">
        <f>IF(B26="","",Q26*Contrib_Territorial)</f>
      </c>
      <c r="CD26" s="70">
        <f>IF(B26="","",BM26-CA26-CB26-CC26)</f>
      </c>
      <c r="CE26" s="37">
        <f>IF(B26="","",MAX(0,CD26)*Imp_Utilidades)</f>
      </c>
      <c r="CF26" s="70">
        <f>IF(B26="","",CD26-CE26)</f>
      </c>
      <c r="CG26" s="72">
        <f>IF(B26="","",IF(Q26=0,0,CF26/Q26))</f>
      </c>
      <c r="CH26" s="73">
        <f>IF(B26="","",IF(J26=0,0,(BL26+CA26+CB26+CC26)/J26))</f>
      </c>
      <c r="CI26" s="73">
        <f>IF(B26="","",IF(J26=0,0,Q26/J26))</f>
      </c>
      <c r="CJ26" s="73">
        <f>IF(B26="","",IF(J26=0,0,CD26/J26))</f>
      </c>
      <c r="CK26" s="37">
        <f>IF(B26="","",Y26+AE26+BK26+BT26)</f>
      </c>
      <c r="CL26" s="37">
        <f>IF(B26="","",IF(J26=0,0,(M26+P26*G26/J26)*(1-Pct_Reclamaciones-Pct_Banco-Imp_Ventas_Serv-Contrib_Territorial)-AI26-BE26-BV26-CK26*G26/J26))</f>
      </c>
      <c r="CM26" s="37">
        <f>IF(B26="","",IF(J26=0,0,(N26+P26*H26/J26)*(1-Pct_Reclamaciones-Pct_Banco-Imp_Ventas_Serv-Contrib_Territorial)-AS26-BF26-BX26-CK26*H26/J26))</f>
      </c>
      <c r="CN26" s="37">
        <f>IF(B26="","",IF(J26=0,0,(O26+P26*I26/J26)*(1-Pct_Reclamaciones-Pct_Banco-Imp_Ventas_Serv-Contrib_Territorial)-BC26-BG26-BZ26-CK26*I26/J26))</f>
      </c>
      <c r="CO26" s="37">
        <f>IF(B26="","",IF(J26=0,0,ROUND(CD26-CL26-CM26-CN26,4)))</f>
      </c>
      <c r="CP26" s="71">
        <f>IF(B26="","",T26+AG26+AK26+AM26+AU26+AW26)</f>
      </c>
      <c r="CQ26" s="71">
        <f>IF(B26="","",U26+AH26+AL26+AN26+AV26+AX26)</f>
      </c>
      <c r="CR26" s="72">
        <f>IF(B26="","",IF(CP26=0,0,CQ26/CP26-1))</f>
      </c>
      <c r="CS26" s="60">
        <f>IF(B26="","",IF(ENTRADA!$Y26="","",ENTRADA!$Y26-C26))</f>
      </c>
      <c r="CT26" s="66">
        <f>IF(B26="","",IF(ENTRADA!$C26="","Falta fecha. ","")&amp;IF(BP26=0,"Mes fuera del rango de COSTOS_FIJOS. ","")&amp;IF(J26=0,"Sin kg. ","")&amp;IF(E26="","Falta transitaria. ","")&amp;IF(AND(T26&gt;0,U26/T26-1&gt;Tolerancia_Comb),"Combustible al puerto "&amp;TEXT(U26/T26-1,"+0%")&amp;" sobre norma. ","")&amp;IF(AND(AG26&gt;0,AH26/AG26-1&gt;Tolerancia_Comb),"Combustible distribución Occidente "&amp;TEXT(AH26/AG26-1,"+0%")&amp;" sobre norma. ","")&amp;IF(AND(AK26&gt;0,AL26/AK26-1&gt;Tolerancia_Comb),"Combustible traslado Centro "&amp;TEXT(AL26/AK26-1,"+0%")&amp;" sobre norma. ","")&amp;IF(AND(AM26&gt;0,AN26/AM26-1&gt;Tolerancia_Comb),"Combustible distribución Centro "&amp;TEXT(AN26/AM26-1,"+0%")&amp;" sobre norma. ","")&amp;IF(AND(AU26&gt;0,AV26/AU26-1&gt;Tolerancia_Comb),"Combustible traslado Oriente "&amp;TEXT(AV26/AU26-1,"+0%")&amp;" sobre norma. ","")&amp;IF(AND(AW26&gt;0,AX26/AW26-1&gt;Tolerancia_Comb),"Combustible distribución Oriente "&amp;TEXT(AX26/AW26-1,"+0%")&amp;" sobre norma. ","")&amp;IF(AND(ENTRADA!$C26&lt;&gt;"",C26&lt;PRECIOS!$A$6),"Fecha anterior a la 1ª vigencia de precios. ","")&amp;IF(CD26&lt;0,"Contenedor con pérdida. ",""))</f>
      </c>
    </row>
    <row r="27">
      <c r="A27" s="60">
        <f>IF(B27="","",ROW()-5)</f>
      </c>
      <c r="B27" s="63">
        <f>IF(ENTRADA!$B27="","",ENTRADA!$B27)</f>
      </c>
      <c r="C27" s="64">
        <f>IF(B27="","",ENTRADA!$C27)</f>
      </c>
      <c r="D27" s="65">
        <f>IF(B27="","",DATE(YEAR(C27),MONTH(C27),1))</f>
      </c>
      <c r="E27" s="66">
        <f>IF(B27="","",ENTRADA!$D27&amp;"")</f>
      </c>
      <c r="F27" s="66">
        <f>IF(B27="","",ENTRADA!$Z27&amp;"")</f>
      </c>
      <c r="G27" s="67">
        <f>IF(B27="","",N(ENTRADA!$G27))</f>
      </c>
      <c r="H27" s="67">
        <f>IF(B27="","",N(ENTRADA!$H27))</f>
      </c>
      <c r="I27" s="67">
        <f>IF(B27="","",N(ENTRADA!$I27))</f>
      </c>
      <c r="J27" s="68">
        <f>IF(B27="","",G27+H27+I27)</f>
      </c>
      <c r="K27" s="60">
        <f>IF(B27="","",IFERROR(MATCH(SUMPRODUCT(MAX((PRECIOS!$A$6:$A$55&lt;=C27)*PRECIOS!$A$6:$A$55)),PRECIOS!$A$6:$A$55,0),1))</f>
      </c>
      <c r="L27" s="69">
        <f>IF(B27="","",INDEX(PRECIOS!$A$6:$A$55,K27))</f>
      </c>
      <c r="M27" s="37">
        <f>IF(B27="","",G27*INDEX(PRECIOS!$B$6:$B$55,K27))</f>
      </c>
      <c r="N27" s="37">
        <f>IF(B27="","",H27*INDEX(PRECIOS!$C$6:$C$55,K27))</f>
      </c>
      <c r="O27" s="37">
        <f>IF(B27="","",I27*INDEX(PRECIOS!$D$6:$D$55,K27))</f>
      </c>
      <c r="P27" s="37">
        <f>IF(B27="","",N(ENTRADA!$X27))</f>
      </c>
      <c r="Q27" s="70">
        <f>IF(B27="","",M27+N27+O27+P27)</f>
      </c>
      <c r="R27" s="71">
        <f>IF(B27="","",IF(ENTRADA!$J27="",Std_Viajes_Puerto,ENTRADA!$J27))</f>
      </c>
      <c r="S27" s="37">
        <f>IF(B27="","",R27*INDEX(PRECIOS!$F$6:$F$55,K27))</f>
      </c>
      <c r="T27" s="71">
        <f>IF(B27="","",R27*Litros_Puerto_Viaje)</f>
      </c>
      <c r="U27" s="71">
        <f>IF(B27="","",IF(ENTRADA!$K27="",T27,ENTRADA!$K27))</f>
      </c>
      <c r="V27" s="37">
        <f>IF(B27="","",U27*INDEX(PRECIOS!$E$6:$E$55,K27))</f>
      </c>
      <c r="W27" s="37">
        <f>IF(B27="","",IF(ENTRADA!$L27="",R27*INDEX(PRECIOS!$G$6:$G$55,K27),ENTRADA!$L27))</f>
      </c>
      <c r="X27" s="37">
        <f>IF(B27="","",R27*Km_Puerto_Viaje*INDEX(PRECIOS!$N$6:$N$55,K27))</f>
      </c>
      <c r="Y27" s="70">
        <f>IF(B27="","",S27+V27+W27+X27)</f>
      </c>
      <c r="Z27" s="71">
        <f>IF(B27="","",IF(J27=0,0,ROUNDUP(J27/Rend_Desagrupe,0)))</f>
      </c>
      <c r="AA27" s="71">
        <f>IF(B27="","",IF(ENTRADA!$M27="",Z27,ENTRADA!$M27))</f>
      </c>
      <c r="AB27" s="37">
        <f>IF(B27="","",AA27*INDEX(PRECIOS!$H$6:$H$55,K27))</f>
      </c>
      <c r="AC27" s="37">
        <f>IF(B27="","",IF(E27="ENCI",INDEX(PRECIOS!$J$6:$J$55,K27),IF(E27="A.V",INDEX(PRECIOS!$K$6:$K$55,K27),0)))</f>
      </c>
      <c r="AD27" s="37">
        <f>IF(B27="","",N(ENTRADA!$N27))</f>
      </c>
      <c r="AE27" s="70">
        <f>IF(B27="","",AB27+AC27+AD27)</f>
      </c>
      <c r="AF27" s="71">
        <f>IF(B27="","",IF(G27=0,0,ROUNDUP(G27/Cap_Camion_OCC,0)))</f>
      </c>
      <c r="AG27" s="71">
        <f>IF(B27="","",AF27*L_Dist_OCC)</f>
      </c>
      <c r="AH27" s="71">
        <f>IF(B27="","",IF(ENTRADA!$O27="",AG27,ENTRADA!$O27))</f>
      </c>
      <c r="AI27" s="37">
        <f>IF(B27="","",AH27*INDEX(PRECIOS!$E$6:$E$55,K27))</f>
      </c>
      <c r="AJ27" s="71">
        <f>IF(B27="","",IF(H27=0,0,ROUNDUP(H27/Cap_Camion_CEN,0)))</f>
      </c>
      <c r="AK27" s="71">
        <f>IF(B27="","",AJ27*L_Tras_CEN)</f>
      </c>
      <c r="AL27" s="71">
        <f>IF(B27="","",IF(ENTRADA!$P27="",AK27,ENTRADA!$P27))</f>
      </c>
      <c r="AM27" s="71">
        <f>IF(B27="","",AJ27*L_Dist_CEN)</f>
      </c>
      <c r="AN27" s="71">
        <f>IF(B27="","",IF(ENTRADA!$Q27="",AM27,ENTRADA!$Q27))</f>
      </c>
      <c r="AO27" s="37">
        <f>IF(B27="","",(AL27+AN27)*INDEX(PRECIOS!$E$6:$E$55,K27))</f>
      </c>
      <c r="AP27" s="71">
        <f>IF(B27="","",IF(H27=0,0,ROUNDUP(H27/Rend_Desagrupe_CT,0)))</f>
      </c>
      <c r="AQ27" s="71">
        <f>IF(B27="","",IF(ENTRADA!$R27="",AP27,ENTRADA!$R27))</f>
      </c>
      <c r="AR27" s="37">
        <f>IF(B27="","",AQ27*INDEX(PRECIOS!$I$6:$I$55,K27))</f>
      </c>
      <c r="AS27" s="37">
        <f>IF(B27="","",AO27+AR27)</f>
      </c>
      <c r="AT27" s="71">
        <f>IF(B27="","",IF(I27=0,0,ROUNDUP(I27/Cap_Camion_ORI,0)))</f>
      </c>
      <c r="AU27" s="71">
        <f>IF(B27="","",AT27*L_Tras_ORI)</f>
      </c>
      <c r="AV27" s="71">
        <f>IF(B27="","",IF(ENTRADA!$S27="",AU27,ENTRADA!$S27))</f>
      </c>
      <c r="AW27" s="71">
        <f>IF(B27="","",AT27*L_Dist_ORI)</f>
      </c>
      <c r="AX27" s="71">
        <f>IF(B27="","",IF(ENTRADA!$T27="",AW27,ENTRADA!$T27))</f>
      </c>
      <c r="AY27" s="37">
        <f>IF(B27="","",(AV27+AX27)*INDEX(PRECIOS!$E$6:$E$55,K27))</f>
      </c>
      <c r="AZ27" s="71">
        <f>IF(B27="","",IF(I27=0,0,ROUNDUP(I27/Rend_Desagrupe_CT,0)))</f>
      </c>
      <c r="BA27" s="71">
        <f>IF(B27="","",IF(ENTRADA!$U27="",AZ27,ENTRADA!$U27))</f>
      </c>
      <c r="BB27" s="37">
        <f>IF(B27="","",BA27*INDEX(PRECIOS!$I$6:$I$55,K27))</f>
      </c>
      <c r="BC27" s="37">
        <f>IF(B27="","",AY27+BB27)</f>
      </c>
      <c r="BD27" s="70">
        <f>IF(B27="","",AI27+AS27+BC27)</f>
      </c>
      <c r="BE27" s="37">
        <f>IF(B27="","",IF(Base_Comision="% DEL INGRESO",M27*INDEX(PRECIOS!$L$6:$L$55,K27),G27*INDEX(PRECIOS!$M$6:$M$55,K27)))</f>
      </c>
      <c r="BF27" s="37">
        <f>IF(B27="","",IF(Base_Comision="% DEL INGRESO",N27*INDEX(PRECIOS!$L$6:$L$55,K27),H27*INDEX(PRECIOS!$M$6:$M$55,K27)))</f>
      </c>
      <c r="BG27" s="37">
        <f>IF(B27="","",IF(Base_Comision="% DEL INGRESO",O27*INDEX(PRECIOS!$L$6:$L$55,K27),I27*INDEX(PRECIOS!$M$6:$M$55,K27)))</f>
      </c>
      <c r="BH27" s="70">
        <f>IF(B27="","",BE27+BF27+BG27)</f>
      </c>
      <c r="BI27" s="37">
        <f>IF(B27="","",Q27*Pct_Reclamaciones)</f>
      </c>
      <c r="BJ27" s="37">
        <f>IF(B27="","",Q27*Pct_Banco)</f>
      </c>
      <c r="BK27" s="37">
        <f>IF(B27="","",N(ENTRADA!$V27))</f>
      </c>
      <c r="BL27" s="70">
        <f>IF(B27="","",Y27+AE27+BD27+BH27+BI27+BJ27+BK27)</f>
      </c>
      <c r="BM27" s="70">
        <f>IF(B27="","",Q27-BL27)</f>
      </c>
      <c r="BN27" s="72">
        <f>IF(B27="","",IF(Q27=0,0,BM27/Q27))</f>
      </c>
      <c r="BO27" s="73">
        <f>IF(B27="","",IF(J27=0,0,BM27/J27))</f>
      </c>
      <c r="BP27" s="60">
        <f>IF(B27="","",IFERROR(MATCH(D27,COSTOS_FIJOS!$G$5:$AD$5,0),0))</f>
      </c>
      <c r="BQ27" s="60">
        <f>IF(B27="","",COUNTIFS($D$6:$D$305,D27))</f>
      </c>
      <c r="BR27" s="67">
        <f>IF(B27="","",SUMIFS($J$6:$J$305,$D$6:$D$305,D27))</f>
      </c>
      <c r="BS27" s="72">
        <f>IF(B27="","",IF(Metodo_Prorrateo="KG",IF(BR27=0,0,J27/BR27),1/BQ27))</f>
      </c>
      <c r="BT27" s="37">
        <f>IF(B27="","",IF(BP27=0,0,INDEX(COSTOS_FIJOS!$G$38:$AD$38,BP27))*BS27)</f>
      </c>
      <c r="BU27" s="72">
        <f>IF(B27="","",IF(Metodo_Prorrateo="KG",IF(SUMIFS($G$6:$G$305,$D$6:$D$305,D27)=0,0,G27/SUMIFS($G$6:$G$305,$D$6:$D$305,D27)),IF(G27&gt;0,1/COUNTIFS($D$6:$D$305,D27,$G$6:$G$305,"&gt;0"),0)))</f>
      </c>
      <c r="BV27" s="37">
        <f>IF(B27="","",IF(BP27=0,0,INDEX(COSTOS_FIJOS!$G$39:$AD$39,BP27))*BU27)</f>
      </c>
      <c r="BW27" s="72">
        <f>IF(B27="","",IF(Metodo_Prorrateo="KG",IF(SUMIFS($H$6:$H$305,$D$6:$D$305,D27)=0,0,H27/SUMIFS($H$6:$H$305,$D$6:$D$305,D27)),IF(H27&gt;0,1/COUNTIFS($D$6:$D$305,D27,$H$6:$H$305,"&gt;0"),0)))</f>
      </c>
      <c r="BX27" s="37">
        <f>IF(B27="","",IF(BP27=0,0,INDEX(COSTOS_FIJOS!$G$40:$AD$40,BP27))*BW27)</f>
      </c>
      <c r="BY27" s="72">
        <f>IF(B27="","",IF(Metodo_Prorrateo="KG",IF(SUMIFS($I$6:$I$305,$D$6:$D$305,D27)=0,0,I27/SUMIFS($I$6:$I$305,$D$6:$D$305,D27)),IF(I27&gt;0,1/COUNTIFS($D$6:$D$305,D27,$I$6:$I$305,"&gt;0"),0)))</f>
      </c>
      <c r="BZ27" s="37">
        <f>IF(B27="","",IF(BP27=0,0,INDEX(COSTOS_FIJOS!$G$41:$AD$41,BP27))*BY27)</f>
      </c>
      <c r="CA27" s="70">
        <f>IF(B27="","",BT27+BV27+BX27+BZ27)</f>
      </c>
      <c r="CB27" s="37">
        <f>IF(B27="","",Q27*Imp_Ventas_Serv)</f>
      </c>
      <c r="CC27" s="37">
        <f>IF(B27="","",Q27*Contrib_Territorial)</f>
      </c>
      <c r="CD27" s="70">
        <f>IF(B27="","",BM27-CA27-CB27-CC27)</f>
      </c>
      <c r="CE27" s="37">
        <f>IF(B27="","",MAX(0,CD27)*Imp_Utilidades)</f>
      </c>
      <c r="CF27" s="70">
        <f>IF(B27="","",CD27-CE27)</f>
      </c>
      <c r="CG27" s="72">
        <f>IF(B27="","",IF(Q27=0,0,CF27/Q27))</f>
      </c>
      <c r="CH27" s="73">
        <f>IF(B27="","",IF(J27=0,0,(BL27+CA27+CB27+CC27)/J27))</f>
      </c>
      <c r="CI27" s="73">
        <f>IF(B27="","",IF(J27=0,0,Q27/J27))</f>
      </c>
      <c r="CJ27" s="73">
        <f>IF(B27="","",IF(J27=0,0,CD27/J27))</f>
      </c>
      <c r="CK27" s="37">
        <f>IF(B27="","",Y27+AE27+BK27+BT27)</f>
      </c>
      <c r="CL27" s="37">
        <f>IF(B27="","",IF(J27=0,0,(M27+P27*G27/J27)*(1-Pct_Reclamaciones-Pct_Banco-Imp_Ventas_Serv-Contrib_Territorial)-AI27-BE27-BV27-CK27*G27/J27))</f>
      </c>
      <c r="CM27" s="37">
        <f>IF(B27="","",IF(J27=0,0,(N27+P27*H27/J27)*(1-Pct_Reclamaciones-Pct_Banco-Imp_Ventas_Serv-Contrib_Territorial)-AS27-BF27-BX27-CK27*H27/J27))</f>
      </c>
      <c r="CN27" s="37">
        <f>IF(B27="","",IF(J27=0,0,(O27+P27*I27/J27)*(1-Pct_Reclamaciones-Pct_Banco-Imp_Ventas_Serv-Contrib_Territorial)-BC27-BG27-BZ27-CK27*I27/J27))</f>
      </c>
      <c r="CO27" s="37">
        <f>IF(B27="","",IF(J27=0,0,ROUND(CD27-CL27-CM27-CN27,4)))</f>
      </c>
      <c r="CP27" s="71">
        <f>IF(B27="","",T27+AG27+AK27+AM27+AU27+AW27)</f>
      </c>
      <c r="CQ27" s="71">
        <f>IF(B27="","",U27+AH27+AL27+AN27+AV27+AX27)</f>
      </c>
      <c r="CR27" s="72">
        <f>IF(B27="","",IF(CP27=0,0,CQ27/CP27-1))</f>
      </c>
      <c r="CS27" s="60">
        <f>IF(B27="","",IF(ENTRADA!$Y27="","",ENTRADA!$Y27-C27))</f>
      </c>
      <c r="CT27" s="66">
        <f>IF(B27="","",IF(ENTRADA!$C27="","Falta fecha. ","")&amp;IF(BP27=0,"Mes fuera del rango de COSTOS_FIJOS. ","")&amp;IF(J27=0,"Sin kg. ","")&amp;IF(E27="","Falta transitaria. ","")&amp;IF(AND(T27&gt;0,U27/T27-1&gt;Tolerancia_Comb),"Combustible al puerto "&amp;TEXT(U27/T27-1,"+0%")&amp;" sobre norma. ","")&amp;IF(AND(AG27&gt;0,AH27/AG27-1&gt;Tolerancia_Comb),"Combustible distribución Occidente "&amp;TEXT(AH27/AG27-1,"+0%")&amp;" sobre norma. ","")&amp;IF(AND(AK27&gt;0,AL27/AK27-1&gt;Tolerancia_Comb),"Combustible traslado Centro "&amp;TEXT(AL27/AK27-1,"+0%")&amp;" sobre norma. ","")&amp;IF(AND(AM27&gt;0,AN27/AM27-1&gt;Tolerancia_Comb),"Combustible distribución Centro "&amp;TEXT(AN27/AM27-1,"+0%")&amp;" sobre norma. ","")&amp;IF(AND(AU27&gt;0,AV27/AU27-1&gt;Tolerancia_Comb),"Combustible traslado Oriente "&amp;TEXT(AV27/AU27-1,"+0%")&amp;" sobre norma. ","")&amp;IF(AND(AW27&gt;0,AX27/AW27-1&gt;Tolerancia_Comb),"Combustible distribución Oriente "&amp;TEXT(AX27/AW27-1,"+0%")&amp;" sobre norma. ","")&amp;IF(AND(ENTRADA!$C27&lt;&gt;"",C27&lt;PRECIOS!$A$6),"Fecha anterior a la 1ª vigencia de precios. ","")&amp;IF(CD27&lt;0,"Contenedor con pérdida. ",""))</f>
      </c>
    </row>
    <row r="28">
      <c r="A28" s="60">
        <f>IF(B28="","",ROW()-5)</f>
      </c>
      <c r="B28" s="63">
        <f>IF(ENTRADA!$B28="","",ENTRADA!$B28)</f>
      </c>
      <c r="C28" s="64">
        <f>IF(B28="","",ENTRADA!$C28)</f>
      </c>
      <c r="D28" s="65">
        <f>IF(B28="","",DATE(YEAR(C28),MONTH(C28),1))</f>
      </c>
      <c r="E28" s="66">
        <f>IF(B28="","",ENTRADA!$D28&amp;"")</f>
      </c>
      <c r="F28" s="66">
        <f>IF(B28="","",ENTRADA!$Z28&amp;"")</f>
      </c>
      <c r="G28" s="67">
        <f>IF(B28="","",N(ENTRADA!$G28))</f>
      </c>
      <c r="H28" s="67">
        <f>IF(B28="","",N(ENTRADA!$H28))</f>
      </c>
      <c r="I28" s="67">
        <f>IF(B28="","",N(ENTRADA!$I28))</f>
      </c>
      <c r="J28" s="68">
        <f>IF(B28="","",G28+H28+I28)</f>
      </c>
      <c r="K28" s="60">
        <f>IF(B28="","",IFERROR(MATCH(SUMPRODUCT(MAX((PRECIOS!$A$6:$A$55&lt;=C28)*PRECIOS!$A$6:$A$55)),PRECIOS!$A$6:$A$55,0),1))</f>
      </c>
      <c r="L28" s="69">
        <f>IF(B28="","",INDEX(PRECIOS!$A$6:$A$55,K28))</f>
      </c>
      <c r="M28" s="37">
        <f>IF(B28="","",G28*INDEX(PRECIOS!$B$6:$B$55,K28))</f>
      </c>
      <c r="N28" s="37">
        <f>IF(B28="","",H28*INDEX(PRECIOS!$C$6:$C$55,K28))</f>
      </c>
      <c r="O28" s="37">
        <f>IF(B28="","",I28*INDEX(PRECIOS!$D$6:$D$55,K28))</f>
      </c>
      <c r="P28" s="37">
        <f>IF(B28="","",N(ENTRADA!$X28))</f>
      </c>
      <c r="Q28" s="70">
        <f>IF(B28="","",M28+N28+O28+P28)</f>
      </c>
      <c r="R28" s="71">
        <f>IF(B28="","",IF(ENTRADA!$J28="",Std_Viajes_Puerto,ENTRADA!$J28))</f>
      </c>
      <c r="S28" s="37">
        <f>IF(B28="","",R28*INDEX(PRECIOS!$F$6:$F$55,K28))</f>
      </c>
      <c r="T28" s="71">
        <f>IF(B28="","",R28*Litros_Puerto_Viaje)</f>
      </c>
      <c r="U28" s="71">
        <f>IF(B28="","",IF(ENTRADA!$K28="",T28,ENTRADA!$K28))</f>
      </c>
      <c r="V28" s="37">
        <f>IF(B28="","",U28*INDEX(PRECIOS!$E$6:$E$55,K28))</f>
      </c>
      <c r="W28" s="37">
        <f>IF(B28="","",IF(ENTRADA!$L28="",R28*INDEX(PRECIOS!$G$6:$G$55,K28),ENTRADA!$L28))</f>
      </c>
      <c r="X28" s="37">
        <f>IF(B28="","",R28*Km_Puerto_Viaje*INDEX(PRECIOS!$N$6:$N$55,K28))</f>
      </c>
      <c r="Y28" s="70">
        <f>IF(B28="","",S28+V28+W28+X28)</f>
      </c>
      <c r="Z28" s="71">
        <f>IF(B28="","",IF(J28=0,0,ROUNDUP(J28/Rend_Desagrupe,0)))</f>
      </c>
      <c r="AA28" s="71">
        <f>IF(B28="","",IF(ENTRADA!$M28="",Z28,ENTRADA!$M28))</f>
      </c>
      <c r="AB28" s="37">
        <f>IF(B28="","",AA28*INDEX(PRECIOS!$H$6:$H$55,K28))</f>
      </c>
      <c r="AC28" s="37">
        <f>IF(B28="","",IF(E28="ENCI",INDEX(PRECIOS!$J$6:$J$55,K28),IF(E28="A.V",INDEX(PRECIOS!$K$6:$K$55,K28),0)))</f>
      </c>
      <c r="AD28" s="37">
        <f>IF(B28="","",N(ENTRADA!$N28))</f>
      </c>
      <c r="AE28" s="70">
        <f>IF(B28="","",AB28+AC28+AD28)</f>
      </c>
      <c r="AF28" s="71">
        <f>IF(B28="","",IF(G28=0,0,ROUNDUP(G28/Cap_Camion_OCC,0)))</f>
      </c>
      <c r="AG28" s="71">
        <f>IF(B28="","",AF28*L_Dist_OCC)</f>
      </c>
      <c r="AH28" s="71">
        <f>IF(B28="","",IF(ENTRADA!$O28="",AG28,ENTRADA!$O28))</f>
      </c>
      <c r="AI28" s="37">
        <f>IF(B28="","",AH28*INDEX(PRECIOS!$E$6:$E$55,K28))</f>
      </c>
      <c r="AJ28" s="71">
        <f>IF(B28="","",IF(H28=0,0,ROUNDUP(H28/Cap_Camion_CEN,0)))</f>
      </c>
      <c r="AK28" s="71">
        <f>IF(B28="","",AJ28*L_Tras_CEN)</f>
      </c>
      <c r="AL28" s="71">
        <f>IF(B28="","",IF(ENTRADA!$P28="",AK28,ENTRADA!$P28))</f>
      </c>
      <c r="AM28" s="71">
        <f>IF(B28="","",AJ28*L_Dist_CEN)</f>
      </c>
      <c r="AN28" s="71">
        <f>IF(B28="","",IF(ENTRADA!$Q28="",AM28,ENTRADA!$Q28))</f>
      </c>
      <c r="AO28" s="37">
        <f>IF(B28="","",(AL28+AN28)*INDEX(PRECIOS!$E$6:$E$55,K28))</f>
      </c>
      <c r="AP28" s="71">
        <f>IF(B28="","",IF(H28=0,0,ROUNDUP(H28/Rend_Desagrupe_CT,0)))</f>
      </c>
      <c r="AQ28" s="71">
        <f>IF(B28="","",IF(ENTRADA!$R28="",AP28,ENTRADA!$R28))</f>
      </c>
      <c r="AR28" s="37">
        <f>IF(B28="","",AQ28*INDEX(PRECIOS!$I$6:$I$55,K28))</f>
      </c>
      <c r="AS28" s="37">
        <f>IF(B28="","",AO28+AR28)</f>
      </c>
      <c r="AT28" s="71">
        <f>IF(B28="","",IF(I28=0,0,ROUNDUP(I28/Cap_Camion_ORI,0)))</f>
      </c>
      <c r="AU28" s="71">
        <f>IF(B28="","",AT28*L_Tras_ORI)</f>
      </c>
      <c r="AV28" s="71">
        <f>IF(B28="","",IF(ENTRADA!$S28="",AU28,ENTRADA!$S28))</f>
      </c>
      <c r="AW28" s="71">
        <f>IF(B28="","",AT28*L_Dist_ORI)</f>
      </c>
      <c r="AX28" s="71">
        <f>IF(B28="","",IF(ENTRADA!$T28="",AW28,ENTRADA!$T28))</f>
      </c>
      <c r="AY28" s="37">
        <f>IF(B28="","",(AV28+AX28)*INDEX(PRECIOS!$E$6:$E$55,K28))</f>
      </c>
      <c r="AZ28" s="71">
        <f>IF(B28="","",IF(I28=0,0,ROUNDUP(I28/Rend_Desagrupe_CT,0)))</f>
      </c>
      <c r="BA28" s="71">
        <f>IF(B28="","",IF(ENTRADA!$U28="",AZ28,ENTRADA!$U28))</f>
      </c>
      <c r="BB28" s="37">
        <f>IF(B28="","",BA28*INDEX(PRECIOS!$I$6:$I$55,K28))</f>
      </c>
      <c r="BC28" s="37">
        <f>IF(B28="","",AY28+BB28)</f>
      </c>
      <c r="BD28" s="70">
        <f>IF(B28="","",AI28+AS28+BC28)</f>
      </c>
      <c r="BE28" s="37">
        <f>IF(B28="","",IF(Base_Comision="% DEL INGRESO",M28*INDEX(PRECIOS!$L$6:$L$55,K28),G28*INDEX(PRECIOS!$M$6:$M$55,K28)))</f>
      </c>
      <c r="BF28" s="37">
        <f>IF(B28="","",IF(Base_Comision="% DEL INGRESO",N28*INDEX(PRECIOS!$L$6:$L$55,K28),H28*INDEX(PRECIOS!$M$6:$M$55,K28)))</f>
      </c>
      <c r="BG28" s="37">
        <f>IF(B28="","",IF(Base_Comision="% DEL INGRESO",O28*INDEX(PRECIOS!$L$6:$L$55,K28),I28*INDEX(PRECIOS!$M$6:$M$55,K28)))</f>
      </c>
      <c r="BH28" s="70">
        <f>IF(B28="","",BE28+BF28+BG28)</f>
      </c>
      <c r="BI28" s="37">
        <f>IF(B28="","",Q28*Pct_Reclamaciones)</f>
      </c>
      <c r="BJ28" s="37">
        <f>IF(B28="","",Q28*Pct_Banco)</f>
      </c>
      <c r="BK28" s="37">
        <f>IF(B28="","",N(ENTRADA!$V28))</f>
      </c>
      <c r="BL28" s="70">
        <f>IF(B28="","",Y28+AE28+BD28+BH28+BI28+BJ28+BK28)</f>
      </c>
      <c r="BM28" s="70">
        <f>IF(B28="","",Q28-BL28)</f>
      </c>
      <c r="BN28" s="72">
        <f>IF(B28="","",IF(Q28=0,0,BM28/Q28))</f>
      </c>
      <c r="BO28" s="73">
        <f>IF(B28="","",IF(J28=0,0,BM28/J28))</f>
      </c>
      <c r="BP28" s="60">
        <f>IF(B28="","",IFERROR(MATCH(D28,COSTOS_FIJOS!$G$5:$AD$5,0),0))</f>
      </c>
      <c r="BQ28" s="60">
        <f>IF(B28="","",COUNTIFS($D$6:$D$305,D28))</f>
      </c>
      <c r="BR28" s="67">
        <f>IF(B28="","",SUMIFS($J$6:$J$305,$D$6:$D$305,D28))</f>
      </c>
      <c r="BS28" s="72">
        <f>IF(B28="","",IF(Metodo_Prorrateo="KG",IF(BR28=0,0,J28/BR28),1/BQ28))</f>
      </c>
      <c r="BT28" s="37">
        <f>IF(B28="","",IF(BP28=0,0,INDEX(COSTOS_FIJOS!$G$38:$AD$38,BP28))*BS28)</f>
      </c>
      <c r="BU28" s="72">
        <f>IF(B28="","",IF(Metodo_Prorrateo="KG",IF(SUMIFS($G$6:$G$305,$D$6:$D$305,D28)=0,0,G28/SUMIFS($G$6:$G$305,$D$6:$D$305,D28)),IF(G28&gt;0,1/COUNTIFS($D$6:$D$305,D28,$G$6:$G$305,"&gt;0"),0)))</f>
      </c>
      <c r="BV28" s="37">
        <f>IF(B28="","",IF(BP28=0,0,INDEX(COSTOS_FIJOS!$G$39:$AD$39,BP28))*BU28)</f>
      </c>
      <c r="BW28" s="72">
        <f>IF(B28="","",IF(Metodo_Prorrateo="KG",IF(SUMIFS($H$6:$H$305,$D$6:$D$305,D28)=0,0,H28/SUMIFS($H$6:$H$305,$D$6:$D$305,D28)),IF(H28&gt;0,1/COUNTIFS($D$6:$D$305,D28,$H$6:$H$305,"&gt;0"),0)))</f>
      </c>
      <c r="BX28" s="37">
        <f>IF(B28="","",IF(BP28=0,0,INDEX(COSTOS_FIJOS!$G$40:$AD$40,BP28))*BW28)</f>
      </c>
      <c r="BY28" s="72">
        <f>IF(B28="","",IF(Metodo_Prorrateo="KG",IF(SUMIFS($I$6:$I$305,$D$6:$D$305,D28)=0,0,I28/SUMIFS($I$6:$I$305,$D$6:$D$305,D28)),IF(I28&gt;0,1/COUNTIFS($D$6:$D$305,D28,$I$6:$I$305,"&gt;0"),0)))</f>
      </c>
      <c r="BZ28" s="37">
        <f>IF(B28="","",IF(BP28=0,0,INDEX(COSTOS_FIJOS!$G$41:$AD$41,BP28))*BY28)</f>
      </c>
      <c r="CA28" s="70">
        <f>IF(B28="","",BT28+BV28+BX28+BZ28)</f>
      </c>
      <c r="CB28" s="37">
        <f>IF(B28="","",Q28*Imp_Ventas_Serv)</f>
      </c>
      <c r="CC28" s="37">
        <f>IF(B28="","",Q28*Contrib_Territorial)</f>
      </c>
      <c r="CD28" s="70">
        <f>IF(B28="","",BM28-CA28-CB28-CC28)</f>
      </c>
      <c r="CE28" s="37">
        <f>IF(B28="","",MAX(0,CD28)*Imp_Utilidades)</f>
      </c>
      <c r="CF28" s="70">
        <f>IF(B28="","",CD28-CE28)</f>
      </c>
      <c r="CG28" s="72">
        <f>IF(B28="","",IF(Q28=0,0,CF28/Q28))</f>
      </c>
      <c r="CH28" s="73">
        <f>IF(B28="","",IF(J28=0,0,(BL28+CA28+CB28+CC28)/J28))</f>
      </c>
      <c r="CI28" s="73">
        <f>IF(B28="","",IF(J28=0,0,Q28/J28))</f>
      </c>
      <c r="CJ28" s="73">
        <f>IF(B28="","",IF(J28=0,0,CD28/J28))</f>
      </c>
      <c r="CK28" s="37">
        <f>IF(B28="","",Y28+AE28+BK28+BT28)</f>
      </c>
      <c r="CL28" s="37">
        <f>IF(B28="","",IF(J28=0,0,(M28+P28*G28/J28)*(1-Pct_Reclamaciones-Pct_Banco-Imp_Ventas_Serv-Contrib_Territorial)-AI28-BE28-BV28-CK28*G28/J28))</f>
      </c>
      <c r="CM28" s="37">
        <f>IF(B28="","",IF(J28=0,0,(N28+P28*H28/J28)*(1-Pct_Reclamaciones-Pct_Banco-Imp_Ventas_Serv-Contrib_Territorial)-AS28-BF28-BX28-CK28*H28/J28))</f>
      </c>
      <c r="CN28" s="37">
        <f>IF(B28="","",IF(J28=0,0,(O28+P28*I28/J28)*(1-Pct_Reclamaciones-Pct_Banco-Imp_Ventas_Serv-Contrib_Territorial)-BC28-BG28-BZ28-CK28*I28/J28))</f>
      </c>
      <c r="CO28" s="37">
        <f>IF(B28="","",IF(J28=0,0,ROUND(CD28-CL28-CM28-CN28,4)))</f>
      </c>
      <c r="CP28" s="71">
        <f>IF(B28="","",T28+AG28+AK28+AM28+AU28+AW28)</f>
      </c>
      <c r="CQ28" s="71">
        <f>IF(B28="","",U28+AH28+AL28+AN28+AV28+AX28)</f>
      </c>
      <c r="CR28" s="72">
        <f>IF(B28="","",IF(CP28=0,0,CQ28/CP28-1))</f>
      </c>
      <c r="CS28" s="60">
        <f>IF(B28="","",IF(ENTRADA!$Y28="","",ENTRADA!$Y28-C28))</f>
      </c>
      <c r="CT28" s="66">
        <f>IF(B28="","",IF(ENTRADA!$C28="","Falta fecha. ","")&amp;IF(BP28=0,"Mes fuera del rango de COSTOS_FIJOS. ","")&amp;IF(J28=0,"Sin kg. ","")&amp;IF(E28="","Falta transitaria. ","")&amp;IF(AND(T28&gt;0,U28/T28-1&gt;Tolerancia_Comb),"Combustible al puerto "&amp;TEXT(U28/T28-1,"+0%")&amp;" sobre norma. ","")&amp;IF(AND(AG28&gt;0,AH28/AG28-1&gt;Tolerancia_Comb),"Combustible distribución Occidente "&amp;TEXT(AH28/AG28-1,"+0%")&amp;" sobre norma. ","")&amp;IF(AND(AK28&gt;0,AL28/AK28-1&gt;Tolerancia_Comb),"Combustible traslado Centro "&amp;TEXT(AL28/AK28-1,"+0%")&amp;" sobre norma. ","")&amp;IF(AND(AM28&gt;0,AN28/AM28-1&gt;Tolerancia_Comb),"Combustible distribución Centro "&amp;TEXT(AN28/AM28-1,"+0%")&amp;" sobre norma. ","")&amp;IF(AND(AU28&gt;0,AV28/AU28-1&gt;Tolerancia_Comb),"Combustible traslado Oriente "&amp;TEXT(AV28/AU28-1,"+0%")&amp;" sobre norma. ","")&amp;IF(AND(AW28&gt;0,AX28/AW28-1&gt;Tolerancia_Comb),"Combustible distribución Oriente "&amp;TEXT(AX28/AW28-1,"+0%")&amp;" sobre norma. ","")&amp;IF(AND(ENTRADA!$C28&lt;&gt;"",C28&lt;PRECIOS!$A$6),"Fecha anterior a la 1ª vigencia de precios. ","")&amp;IF(CD28&lt;0,"Contenedor con pérdida. ",""))</f>
      </c>
    </row>
    <row r="29">
      <c r="A29" s="60">
        <f>IF(B29="","",ROW()-5)</f>
      </c>
      <c r="B29" s="63">
        <f>IF(ENTRADA!$B29="","",ENTRADA!$B29)</f>
      </c>
      <c r="C29" s="64">
        <f>IF(B29="","",ENTRADA!$C29)</f>
      </c>
      <c r="D29" s="65">
        <f>IF(B29="","",DATE(YEAR(C29),MONTH(C29),1))</f>
      </c>
      <c r="E29" s="66">
        <f>IF(B29="","",ENTRADA!$D29&amp;"")</f>
      </c>
      <c r="F29" s="66">
        <f>IF(B29="","",ENTRADA!$Z29&amp;"")</f>
      </c>
      <c r="G29" s="67">
        <f>IF(B29="","",N(ENTRADA!$G29))</f>
      </c>
      <c r="H29" s="67">
        <f>IF(B29="","",N(ENTRADA!$H29))</f>
      </c>
      <c r="I29" s="67">
        <f>IF(B29="","",N(ENTRADA!$I29))</f>
      </c>
      <c r="J29" s="68">
        <f>IF(B29="","",G29+H29+I29)</f>
      </c>
      <c r="K29" s="60">
        <f>IF(B29="","",IFERROR(MATCH(SUMPRODUCT(MAX((PRECIOS!$A$6:$A$55&lt;=C29)*PRECIOS!$A$6:$A$55)),PRECIOS!$A$6:$A$55,0),1))</f>
      </c>
      <c r="L29" s="69">
        <f>IF(B29="","",INDEX(PRECIOS!$A$6:$A$55,K29))</f>
      </c>
      <c r="M29" s="37">
        <f>IF(B29="","",G29*INDEX(PRECIOS!$B$6:$B$55,K29))</f>
      </c>
      <c r="N29" s="37">
        <f>IF(B29="","",H29*INDEX(PRECIOS!$C$6:$C$55,K29))</f>
      </c>
      <c r="O29" s="37">
        <f>IF(B29="","",I29*INDEX(PRECIOS!$D$6:$D$55,K29))</f>
      </c>
      <c r="P29" s="37">
        <f>IF(B29="","",N(ENTRADA!$X29))</f>
      </c>
      <c r="Q29" s="70">
        <f>IF(B29="","",M29+N29+O29+P29)</f>
      </c>
      <c r="R29" s="71">
        <f>IF(B29="","",IF(ENTRADA!$J29="",Std_Viajes_Puerto,ENTRADA!$J29))</f>
      </c>
      <c r="S29" s="37">
        <f>IF(B29="","",R29*INDEX(PRECIOS!$F$6:$F$55,K29))</f>
      </c>
      <c r="T29" s="71">
        <f>IF(B29="","",R29*Litros_Puerto_Viaje)</f>
      </c>
      <c r="U29" s="71">
        <f>IF(B29="","",IF(ENTRADA!$K29="",T29,ENTRADA!$K29))</f>
      </c>
      <c r="V29" s="37">
        <f>IF(B29="","",U29*INDEX(PRECIOS!$E$6:$E$55,K29))</f>
      </c>
      <c r="W29" s="37">
        <f>IF(B29="","",IF(ENTRADA!$L29="",R29*INDEX(PRECIOS!$G$6:$G$55,K29),ENTRADA!$L29))</f>
      </c>
      <c r="X29" s="37">
        <f>IF(B29="","",R29*Km_Puerto_Viaje*INDEX(PRECIOS!$N$6:$N$55,K29))</f>
      </c>
      <c r="Y29" s="70">
        <f>IF(B29="","",S29+V29+W29+X29)</f>
      </c>
      <c r="Z29" s="71">
        <f>IF(B29="","",IF(J29=0,0,ROUNDUP(J29/Rend_Desagrupe,0)))</f>
      </c>
      <c r="AA29" s="71">
        <f>IF(B29="","",IF(ENTRADA!$M29="",Z29,ENTRADA!$M29))</f>
      </c>
      <c r="AB29" s="37">
        <f>IF(B29="","",AA29*INDEX(PRECIOS!$H$6:$H$55,K29))</f>
      </c>
      <c r="AC29" s="37">
        <f>IF(B29="","",IF(E29="ENCI",INDEX(PRECIOS!$J$6:$J$55,K29),IF(E29="A.V",INDEX(PRECIOS!$K$6:$K$55,K29),0)))</f>
      </c>
      <c r="AD29" s="37">
        <f>IF(B29="","",N(ENTRADA!$N29))</f>
      </c>
      <c r="AE29" s="70">
        <f>IF(B29="","",AB29+AC29+AD29)</f>
      </c>
      <c r="AF29" s="71">
        <f>IF(B29="","",IF(G29=0,0,ROUNDUP(G29/Cap_Camion_OCC,0)))</f>
      </c>
      <c r="AG29" s="71">
        <f>IF(B29="","",AF29*L_Dist_OCC)</f>
      </c>
      <c r="AH29" s="71">
        <f>IF(B29="","",IF(ENTRADA!$O29="",AG29,ENTRADA!$O29))</f>
      </c>
      <c r="AI29" s="37">
        <f>IF(B29="","",AH29*INDEX(PRECIOS!$E$6:$E$55,K29))</f>
      </c>
      <c r="AJ29" s="71">
        <f>IF(B29="","",IF(H29=0,0,ROUNDUP(H29/Cap_Camion_CEN,0)))</f>
      </c>
      <c r="AK29" s="71">
        <f>IF(B29="","",AJ29*L_Tras_CEN)</f>
      </c>
      <c r="AL29" s="71">
        <f>IF(B29="","",IF(ENTRADA!$P29="",AK29,ENTRADA!$P29))</f>
      </c>
      <c r="AM29" s="71">
        <f>IF(B29="","",AJ29*L_Dist_CEN)</f>
      </c>
      <c r="AN29" s="71">
        <f>IF(B29="","",IF(ENTRADA!$Q29="",AM29,ENTRADA!$Q29))</f>
      </c>
      <c r="AO29" s="37">
        <f>IF(B29="","",(AL29+AN29)*INDEX(PRECIOS!$E$6:$E$55,K29))</f>
      </c>
      <c r="AP29" s="71">
        <f>IF(B29="","",IF(H29=0,0,ROUNDUP(H29/Rend_Desagrupe_CT,0)))</f>
      </c>
      <c r="AQ29" s="71">
        <f>IF(B29="","",IF(ENTRADA!$R29="",AP29,ENTRADA!$R29))</f>
      </c>
      <c r="AR29" s="37">
        <f>IF(B29="","",AQ29*INDEX(PRECIOS!$I$6:$I$55,K29))</f>
      </c>
      <c r="AS29" s="37">
        <f>IF(B29="","",AO29+AR29)</f>
      </c>
      <c r="AT29" s="71">
        <f>IF(B29="","",IF(I29=0,0,ROUNDUP(I29/Cap_Camion_ORI,0)))</f>
      </c>
      <c r="AU29" s="71">
        <f>IF(B29="","",AT29*L_Tras_ORI)</f>
      </c>
      <c r="AV29" s="71">
        <f>IF(B29="","",IF(ENTRADA!$S29="",AU29,ENTRADA!$S29))</f>
      </c>
      <c r="AW29" s="71">
        <f>IF(B29="","",AT29*L_Dist_ORI)</f>
      </c>
      <c r="AX29" s="71">
        <f>IF(B29="","",IF(ENTRADA!$T29="",AW29,ENTRADA!$T29))</f>
      </c>
      <c r="AY29" s="37">
        <f>IF(B29="","",(AV29+AX29)*INDEX(PRECIOS!$E$6:$E$55,K29))</f>
      </c>
      <c r="AZ29" s="71">
        <f>IF(B29="","",IF(I29=0,0,ROUNDUP(I29/Rend_Desagrupe_CT,0)))</f>
      </c>
      <c r="BA29" s="71">
        <f>IF(B29="","",IF(ENTRADA!$U29="",AZ29,ENTRADA!$U29))</f>
      </c>
      <c r="BB29" s="37">
        <f>IF(B29="","",BA29*INDEX(PRECIOS!$I$6:$I$55,K29))</f>
      </c>
      <c r="BC29" s="37">
        <f>IF(B29="","",AY29+BB29)</f>
      </c>
      <c r="BD29" s="70">
        <f>IF(B29="","",AI29+AS29+BC29)</f>
      </c>
      <c r="BE29" s="37">
        <f>IF(B29="","",IF(Base_Comision="% DEL INGRESO",M29*INDEX(PRECIOS!$L$6:$L$55,K29),G29*INDEX(PRECIOS!$M$6:$M$55,K29)))</f>
      </c>
      <c r="BF29" s="37">
        <f>IF(B29="","",IF(Base_Comision="% DEL INGRESO",N29*INDEX(PRECIOS!$L$6:$L$55,K29),H29*INDEX(PRECIOS!$M$6:$M$55,K29)))</f>
      </c>
      <c r="BG29" s="37">
        <f>IF(B29="","",IF(Base_Comision="% DEL INGRESO",O29*INDEX(PRECIOS!$L$6:$L$55,K29),I29*INDEX(PRECIOS!$M$6:$M$55,K29)))</f>
      </c>
      <c r="BH29" s="70">
        <f>IF(B29="","",BE29+BF29+BG29)</f>
      </c>
      <c r="BI29" s="37">
        <f>IF(B29="","",Q29*Pct_Reclamaciones)</f>
      </c>
      <c r="BJ29" s="37">
        <f>IF(B29="","",Q29*Pct_Banco)</f>
      </c>
      <c r="BK29" s="37">
        <f>IF(B29="","",N(ENTRADA!$V29))</f>
      </c>
      <c r="BL29" s="70">
        <f>IF(B29="","",Y29+AE29+BD29+BH29+BI29+BJ29+BK29)</f>
      </c>
      <c r="BM29" s="70">
        <f>IF(B29="","",Q29-BL29)</f>
      </c>
      <c r="BN29" s="72">
        <f>IF(B29="","",IF(Q29=0,0,BM29/Q29))</f>
      </c>
      <c r="BO29" s="73">
        <f>IF(B29="","",IF(J29=0,0,BM29/J29))</f>
      </c>
      <c r="BP29" s="60">
        <f>IF(B29="","",IFERROR(MATCH(D29,COSTOS_FIJOS!$G$5:$AD$5,0),0))</f>
      </c>
      <c r="BQ29" s="60">
        <f>IF(B29="","",COUNTIFS($D$6:$D$305,D29))</f>
      </c>
      <c r="BR29" s="67">
        <f>IF(B29="","",SUMIFS($J$6:$J$305,$D$6:$D$305,D29))</f>
      </c>
      <c r="BS29" s="72">
        <f>IF(B29="","",IF(Metodo_Prorrateo="KG",IF(BR29=0,0,J29/BR29),1/BQ29))</f>
      </c>
      <c r="BT29" s="37">
        <f>IF(B29="","",IF(BP29=0,0,INDEX(COSTOS_FIJOS!$G$38:$AD$38,BP29))*BS29)</f>
      </c>
      <c r="BU29" s="72">
        <f>IF(B29="","",IF(Metodo_Prorrateo="KG",IF(SUMIFS($G$6:$G$305,$D$6:$D$305,D29)=0,0,G29/SUMIFS($G$6:$G$305,$D$6:$D$305,D29)),IF(G29&gt;0,1/COUNTIFS($D$6:$D$305,D29,$G$6:$G$305,"&gt;0"),0)))</f>
      </c>
      <c r="BV29" s="37">
        <f>IF(B29="","",IF(BP29=0,0,INDEX(COSTOS_FIJOS!$G$39:$AD$39,BP29))*BU29)</f>
      </c>
      <c r="BW29" s="72">
        <f>IF(B29="","",IF(Metodo_Prorrateo="KG",IF(SUMIFS($H$6:$H$305,$D$6:$D$305,D29)=0,0,H29/SUMIFS($H$6:$H$305,$D$6:$D$305,D29)),IF(H29&gt;0,1/COUNTIFS($D$6:$D$305,D29,$H$6:$H$305,"&gt;0"),0)))</f>
      </c>
      <c r="BX29" s="37">
        <f>IF(B29="","",IF(BP29=0,0,INDEX(COSTOS_FIJOS!$G$40:$AD$40,BP29))*BW29)</f>
      </c>
      <c r="BY29" s="72">
        <f>IF(B29="","",IF(Metodo_Prorrateo="KG",IF(SUMIFS($I$6:$I$305,$D$6:$D$305,D29)=0,0,I29/SUMIFS($I$6:$I$305,$D$6:$D$305,D29)),IF(I29&gt;0,1/COUNTIFS($D$6:$D$305,D29,$I$6:$I$305,"&gt;0"),0)))</f>
      </c>
      <c r="BZ29" s="37">
        <f>IF(B29="","",IF(BP29=0,0,INDEX(COSTOS_FIJOS!$G$41:$AD$41,BP29))*BY29)</f>
      </c>
      <c r="CA29" s="70">
        <f>IF(B29="","",BT29+BV29+BX29+BZ29)</f>
      </c>
      <c r="CB29" s="37">
        <f>IF(B29="","",Q29*Imp_Ventas_Serv)</f>
      </c>
      <c r="CC29" s="37">
        <f>IF(B29="","",Q29*Contrib_Territorial)</f>
      </c>
      <c r="CD29" s="70">
        <f>IF(B29="","",BM29-CA29-CB29-CC29)</f>
      </c>
      <c r="CE29" s="37">
        <f>IF(B29="","",MAX(0,CD29)*Imp_Utilidades)</f>
      </c>
      <c r="CF29" s="70">
        <f>IF(B29="","",CD29-CE29)</f>
      </c>
      <c r="CG29" s="72">
        <f>IF(B29="","",IF(Q29=0,0,CF29/Q29))</f>
      </c>
      <c r="CH29" s="73">
        <f>IF(B29="","",IF(J29=0,0,(BL29+CA29+CB29+CC29)/J29))</f>
      </c>
      <c r="CI29" s="73">
        <f>IF(B29="","",IF(J29=0,0,Q29/J29))</f>
      </c>
      <c r="CJ29" s="73">
        <f>IF(B29="","",IF(J29=0,0,CD29/J29))</f>
      </c>
      <c r="CK29" s="37">
        <f>IF(B29="","",Y29+AE29+BK29+BT29)</f>
      </c>
      <c r="CL29" s="37">
        <f>IF(B29="","",IF(J29=0,0,(M29+P29*G29/J29)*(1-Pct_Reclamaciones-Pct_Banco-Imp_Ventas_Serv-Contrib_Territorial)-AI29-BE29-BV29-CK29*G29/J29))</f>
      </c>
      <c r="CM29" s="37">
        <f>IF(B29="","",IF(J29=0,0,(N29+P29*H29/J29)*(1-Pct_Reclamaciones-Pct_Banco-Imp_Ventas_Serv-Contrib_Territorial)-AS29-BF29-BX29-CK29*H29/J29))</f>
      </c>
      <c r="CN29" s="37">
        <f>IF(B29="","",IF(J29=0,0,(O29+P29*I29/J29)*(1-Pct_Reclamaciones-Pct_Banco-Imp_Ventas_Serv-Contrib_Territorial)-BC29-BG29-BZ29-CK29*I29/J29))</f>
      </c>
      <c r="CO29" s="37">
        <f>IF(B29="","",IF(J29=0,0,ROUND(CD29-CL29-CM29-CN29,4)))</f>
      </c>
      <c r="CP29" s="71">
        <f>IF(B29="","",T29+AG29+AK29+AM29+AU29+AW29)</f>
      </c>
      <c r="CQ29" s="71">
        <f>IF(B29="","",U29+AH29+AL29+AN29+AV29+AX29)</f>
      </c>
      <c r="CR29" s="72">
        <f>IF(B29="","",IF(CP29=0,0,CQ29/CP29-1))</f>
      </c>
      <c r="CS29" s="60">
        <f>IF(B29="","",IF(ENTRADA!$Y29="","",ENTRADA!$Y29-C29))</f>
      </c>
      <c r="CT29" s="66">
        <f>IF(B29="","",IF(ENTRADA!$C29="","Falta fecha. ","")&amp;IF(BP29=0,"Mes fuera del rango de COSTOS_FIJOS. ","")&amp;IF(J29=0,"Sin kg. ","")&amp;IF(E29="","Falta transitaria. ","")&amp;IF(AND(T29&gt;0,U29/T29-1&gt;Tolerancia_Comb),"Combustible al puerto "&amp;TEXT(U29/T29-1,"+0%")&amp;" sobre norma. ","")&amp;IF(AND(AG29&gt;0,AH29/AG29-1&gt;Tolerancia_Comb),"Combustible distribución Occidente "&amp;TEXT(AH29/AG29-1,"+0%")&amp;" sobre norma. ","")&amp;IF(AND(AK29&gt;0,AL29/AK29-1&gt;Tolerancia_Comb),"Combustible traslado Centro "&amp;TEXT(AL29/AK29-1,"+0%")&amp;" sobre norma. ","")&amp;IF(AND(AM29&gt;0,AN29/AM29-1&gt;Tolerancia_Comb),"Combustible distribución Centro "&amp;TEXT(AN29/AM29-1,"+0%")&amp;" sobre norma. ","")&amp;IF(AND(AU29&gt;0,AV29/AU29-1&gt;Tolerancia_Comb),"Combustible traslado Oriente "&amp;TEXT(AV29/AU29-1,"+0%")&amp;" sobre norma. ","")&amp;IF(AND(AW29&gt;0,AX29/AW29-1&gt;Tolerancia_Comb),"Combustible distribución Oriente "&amp;TEXT(AX29/AW29-1,"+0%")&amp;" sobre norma. ","")&amp;IF(AND(ENTRADA!$C29&lt;&gt;"",C29&lt;PRECIOS!$A$6),"Fecha anterior a la 1ª vigencia de precios. ","")&amp;IF(CD29&lt;0,"Contenedor con pérdida. ",""))</f>
      </c>
    </row>
    <row r="30">
      <c r="A30" s="60">
        <f>IF(B30="","",ROW()-5)</f>
      </c>
      <c r="B30" s="63">
        <f>IF(ENTRADA!$B30="","",ENTRADA!$B30)</f>
      </c>
      <c r="C30" s="64">
        <f>IF(B30="","",ENTRADA!$C30)</f>
      </c>
      <c r="D30" s="65">
        <f>IF(B30="","",DATE(YEAR(C30),MONTH(C30),1))</f>
      </c>
      <c r="E30" s="66">
        <f>IF(B30="","",ENTRADA!$D30&amp;"")</f>
      </c>
      <c r="F30" s="66">
        <f>IF(B30="","",ENTRADA!$Z30&amp;"")</f>
      </c>
      <c r="G30" s="67">
        <f>IF(B30="","",N(ENTRADA!$G30))</f>
      </c>
      <c r="H30" s="67">
        <f>IF(B30="","",N(ENTRADA!$H30))</f>
      </c>
      <c r="I30" s="67">
        <f>IF(B30="","",N(ENTRADA!$I30))</f>
      </c>
      <c r="J30" s="68">
        <f>IF(B30="","",G30+H30+I30)</f>
      </c>
      <c r="K30" s="60">
        <f>IF(B30="","",IFERROR(MATCH(SUMPRODUCT(MAX((PRECIOS!$A$6:$A$55&lt;=C30)*PRECIOS!$A$6:$A$55)),PRECIOS!$A$6:$A$55,0),1))</f>
      </c>
      <c r="L30" s="69">
        <f>IF(B30="","",INDEX(PRECIOS!$A$6:$A$55,K30))</f>
      </c>
      <c r="M30" s="37">
        <f>IF(B30="","",G30*INDEX(PRECIOS!$B$6:$B$55,K30))</f>
      </c>
      <c r="N30" s="37">
        <f>IF(B30="","",H30*INDEX(PRECIOS!$C$6:$C$55,K30))</f>
      </c>
      <c r="O30" s="37">
        <f>IF(B30="","",I30*INDEX(PRECIOS!$D$6:$D$55,K30))</f>
      </c>
      <c r="P30" s="37">
        <f>IF(B30="","",N(ENTRADA!$X30))</f>
      </c>
      <c r="Q30" s="70">
        <f>IF(B30="","",M30+N30+O30+P30)</f>
      </c>
      <c r="R30" s="71">
        <f>IF(B30="","",IF(ENTRADA!$J30="",Std_Viajes_Puerto,ENTRADA!$J30))</f>
      </c>
      <c r="S30" s="37">
        <f>IF(B30="","",R30*INDEX(PRECIOS!$F$6:$F$55,K30))</f>
      </c>
      <c r="T30" s="71">
        <f>IF(B30="","",R30*Litros_Puerto_Viaje)</f>
      </c>
      <c r="U30" s="71">
        <f>IF(B30="","",IF(ENTRADA!$K30="",T30,ENTRADA!$K30))</f>
      </c>
      <c r="V30" s="37">
        <f>IF(B30="","",U30*INDEX(PRECIOS!$E$6:$E$55,K30))</f>
      </c>
      <c r="W30" s="37">
        <f>IF(B30="","",IF(ENTRADA!$L30="",R30*INDEX(PRECIOS!$G$6:$G$55,K30),ENTRADA!$L30))</f>
      </c>
      <c r="X30" s="37">
        <f>IF(B30="","",R30*Km_Puerto_Viaje*INDEX(PRECIOS!$N$6:$N$55,K30))</f>
      </c>
      <c r="Y30" s="70">
        <f>IF(B30="","",S30+V30+W30+X30)</f>
      </c>
      <c r="Z30" s="71">
        <f>IF(B30="","",IF(J30=0,0,ROUNDUP(J30/Rend_Desagrupe,0)))</f>
      </c>
      <c r="AA30" s="71">
        <f>IF(B30="","",IF(ENTRADA!$M30="",Z30,ENTRADA!$M30))</f>
      </c>
      <c r="AB30" s="37">
        <f>IF(B30="","",AA30*INDEX(PRECIOS!$H$6:$H$55,K30))</f>
      </c>
      <c r="AC30" s="37">
        <f>IF(B30="","",IF(E30="ENCI",INDEX(PRECIOS!$J$6:$J$55,K30),IF(E30="A.V",INDEX(PRECIOS!$K$6:$K$55,K30),0)))</f>
      </c>
      <c r="AD30" s="37">
        <f>IF(B30="","",N(ENTRADA!$N30))</f>
      </c>
      <c r="AE30" s="70">
        <f>IF(B30="","",AB30+AC30+AD30)</f>
      </c>
      <c r="AF30" s="71">
        <f>IF(B30="","",IF(G30=0,0,ROUNDUP(G30/Cap_Camion_OCC,0)))</f>
      </c>
      <c r="AG30" s="71">
        <f>IF(B30="","",AF30*L_Dist_OCC)</f>
      </c>
      <c r="AH30" s="71">
        <f>IF(B30="","",IF(ENTRADA!$O30="",AG30,ENTRADA!$O30))</f>
      </c>
      <c r="AI30" s="37">
        <f>IF(B30="","",AH30*INDEX(PRECIOS!$E$6:$E$55,K30))</f>
      </c>
      <c r="AJ30" s="71">
        <f>IF(B30="","",IF(H30=0,0,ROUNDUP(H30/Cap_Camion_CEN,0)))</f>
      </c>
      <c r="AK30" s="71">
        <f>IF(B30="","",AJ30*L_Tras_CEN)</f>
      </c>
      <c r="AL30" s="71">
        <f>IF(B30="","",IF(ENTRADA!$P30="",AK30,ENTRADA!$P30))</f>
      </c>
      <c r="AM30" s="71">
        <f>IF(B30="","",AJ30*L_Dist_CEN)</f>
      </c>
      <c r="AN30" s="71">
        <f>IF(B30="","",IF(ENTRADA!$Q30="",AM30,ENTRADA!$Q30))</f>
      </c>
      <c r="AO30" s="37">
        <f>IF(B30="","",(AL30+AN30)*INDEX(PRECIOS!$E$6:$E$55,K30))</f>
      </c>
      <c r="AP30" s="71">
        <f>IF(B30="","",IF(H30=0,0,ROUNDUP(H30/Rend_Desagrupe_CT,0)))</f>
      </c>
      <c r="AQ30" s="71">
        <f>IF(B30="","",IF(ENTRADA!$R30="",AP30,ENTRADA!$R30))</f>
      </c>
      <c r="AR30" s="37">
        <f>IF(B30="","",AQ30*INDEX(PRECIOS!$I$6:$I$55,K30))</f>
      </c>
      <c r="AS30" s="37">
        <f>IF(B30="","",AO30+AR30)</f>
      </c>
      <c r="AT30" s="71">
        <f>IF(B30="","",IF(I30=0,0,ROUNDUP(I30/Cap_Camion_ORI,0)))</f>
      </c>
      <c r="AU30" s="71">
        <f>IF(B30="","",AT30*L_Tras_ORI)</f>
      </c>
      <c r="AV30" s="71">
        <f>IF(B30="","",IF(ENTRADA!$S30="",AU30,ENTRADA!$S30))</f>
      </c>
      <c r="AW30" s="71">
        <f>IF(B30="","",AT30*L_Dist_ORI)</f>
      </c>
      <c r="AX30" s="71">
        <f>IF(B30="","",IF(ENTRADA!$T30="",AW30,ENTRADA!$T30))</f>
      </c>
      <c r="AY30" s="37">
        <f>IF(B30="","",(AV30+AX30)*INDEX(PRECIOS!$E$6:$E$55,K30))</f>
      </c>
      <c r="AZ30" s="71">
        <f>IF(B30="","",IF(I30=0,0,ROUNDUP(I30/Rend_Desagrupe_CT,0)))</f>
      </c>
      <c r="BA30" s="71">
        <f>IF(B30="","",IF(ENTRADA!$U30="",AZ30,ENTRADA!$U30))</f>
      </c>
      <c r="BB30" s="37">
        <f>IF(B30="","",BA30*INDEX(PRECIOS!$I$6:$I$55,K30))</f>
      </c>
      <c r="BC30" s="37">
        <f>IF(B30="","",AY30+BB30)</f>
      </c>
      <c r="BD30" s="70">
        <f>IF(B30="","",AI30+AS30+BC30)</f>
      </c>
      <c r="BE30" s="37">
        <f>IF(B30="","",IF(Base_Comision="% DEL INGRESO",M30*INDEX(PRECIOS!$L$6:$L$55,K30),G30*INDEX(PRECIOS!$M$6:$M$55,K30)))</f>
      </c>
      <c r="BF30" s="37">
        <f>IF(B30="","",IF(Base_Comision="% DEL INGRESO",N30*INDEX(PRECIOS!$L$6:$L$55,K30),H30*INDEX(PRECIOS!$M$6:$M$55,K30)))</f>
      </c>
      <c r="BG30" s="37">
        <f>IF(B30="","",IF(Base_Comision="% DEL INGRESO",O30*INDEX(PRECIOS!$L$6:$L$55,K30),I30*INDEX(PRECIOS!$M$6:$M$55,K30)))</f>
      </c>
      <c r="BH30" s="70">
        <f>IF(B30="","",BE30+BF30+BG30)</f>
      </c>
      <c r="BI30" s="37">
        <f>IF(B30="","",Q30*Pct_Reclamaciones)</f>
      </c>
      <c r="BJ30" s="37">
        <f>IF(B30="","",Q30*Pct_Banco)</f>
      </c>
      <c r="BK30" s="37">
        <f>IF(B30="","",N(ENTRADA!$V30))</f>
      </c>
      <c r="BL30" s="70">
        <f>IF(B30="","",Y30+AE30+BD30+BH30+BI30+BJ30+BK30)</f>
      </c>
      <c r="BM30" s="70">
        <f>IF(B30="","",Q30-BL30)</f>
      </c>
      <c r="BN30" s="72">
        <f>IF(B30="","",IF(Q30=0,0,BM30/Q30))</f>
      </c>
      <c r="BO30" s="73">
        <f>IF(B30="","",IF(J30=0,0,BM30/J30))</f>
      </c>
      <c r="BP30" s="60">
        <f>IF(B30="","",IFERROR(MATCH(D30,COSTOS_FIJOS!$G$5:$AD$5,0),0))</f>
      </c>
      <c r="BQ30" s="60">
        <f>IF(B30="","",COUNTIFS($D$6:$D$305,D30))</f>
      </c>
      <c r="BR30" s="67">
        <f>IF(B30="","",SUMIFS($J$6:$J$305,$D$6:$D$305,D30))</f>
      </c>
      <c r="BS30" s="72">
        <f>IF(B30="","",IF(Metodo_Prorrateo="KG",IF(BR30=0,0,J30/BR30),1/BQ30))</f>
      </c>
      <c r="BT30" s="37">
        <f>IF(B30="","",IF(BP30=0,0,INDEX(COSTOS_FIJOS!$G$38:$AD$38,BP30))*BS30)</f>
      </c>
      <c r="BU30" s="72">
        <f>IF(B30="","",IF(Metodo_Prorrateo="KG",IF(SUMIFS($G$6:$G$305,$D$6:$D$305,D30)=0,0,G30/SUMIFS($G$6:$G$305,$D$6:$D$305,D30)),IF(G30&gt;0,1/COUNTIFS($D$6:$D$305,D30,$G$6:$G$305,"&gt;0"),0)))</f>
      </c>
      <c r="BV30" s="37">
        <f>IF(B30="","",IF(BP30=0,0,INDEX(COSTOS_FIJOS!$G$39:$AD$39,BP30))*BU30)</f>
      </c>
      <c r="BW30" s="72">
        <f>IF(B30="","",IF(Metodo_Prorrateo="KG",IF(SUMIFS($H$6:$H$305,$D$6:$D$305,D30)=0,0,H30/SUMIFS($H$6:$H$305,$D$6:$D$305,D30)),IF(H30&gt;0,1/COUNTIFS($D$6:$D$305,D30,$H$6:$H$305,"&gt;0"),0)))</f>
      </c>
      <c r="BX30" s="37">
        <f>IF(B30="","",IF(BP30=0,0,INDEX(COSTOS_FIJOS!$G$40:$AD$40,BP30))*BW30)</f>
      </c>
      <c r="BY30" s="72">
        <f>IF(B30="","",IF(Metodo_Prorrateo="KG",IF(SUMIFS($I$6:$I$305,$D$6:$D$305,D30)=0,0,I30/SUMIFS($I$6:$I$305,$D$6:$D$305,D30)),IF(I30&gt;0,1/COUNTIFS($D$6:$D$305,D30,$I$6:$I$305,"&gt;0"),0)))</f>
      </c>
      <c r="BZ30" s="37">
        <f>IF(B30="","",IF(BP30=0,0,INDEX(COSTOS_FIJOS!$G$41:$AD$41,BP30))*BY30)</f>
      </c>
      <c r="CA30" s="70">
        <f>IF(B30="","",BT30+BV30+BX30+BZ30)</f>
      </c>
      <c r="CB30" s="37">
        <f>IF(B30="","",Q30*Imp_Ventas_Serv)</f>
      </c>
      <c r="CC30" s="37">
        <f>IF(B30="","",Q30*Contrib_Territorial)</f>
      </c>
      <c r="CD30" s="70">
        <f>IF(B30="","",BM30-CA30-CB30-CC30)</f>
      </c>
      <c r="CE30" s="37">
        <f>IF(B30="","",MAX(0,CD30)*Imp_Utilidades)</f>
      </c>
      <c r="CF30" s="70">
        <f>IF(B30="","",CD30-CE30)</f>
      </c>
      <c r="CG30" s="72">
        <f>IF(B30="","",IF(Q30=0,0,CF30/Q30))</f>
      </c>
      <c r="CH30" s="73">
        <f>IF(B30="","",IF(J30=0,0,(BL30+CA30+CB30+CC30)/J30))</f>
      </c>
      <c r="CI30" s="73">
        <f>IF(B30="","",IF(J30=0,0,Q30/J30))</f>
      </c>
      <c r="CJ30" s="73">
        <f>IF(B30="","",IF(J30=0,0,CD30/J30))</f>
      </c>
      <c r="CK30" s="37">
        <f>IF(B30="","",Y30+AE30+BK30+BT30)</f>
      </c>
      <c r="CL30" s="37">
        <f>IF(B30="","",IF(J30=0,0,(M30+P30*G30/J30)*(1-Pct_Reclamaciones-Pct_Banco-Imp_Ventas_Serv-Contrib_Territorial)-AI30-BE30-BV30-CK30*G30/J30))</f>
      </c>
      <c r="CM30" s="37">
        <f>IF(B30="","",IF(J30=0,0,(N30+P30*H30/J30)*(1-Pct_Reclamaciones-Pct_Banco-Imp_Ventas_Serv-Contrib_Territorial)-AS30-BF30-BX30-CK30*H30/J30))</f>
      </c>
      <c r="CN30" s="37">
        <f>IF(B30="","",IF(J30=0,0,(O30+P30*I30/J30)*(1-Pct_Reclamaciones-Pct_Banco-Imp_Ventas_Serv-Contrib_Territorial)-BC30-BG30-BZ30-CK30*I30/J30))</f>
      </c>
      <c r="CO30" s="37">
        <f>IF(B30="","",IF(J30=0,0,ROUND(CD30-CL30-CM30-CN30,4)))</f>
      </c>
      <c r="CP30" s="71">
        <f>IF(B30="","",T30+AG30+AK30+AM30+AU30+AW30)</f>
      </c>
      <c r="CQ30" s="71">
        <f>IF(B30="","",U30+AH30+AL30+AN30+AV30+AX30)</f>
      </c>
      <c r="CR30" s="72">
        <f>IF(B30="","",IF(CP30=0,0,CQ30/CP30-1))</f>
      </c>
      <c r="CS30" s="60">
        <f>IF(B30="","",IF(ENTRADA!$Y30="","",ENTRADA!$Y30-C30))</f>
      </c>
      <c r="CT30" s="66">
        <f>IF(B30="","",IF(ENTRADA!$C30="","Falta fecha. ","")&amp;IF(BP30=0,"Mes fuera del rango de COSTOS_FIJOS. ","")&amp;IF(J30=0,"Sin kg. ","")&amp;IF(E30="","Falta transitaria. ","")&amp;IF(AND(T30&gt;0,U30/T30-1&gt;Tolerancia_Comb),"Combustible al puerto "&amp;TEXT(U30/T30-1,"+0%")&amp;" sobre norma. ","")&amp;IF(AND(AG30&gt;0,AH30/AG30-1&gt;Tolerancia_Comb),"Combustible distribución Occidente "&amp;TEXT(AH30/AG30-1,"+0%")&amp;" sobre norma. ","")&amp;IF(AND(AK30&gt;0,AL30/AK30-1&gt;Tolerancia_Comb),"Combustible traslado Centro "&amp;TEXT(AL30/AK30-1,"+0%")&amp;" sobre norma. ","")&amp;IF(AND(AM30&gt;0,AN30/AM30-1&gt;Tolerancia_Comb),"Combustible distribución Centro "&amp;TEXT(AN30/AM30-1,"+0%")&amp;" sobre norma. ","")&amp;IF(AND(AU30&gt;0,AV30/AU30-1&gt;Tolerancia_Comb),"Combustible traslado Oriente "&amp;TEXT(AV30/AU30-1,"+0%")&amp;" sobre norma. ","")&amp;IF(AND(AW30&gt;0,AX30/AW30-1&gt;Tolerancia_Comb),"Combustible distribución Oriente "&amp;TEXT(AX30/AW30-1,"+0%")&amp;" sobre norma. ","")&amp;IF(AND(ENTRADA!$C30&lt;&gt;"",C30&lt;PRECIOS!$A$6),"Fecha anterior a la 1ª vigencia de precios. ","")&amp;IF(CD30&lt;0,"Contenedor con pérdida. ",""))</f>
      </c>
    </row>
    <row r="31">
      <c r="A31" s="60">
        <f>IF(B31="","",ROW()-5)</f>
      </c>
      <c r="B31" s="63">
        <f>IF(ENTRADA!$B31="","",ENTRADA!$B31)</f>
      </c>
      <c r="C31" s="64">
        <f>IF(B31="","",ENTRADA!$C31)</f>
      </c>
      <c r="D31" s="65">
        <f>IF(B31="","",DATE(YEAR(C31),MONTH(C31),1))</f>
      </c>
      <c r="E31" s="66">
        <f>IF(B31="","",ENTRADA!$D31&amp;"")</f>
      </c>
      <c r="F31" s="66">
        <f>IF(B31="","",ENTRADA!$Z31&amp;"")</f>
      </c>
      <c r="G31" s="67">
        <f>IF(B31="","",N(ENTRADA!$G31))</f>
      </c>
      <c r="H31" s="67">
        <f>IF(B31="","",N(ENTRADA!$H31))</f>
      </c>
      <c r="I31" s="67">
        <f>IF(B31="","",N(ENTRADA!$I31))</f>
      </c>
      <c r="J31" s="68">
        <f>IF(B31="","",G31+H31+I31)</f>
      </c>
      <c r="K31" s="60">
        <f>IF(B31="","",IFERROR(MATCH(SUMPRODUCT(MAX((PRECIOS!$A$6:$A$55&lt;=C31)*PRECIOS!$A$6:$A$55)),PRECIOS!$A$6:$A$55,0),1))</f>
      </c>
      <c r="L31" s="69">
        <f>IF(B31="","",INDEX(PRECIOS!$A$6:$A$55,K31))</f>
      </c>
      <c r="M31" s="37">
        <f>IF(B31="","",G31*INDEX(PRECIOS!$B$6:$B$55,K31))</f>
      </c>
      <c r="N31" s="37">
        <f>IF(B31="","",H31*INDEX(PRECIOS!$C$6:$C$55,K31))</f>
      </c>
      <c r="O31" s="37">
        <f>IF(B31="","",I31*INDEX(PRECIOS!$D$6:$D$55,K31))</f>
      </c>
      <c r="P31" s="37">
        <f>IF(B31="","",N(ENTRADA!$X31))</f>
      </c>
      <c r="Q31" s="70">
        <f>IF(B31="","",M31+N31+O31+P31)</f>
      </c>
      <c r="R31" s="71">
        <f>IF(B31="","",IF(ENTRADA!$J31="",Std_Viajes_Puerto,ENTRADA!$J31))</f>
      </c>
      <c r="S31" s="37">
        <f>IF(B31="","",R31*INDEX(PRECIOS!$F$6:$F$55,K31))</f>
      </c>
      <c r="T31" s="71">
        <f>IF(B31="","",R31*Litros_Puerto_Viaje)</f>
      </c>
      <c r="U31" s="71">
        <f>IF(B31="","",IF(ENTRADA!$K31="",T31,ENTRADA!$K31))</f>
      </c>
      <c r="V31" s="37">
        <f>IF(B31="","",U31*INDEX(PRECIOS!$E$6:$E$55,K31))</f>
      </c>
      <c r="W31" s="37">
        <f>IF(B31="","",IF(ENTRADA!$L31="",R31*INDEX(PRECIOS!$G$6:$G$55,K31),ENTRADA!$L31))</f>
      </c>
      <c r="X31" s="37">
        <f>IF(B31="","",R31*Km_Puerto_Viaje*INDEX(PRECIOS!$N$6:$N$55,K31))</f>
      </c>
      <c r="Y31" s="70">
        <f>IF(B31="","",S31+V31+W31+X31)</f>
      </c>
      <c r="Z31" s="71">
        <f>IF(B31="","",IF(J31=0,0,ROUNDUP(J31/Rend_Desagrupe,0)))</f>
      </c>
      <c r="AA31" s="71">
        <f>IF(B31="","",IF(ENTRADA!$M31="",Z31,ENTRADA!$M31))</f>
      </c>
      <c r="AB31" s="37">
        <f>IF(B31="","",AA31*INDEX(PRECIOS!$H$6:$H$55,K31))</f>
      </c>
      <c r="AC31" s="37">
        <f>IF(B31="","",IF(E31="ENCI",INDEX(PRECIOS!$J$6:$J$55,K31),IF(E31="A.V",INDEX(PRECIOS!$K$6:$K$55,K31),0)))</f>
      </c>
      <c r="AD31" s="37">
        <f>IF(B31="","",N(ENTRADA!$N31))</f>
      </c>
      <c r="AE31" s="70">
        <f>IF(B31="","",AB31+AC31+AD31)</f>
      </c>
      <c r="AF31" s="71">
        <f>IF(B31="","",IF(G31=0,0,ROUNDUP(G31/Cap_Camion_OCC,0)))</f>
      </c>
      <c r="AG31" s="71">
        <f>IF(B31="","",AF31*L_Dist_OCC)</f>
      </c>
      <c r="AH31" s="71">
        <f>IF(B31="","",IF(ENTRADA!$O31="",AG31,ENTRADA!$O31))</f>
      </c>
      <c r="AI31" s="37">
        <f>IF(B31="","",AH31*INDEX(PRECIOS!$E$6:$E$55,K31))</f>
      </c>
      <c r="AJ31" s="71">
        <f>IF(B31="","",IF(H31=0,0,ROUNDUP(H31/Cap_Camion_CEN,0)))</f>
      </c>
      <c r="AK31" s="71">
        <f>IF(B31="","",AJ31*L_Tras_CEN)</f>
      </c>
      <c r="AL31" s="71">
        <f>IF(B31="","",IF(ENTRADA!$P31="",AK31,ENTRADA!$P31))</f>
      </c>
      <c r="AM31" s="71">
        <f>IF(B31="","",AJ31*L_Dist_CEN)</f>
      </c>
      <c r="AN31" s="71">
        <f>IF(B31="","",IF(ENTRADA!$Q31="",AM31,ENTRADA!$Q31))</f>
      </c>
      <c r="AO31" s="37">
        <f>IF(B31="","",(AL31+AN31)*INDEX(PRECIOS!$E$6:$E$55,K31))</f>
      </c>
      <c r="AP31" s="71">
        <f>IF(B31="","",IF(H31=0,0,ROUNDUP(H31/Rend_Desagrupe_CT,0)))</f>
      </c>
      <c r="AQ31" s="71">
        <f>IF(B31="","",IF(ENTRADA!$R31="",AP31,ENTRADA!$R31))</f>
      </c>
      <c r="AR31" s="37">
        <f>IF(B31="","",AQ31*INDEX(PRECIOS!$I$6:$I$55,K31))</f>
      </c>
      <c r="AS31" s="37">
        <f>IF(B31="","",AO31+AR31)</f>
      </c>
      <c r="AT31" s="71">
        <f>IF(B31="","",IF(I31=0,0,ROUNDUP(I31/Cap_Camion_ORI,0)))</f>
      </c>
      <c r="AU31" s="71">
        <f>IF(B31="","",AT31*L_Tras_ORI)</f>
      </c>
      <c r="AV31" s="71">
        <f>IF(B31="","",IF(ENTRADA!$S31="",AU31,ENTRADA!$S31))</f>
      </c>
      <c r="AW31" s="71">
        <f>IF(B31="","",AT31*L_Dist_ORI)</f>
      </c>
      <c r="AX31" s="71">
        <f>IF(B31="","",IF(ENTRADA!$T31="",AW31,ENTRADA!$T31))</f>
      </c>
      <c r="AY31" s="37">
        <f>IF(B31="","",(AV31+AX31)*INDEX(PRECIOS!$E$6:$E$55,K31))</f>
      </c>
      <c r="AZ31" s="71">
        <f>IF(B31="","",IF(I31=0,0,ROUNDUP(I31/Rend_Desagrupe_CT,0)))</f>
      </c>
      <c r="BA31" s="71">
        <f>IF(B31="","",IF(ENTRADA!$U31="",AZ31,ENTRADA!$U31))</f>
      </c>
      <c r="BB31" s="37">
        <f>IF(B31="","",BA31*INDEX(PRECIOS!$I$6:$I$55,K31))</f>
      </c>
      <c r="BC31" s="37">
        <f>IF(B31="","",AY31+BB31)</f>
      </c>
      <c r="BD31" s="70">
        <f>IF(B31="","",AI31+AS31+BC31)</f>
      </c>
      <c r="BE31" s="37">
        <f>IF(B31="","",IF(Base_Comision="% DEL INGRESO",M31*INDEX(PRECIOS!$L$6:$L$55,K31),G31*INDEX(PRECIOS!$M$6:$M$55,K31)))</f>
      </c>
      <c r="BF31" s="37">
        <f>IF(B31="","",IF(Base_Comision="% DEL INGRESO",N31*INDEX(PRECIOS!$L$6:$L$55,K31),H31*INDEX(PRECIOS!$M$6:$M$55,K31)))</f>
      </c>
      <c r="BG31" s="37">
        <f>IF(B31="","",IF(Base_Comision="% DEL INGRESO",O31*INDEX(PRECIOS!$L$6:$L$55,K31),I31*INDEX(PRECIOS!$M$6:$M$55,K31)))</f>
      </c>
      <c r="BH31" s="70">
        <f>IF(B31="","",BE31+BF31+BG31)</f>
      </c>
      <c r="BI31" s="37">
        <f>IF(B31="","",Q31*Pct_Reclamaciones)</f>
      </c>
      <c r="BJ31" s="37">
        <f>IF(B31="","",Q31*Pct_Banco)</f>
      </c>
      <c r="BK31" s="37">
        <f>IF(B31="","",N(ENTRADA!$V31))</f>
      </c>
      <c r="BL31" s="70">
        <f>IF(B31="","",Y31+AE31+BD31+BH31+BI31+BJ31+BK31)</f>
      </c>
      <c r="BM31" s="70">
        <f>IF(B31="","",Q31-BL31)</f>
      </c>
      <c r="BN31" s="72">
        <f>IF(B31="","",IF(Q31=0,0,BM31/Q31))</f>
      </c>
      <c r="BO31" s="73">
        <f>IF(B31="","",IF(J31=0,0,BM31/J31))</f>
      </c>
      <c r="BP31" s="60">
        <f>IF(B31="","",IFERROR(MATCH(D31,COSTOS_FIJOS!$G$5:$AD$5,0),0))</f>
      </c>
      <c r="BQ31" s="60">
        <f>IF(B31="","",COUNTIFS($D$6:$D$305,D31))</f>
      </c>
      <c r="BR31" s="67">
        <f>IF(B31="","",SUMIFS($J$6:$J$305,$D$6:$D$305,D31))</f>
      </c>
      <c r="BS31" s="72">
        <f>IF(B31="","",IF(Metodo_Prorrateo="KG",IF(BR31=0,0,J31/BR31),1/BQ31))</f>
      </c>
      <c r="BT31" s="37">
        <f>IF(B31="","",IF(BP31=0,0,INDEX(COSTOS_FIJOS!$G$38:$AD$38,BP31))*BS31)</f>
      </c>
      <c r="BU31" s="72">
        <f>IF(B31="","",IF(Metodo_Prorrateo="KG",IF(SUMIFS($G$6:$G$305,$D$6:$D$305,D31)=0,0,G31/SUMIFS($G$6:$G$305,$D$6:$D$305,D31)),IF(G31&gt;0,1/COUNTIFS($D$6:$D$305,D31,$G$6:$G$305,"&gt;0"),0)))</f>
      </c>
      <c r="BV31" s="37">
        <f>IF(B31="","",IF(BP31=0,0,INDEX(COSTOS_FIJOS!$G$39:$AD$39,BP31))*BU31)</f>
      </c>
      <c r="BW31" s="72">
        <f>IF(B31="","",IF(Metodo_Prorrateo="KG",IF(SUMIFS($H$6:$H$305,$D$6:$D$305,D31)=0,0,H31/SUMIFS($H$6:$H$305,$D$6:$D$305,D31)),IF(H31&gt;0,1/COUNTIFS($D$6:$D$305,D31,$H$6:$H$305,"&gt;0"),0)))</f>
      </c>
      <c r="BX31" s="37">
        <f>IF(B31="","",IF(BP31=0,0,INDEX(COSTOS_FIJOS!$G$40:$AD$40,BP31))*BW31)</f>
      </c>
      <c r="BY31" s="72">
        <f>IF(B31="","",IF(Metodo_Prorrateo="KG",IF(SUMIFS($I$6:$I$305,$D$6:$D$305,D31)=0,0,I31/SUMIFS($I$6:$I$305,$D$6:$D$305,D31)),IF(I31&gt;0,1/COUNTIFS($D$6:$D$305,D31,$I$6:$I$305,"&gt;0"),0)))</f>
      </c>
      <c r="BZ31" s="37">
        <f>IF(B31="","",IF(BP31=0,0,INDEX(COSTOS_FIJOS!$G$41:$AD$41,BP31))*BY31)</f>
      </c>
      <c r="CA31" s="70">
        <f>IF(B31="","",BT31+BV31+BX31+BZ31)</f>
      </c>
      <c r="CB31" s="37">
        <f>IF(B31="","",Q31*Imp_Ventas_Serv)</f>
      </c>
      <c r="CC31" s="37">
        <f>IF(B31="","",Q31*Contrib_Territorial)</f>
      </c>
      <c r="CD31" s="70">
        <f>IF(B31="","",BM31-CA31-CB31-CC31)</f>
      </c>
      <c r="CE31" s="37">
        <f>IF(B31="","",MAX(0,CD31)*Imp_Utilidades)</f>
      </c>
      <c r="CF31" s="70">
        <f>IF(B31="","",CD31-CE31)</f>
      </c>
      <c r="CG31" s="72">
        <f>IF(B31="","",IF(Q31=0,0,CF31/Q31))</f>
      </c>
      <c r="CH31" s="73">
        <f>IF(B31="","",IF(J31=0,0,(BL31+CA31+CB31+CC31)/J31))</f>
      </c>
      <c r="CI31" s="73">
        <f>IF(B31="","",IF(J31=0,0,Q31/J31))</f>
      </c>
      <c r="CJ31" s="73">
        <f>IF(B31="","",IF(J31=0,0,CD31/J31))</f>
      </c>
      <c r="CK31" s="37">
        <f>IF(B31="","",Y31+AE31+BK31+BT31)</f>
      </c>
      <c r="CL31" s="37">
        <f>IF(B31="","",IF(J31=0,0,(M31+P31*G31/J31)*(1-Pct_Reclamaciones-Pct_Banco-Imp_Ventas_Serv-Contrib_Territorial)-AI31-BE31-BV31-CK31*G31/J31))</f>
      </c>
      <c r="CM31" s="37">
        <f>IF(B31="","",IF(J31=0,0,(N31+P31*H31/J31)*(1-Pct_Reclamaciones-Pct_Banco-Imp_Ventas_Serv-Contrib_Territorial)-AS31-BF31-BX31-CK31*H31/J31))</f>
      </c>
      <c r="CN31" s="37">
        <f>IF(B31="","",IF(J31=0,0,(O31+P31*I31/J31)*(1-Pct_Reclamaciones-Pct_Banco-Imp_Ventas_Serv-Contrib_Territorial)-BC31-BG31-BZ31-CK31*I31/J31))</f>
      </c>
      <c r="CO31" s="37">
        <f>IF(B31="","",IF(J31=0,0,ROUND(CD31-CL31-CM31-CN31,4)))</f>
      </c>
      <c r="CP31" s="71">
        <f>IF(B31="","",T31+AG31+AK31+AM31+AU31+AW31)</f>
      </c>
      <c r="CQ31" s="71">
        <f>IF(B31="","",U31+AH31+AL31+AN31+AV31+AX31)</f>
      </c>
      <c r="CR31" s="72">
        <f>IF(B31="","",IF(CP31=0,0,CQ31/CP31-1))</f>
      </c>
      <c r="CS31" s="60">
        <f>IF(B31="","",IF(ENTRADA!$Y31="","",ENTRADA!$Y31-C31))</f>
      </c>
      <c r="CT31" s="66">
        <f>IF(B31="","",IF(ENTRADA!$C31="","Falta fecha. ","")&amp;IF(BP31=0,"Mes fuera del rango de COSTOS_FIJOS. ","")&amp;IF(J31=0,"Sin kg. ","")&amp;IF(E31="","Falta transitaria. ","")&amp;IF(AND(T31&gt;0,U31/T31-1&gt;Tolerancia_Comb),"Combustible al puerto "&amp;TEXT(U31/T31-1,"+0%")&amp;" sobre norma. ","")&amp;IF(AND(AG31&gt;0,AH31/AG31-1&gt;Tolerancia_Comb),"Combustible distribución Occidente "&amp;TEXT(AH31/AG31-1,"+0%")&amp;" sobre norma. ","")&amp;IF(AND(AK31&gt;0,AL31/AK31-1&gt;Tolerancia_Comb),"Combustible traslado Centro "&amp;TEXT(AL31/AK31-1,"+0%")&amp;" sobre norma. ","")&amp;IF(AND(AM31&gt;0,AN31/AM31-1&gt;Tolerancia_Comb),"Combustible distribución Centro "&amp;TEXT(AN31/AM31-1,"+0%")&amp;" sobre norma. ","")&amp;IF(AND(AU31&gt;0,AV31/AU31-1&gt;Tolerancia_Comb),"Combustible traslado Oriente "&amp;TEXT(AV31/AU31-1,"+0%")&amp;" sobre norma. ","")&amp;IF(AND(AW31&gt;0,AX31/AW31-1&gt;Tolerancia_Comb),"Combustible distribución Oriente "&amp;TEXT(AX31/AW31-1,"+0%")&amp;" sobre norma. ","")&amp;IF(AND(ENTRADA!$C31&lt;&gt;"",C31&lt;PRECIOS!$A$6),"Fecha anterior a la 1ª vigencia de precios. ","")&amp;IF(CD31&lt;0,"Contenedor con pérdida. ",""))</f>
      </c>
    </row>
    <row r="32">
      <c r="A32" s="60">
        <f>IF(B32="","",ROW()-5)</f>
      </c>
      <c r="B32" s="63">
        <f>IF(ENTRADA!$B32="","",ENTRADA!$B32)</f>
      </c>
      <c r="C32" s="64">
        <f>IF(B32="","",ENTRADA!$C32)</f>
      </c>
      <c r="D32" s="65">
        <f>IF(B32="","",DATE(YEAR(C32),MONTH(C32),1))</f>
      </c>
      <c r="E32" s="66">
        <f>IF(B32="","",ENTRADA!$D32&amp;"")</f>
      </c>
      <c r="F32" s="66">
        <f>IF(B32="","",ENTRADA!$Z32&amp;"")</f>
      </c>
      <c r="G32" s="67">
        <f>IF(B32="","",N(ENTRADA!$G32))</f>
      </c>
      <c r="H32" s="67">
        <f>IF(B32="","",N(ENTRADA!$H32))</f>
      </c>
      <c r="I32" s="67">
        <f>IF(B32="","",N(ENTRADA!$I32))</f>
      </c>
      <c r="J32" s="68">
        <f>IF(B32="","",G32+H32+I32)</f>
      </c>
      <c r="K32" s="60">
        <f>IF(B32="","",IFERROR(MATCH(SUMPRODUCT(MAX((PRECIOS!$A$6:$A$55&lt;=C32)*PRECIOS!$A$6:$A$55)),PRECIOS!$A$6:$A$55,0),1))</f>
      </c>
      <c r="L32" s="69">
        <f>IF(B32="","",INDEX(PRECIOS!$A$6:$A$55,K32))</f>
      </c>
      <c r="M32" s="37">
        <f>IF(B32="","",G32*INDEX(PRECIOS!$B$6:$B$55,K32))</f>
      </c>
      <c r="N32" s="37">
        <f>IF(B32="","",H32*INDEX(PRECIOS!$C$6:$C$55,K32))</f>
      </c>
      <c r="O32" s="37">
        <f>IF(B32="","",I32*INDEX(PRECIOS!$D$6:$D$55,K32))</f>
      </c>
      <c r="P32" s="37">
        <f>IF(B32="","",N(ENTRADA!$X32))</f>
      </c>
      <c r="Q32" s="70">
        <f>IF(B32="","",M32+N32+O32+P32)</f>
      </c>
      <c r="R32" s="71">
        <f>IF(B32="","",IF(ENTRADA!$J32="",Std_Viajes_Puerto,ENTRADA!$J32))</f>
      </c>
      <c r="S32" s="37">
        <f>IF(B32="","",R32*INDEX(PRECIOS!$F$6:$F$55,K32))</f>
      </c>
      <c r="T32" s="71">
        <f>IF(B32="","",R32*Litros_Puerto_Viaje)</f>
      </c>
      <c r="U32" s="71">
        <f>IF(B32="","",IF(ENTRADA!$K32="",T32,ENTRADA!$K32))</f>
      </c>
      <c r="V32" s="37">
        <f>IF(B32="","",U32*INDEX(PRECIOS!$E$6:$E$55,K32))</f>
      </c>
      <c r="W32" s="37">
        <f>IF(B32="","",IF(ENTRADA!$L32="",R32*INDEX(PRECIOS!$G$6:$G$55,K32),ENTRADA!$L32))</f>
      </c>
      <c r="X32" s="37">
        <f>IF(B32="","",R32*Km_Puerto_Viaje*INDEX(PRECIOS!$N$6:$N$55,K32))</f>
      </c>
      <c r="Y32" s="70">
        <f>IF(B32="","",S32+V32+W32+X32)</f>
      </c>
      <c r="Z32" s="71">
        <f>IF(B32="","",IF(J32=0,0,ROUNDUP(J32/Rend_Desagrupe,0)))</f>
      </c>
      <c r="AA32" s="71">
        <f>IF(B32="","",IF(ENTRADA!$M32="",Z32,ENTRADA!$M32))</f>
      </c>
      <c r="AB32" s="37">
        <f>IF(B32="","",AA32*INDEX(PRECIOS!$H$6:$H$55,K32))</f>
      </c>
      <c r="AC32" s="37">
        <f>IF(B32="","",IF(E32="ENCI",INDEX(PRECIOS!$J$6:$J$55,K32),IF(E32="A.V",INDEX(PRECIOS!$K$6:$K$55,K32),0)))</f>
      </c>
      <c r="AD32" s="37">
        <f>IF(B32="","",N(ENTRADA!$N32))</f>
      </c>
      <c r="AE32" s="70">
        <f>IF(B32="","",AB32+AC32+AD32)</f>
      </c>
      <c r="AF32" s="71">
        <f>IF(B32="","",IF(G32=0,0,ROUNDUP(G32/Cap_Camion_OCC,0)))</f>
      </c>
      <c r="AG32" s="71">
        <f>IF(B32="","",AF32*L_Dist_OCC)</f>
      </c>
      <c r="AH32" s="71">
        <f>IF(B32="","",IF(ENTRADA!$O32="",AG32,ENTRADA!$O32))</f>
      </c>
      <c r="AI32" s="37">
        <f>IF(B32="","",AH32*INDEX(PRECIOS!$E$6:$E$55,K32))</f>
      </c>
      <c r="AJ32" s="71">
        <f>IF(B32="","",IF(H32=0,0,ROUNDUP(H32/Cap_Camion_CEN,0)))</f>
      </c>
      <c r="AK32" s="71">
        <f>IF(B32="","",AJ32*L_Tras_CEN)</f>
      </c>
      <c r="AL32" s="71">
        <f>IF(B32="","",IF(ENTRADA!$P32="",AK32,ENTRADA!$P32))</f>
      </c>
      <c r="AM32" s="71">
        <f>IF(B32="","",AJ32*L_Dist_CEN)</f>
      </c>
      <c r="AN32" s="71">
        <f>IF(B32="","",IF(ENTRADA!$Q32="",AM32,ENTRADA!$Q32))</f>
      </c>
      <c r="AO32" s="37">
        <f>IF(B32="","",(AL32+AN32)*INDEX(PRECIOS!$E$6:$E$55,K32))</f>
      </c>
      <c r="AP32" s="71">
        <f>IF(B32="","",IF(H32=0,0,ROUNDUP(H32/Rend_Desagrupe_CT,0)))</f>
      </c>
      <c r="AQ32" s="71">
        <f>IF(B32="","",IF(ENTRADA!$R32="",AP32,ENTRADA!$R32))</f>
      </c>
      <c r="AR32" s="37">
        <f>IF(B32="","",AQ32*INDEX(PRECIOS!$I$6:$I$55,K32))</f>
      </c>
      <c r="AS32" s="37">
        <f>IF(B32="","",AO32+AR32)</f>
      </c>
      <c r="AT32" s="71">
        <f>IF(B32="","",IF(I32=0,0,ROUNDUP(I32/Cap_Camion_ORI,0)))</f>
      </c>
      <c r="AU32" s="71">
        <f>IF(B32="","",AT32*L_Tras_ORI)</f>
      </c>
      <c r="AV32" s="71">
        <f>IF(B32="","",IF(ENTRADA!$S32="",AU32,ENTRADA!$S32))</f>
      </c>
      <c r="AW32" s="71">
        <f>IF(B32="","",AT32*L_Dist_ORI)</f>
      </c>
      <c r="AX32" s="71">
        <f>IF(B32="","",IF(ENTRADA!$T32="",AW32,ENTRADA!$T32))</f>
      </c>
      <c r="AY32" s="37">
        <f>IF(B32="","",(AV32+AX32)*INDEX(PRECIOS!$E$6:$E$55,K32))</f>
      </c>
      <c r="AZ32" s="71">
        <f>IF(B32="","",IF(I32=0,0,ROUNDUP(I32/Rend_Desagrupe_CT,0)))</f>
      </c>
      <c r="BA32" s="71">
        <f>IF(B32="","",IF(ENTRADA!$U32="",AZ32,ENTRADA!$U32))</f>
      </c>
      <c r="BB32" s="37">
        <f>IF(B32="","",BA32*INDEX(PRECIOS!$I$6:$I$55,K32))</f>
      </c>
      <c r="BC32" s="37">
        <f>IF(B32="","",AY32+BB32)</f>
      </c>
      <c r="BD32" s="70">
        <f>IF(B32="","",AI32+AS32+BC32)</f>
      </c>
      <c r="BE32" s="37">
        <f>IF(B32="","",IF(Base_Comision="% DEL INGRESO",M32*INDEX(PRECIOS!$L$6:$L$55,K32),G32*INDEX(PRECIOS!$M$6:$M$55,K32)))</f>
      </c>
      <c r="BF32" s="37">
        <f>IF(B32="","",IF(Base_Comision="% DEL INGRESO",N32*INDEX(PRECIOS!$L$6:$L$55,K32),H32*INDEX(PRECIOS!$M$6:$M$55,K32)))</f>
      </c>
      <c r="BG32" s="37">
        <f>IF(B32="","",IF(Base_Comision="% DEL INGRESO",O32*INDEX(PRECIOS!$L$6:$L$55,K32),I32*INDEX(PRECIOS!$M$6:$M$55,K32)))</f>
      </c>
      <c r="BH32" s="70">
        <f>IF(B32="","",BE32+BF32+BG32)</f>
      </c>
      <c r="BI32" s="37">
        <f>IF(B32="","",Q32*Pct_Reclamaciones)</f>
      </c>
      <c r="BJ32" s="37">
        <f>IF(B32="","",Q32*Pct_Banco)</f>
      </c>
      <c r="BK32" s="37">
        <f>IF(B32="","",N(ENTRADA!$V32))</f>
      </c>
      <c r="BL32" s="70">
        <f>IF(B32="","",Y32+AE32+BD32+BH32+BI32+BJ32+BK32)</f>
      </c>
      <c r="BM32" s="70">
        <f>IF(B32="","",Q32-BL32)</f>
      </c>
      <c r="BN32" s="72">
        <f>IF(B32="","",IF(Q32=0,0,BM32/Q32))</f>
      </c>
      <c r="BO32" s="73">
        <f>IF(B32="","",IF(J32=0,0,BM32/J32))</f>
      </c>
      <c r="BP32" s="60">
        <f>IF(B32="","",IFERROR(MATCH(D32,COSTOS_FIJOS!$G$5:$AD$5,0),0))</f>
      </c>
      <c r="BQ32" s="60">
        <f>IF(B32="","",COUNTIFS($D$6:$D$305,D32))</f>
      </c>
      <c r="BR32" s="67">
        <f>IF(B32="","",SUMIFS($J$6:$J$305,$D$6:$D$305,D32))</f>
      </c>
      <c r="BS32" s="72">
        <f>IF(B32="","",IF(Metodo_Prorrateo="KG",IF(BR32=0,0,J32/BR32),1/BQ32))</f>
      </c>
      <c r="BT32" s="37">
        <f>IF(B32="","",IF(BP32=0,0,INDEX(COSTOS_FIJOS!$G$38:$AD$38,BP32))*BS32)</f>
      </c>
      <c r="BU32" s="72">
        <f>IF(B32="","",IF(Metodo_Prorrateo="KG",IF(SUMIFS($G$6:$G$305,$D$6:$D$305,D32)=0,0,G32/SUMIFS($G$6:$G$305,$D$6:$D$305,D32)),IF(G32&gt;0,1/COUNTIFS($D$6:$D$305,D32,$G$6:$G$305,"&gt;0"),0)))</f>
      </c>
      <c r="BV32" s="37">
        <f>IF(B32="","",IF(BP32=0,0,INDEX(COSTOS_FIJOS!$G$39:$AD$39,BP32))*BU32)</f>
      </c>
      <c r="BW32" s="72">
        <f>IF(B32="","",IF(Metodo_Prorrateo="KG",IF(SUMIFS($H$6:$H$305,$D$6:$D$305,D32)=0,0,H32/SUMIFS($H$6:$H$305,$D$6:$D$305,D32)),IF(H32&gt;0,1/COUNTIFS($D$6:$D$305,D32,$H$6:$H$305,"&gt;0"),0)))</f>
      </c>
      <c r="BX32" s="37">
        <f>IF(B32="","",IF(BP32=0,0,INDEX(COSTOS_FIJOS!$G$40:$AD$40,BP32))*BW32)</f>
      </c>
      <c r="BY32" s="72">
        <f>IF(B32="","",IF(Metodo_Prorrateo="KG",IF(SUMIFS($I$6:$I$305,$D$6:$D$305,D32)=0,0,I32/SUMIFS($I$6:$I$305,$D$6:$D$305,D32)),IF(I32&gt;0,1/COUNTIFS($D$6:$D$305,D32,$I$6:$I$305,"&gt;0"),0)))</f>
      </c>
      <c r="BZ32" s="37">
        <f>IF(B32="","",IF(BP32=0,0,INDEX(COSTOS_FIJOS!$G$41:$AD$41,BP32))*BY32)</f>
      </c>
      <c r="CA32" s="70">
        <f>IF(B32="","",BT32+BV32+BX32+BZ32)</f>
      </c>
      <c r="CB32" s="37">
        <f>IF(B32="","",Q32*Imp_Ventas_Serv)</f>
      </c>
      <c r="CC32" s="37">
        <f>IF(B32="","",Q32*Contrib_Territorial)</f>
      </c>
      <c r="CD32" s="70">
        <f>IF(B32="","",BM32-CA32-CB32-CC32)</f>
      </c>
      <c r="CE32" s="37">
        <f>IF(B32="","",MAX(0,CD32)*Imp_Utilidades)</f>
      </c>
      <c r="CF32" s="70">
        <f>IF(B32="","",CD32-CE32)</f>
      </c>
      <c r="CG32" s="72">
        <f>IF(B32="","",IF(Q32=0,0,CF32/Q32))</f>
      </c>
      <c r="CH32" s="73">
        <f>IF(B32="","",IF(J32=0,0,(BL32+CA32+CB32+CC32)/J32))</f>
      </c>
      <c r="CI32" s="73">
        <f>IF(B32="","",IF(J32=0,0,Q32/J32))</f>
      </c>
      <c r="CJ32" s="73">
        <f>IF(B32="","",IF(J32=0,0,CD32/J32))</f>
      </c>
      <c r="CK32" s="37">
        <f>IF(B32="","",Y32+AE32+BK32+BT32)</f>
      </c>
      <c r="CL32" s="37">
        <f>IF(B32="","",IF(J32=0,0,(M32+P32*G32/J32)*(1-Pct_Reclamaciones-Pct_Banco-Imp_Ventas_Serv-Contrib_Territorial)-AI32-BE32-BV32-CK32*G32/J32))</f>
      </c>
      <c r="CM32" s="37">
        <f>IF(B32="","",IF(J32=0,0,(N32+P32*H32/J32)*(1-Pct_Reclamaciones-Pct_Banco-Imp_Ventas_Serv-Contrib_Territorial)-AS32-BF32-BX32-CK32*H32/J32))</f>
      </c>
      <c r="CN32" s="37">
        <f>IF(B32="","",IF(J32=0,0,(O32+P32*I32/J32)*(1-Pct_Reclamaciones-Pct_Banco-Imp_Ventas_Serv-Contrib_Territorial)-BC32-BG32-BZ32-CK32*I32/J32))</f>
      </c>
      <c r="CO32" s="37">
        <f>IF(B32="","",IF(J32=0,0,ROUND(CD32-CL32-CM32-CN32,4)))</f>
      </c>
      <c r="CP32" s="71">
        <f>IF(B32="","",T32+AG32+AK32+AM32+AU32+AW32)</f>
      </c>
      <c r="CQ32" s="71">
        <f>IF(B32="","",U32+AH32+AL32+AN32+AV32+AX32)</f>
      </c>
      <c r="CR32" s="72">
        <f>IF(B32="","",IF(CP32=0,0,CQ32/CP32-1))</f>
      </c>
      <c r="CS32" s="60">
        <f>IF(B32="","",IF(ENTRADA!$Y32="","",ENTRADA!$Y32-C32))</f>
      </c>
      <c r="CT32" s="66">
        <f>IF(B32="","",IF(ENTRADA!$C32="","Falta fecha. ","")&amp;IF(BP32=0,"Mes fuera del rango de COSTOS_FIJOS. ","")&amp;IF(J32=0,"Sin kg. ","")&amp;IF(E32="","Falta transitaria. ","")&amp;IF(AND(T32&gt;0,U32/T32-1&gt;Tolerancia_Comb),"Combustible al puerto "&amp;TEXT(U32/T32-1,"+0%")&amp;" sobre norma. ","")&amp;IF(AND(AG32&gt;0,AH32/AG32-1&gt;Tolerancia_Comb),"Combustible distribución Occidente "&amp;TEXT(AH32/AG32-1,"+0%")&amp;" sobre norma. ","")&amp;IF(AND(AK32&gt;0,AL32/AK32-1&gt;Tolerancia_Comb),"Combustible traslado Centro "&amp;TEXT(AL32/AK32-1,"+0%")&amp;" sobre norma. ","")&amp;IF(AND(AM32&gt;0,AN32/AM32-1&gt;Tolerancia_Comb),"Combustible distribución Centro "&amp;TEXT(AN32/AM32-1,"+0%")&amp;" sobre norma. ","")&amp;IF(AND(AU32&gt;0,AV32/AU32-1&gt;Tolerancia_Comb),"Combustible traslado Oriente "&amp;TEXT(AV32/AU32-1,"+0%")&amp;" sobre norma. ","")&amp;IF(AND(AW32&gt;0,AX32/AW32-1&gt;Tolerancia_Comb),"Combustible distribución Oriente "&amp;TEXT(AX32/AW32-1,"+0%")&amp;" sobre norma. ","")&amp;IF(AND(ENTRADA!$C32&lt;&gt;"",C32&lt;PRECIOS!$A$6),"Fecha anterior a la 1ª vigencia de precios. ","")&amp;IF(CD32&lt;0,"Contenedor con pérdida. ",""))</f>
      </c>
    </row>
    <row r="33">
      <c r="A33" s="60">
        <f>IF(B33="","",ROW()-5)</f>
      </c>
      <c r="B33" s="63">
        <f>IF(ENTRADA!$B33="","",ENTRADA!$B33)</f>
      </c>
      <c r="C33" s="64">
        <f>IF(B33="","",ENTRADA!$C33)</f>
      </c>
      <c r="D33" s="65">
        <f>IF(B33="","",DATE(YEAR(C33),MONTH(C33),1))</f>
      </c>
      <c r="E33" s="66">
        <f>IF(B33="","",ENTRADA!$D33&amp;"")</f>
      </c>
      <c r="F33" s="66">
        <f>IF(B33="","",ENTRADA!$Z33&amp;"")</f>
      </c>
      <c r="G33" s="67">
        <f>IF(B33="","",N(ENTRADA!$G33))</f>
      </c>
      <c r="H33" s="67">
        <f>IF(B33="","",N(ENTRADA!$H33))</f>
      </c>
      <c r="I33" s="67">
        <f>IF(B33="","",N(ENTRADA!$I33))</f>
      </c>
      <c r="J33" s="68">
        <f>IF(B33="","",G33+H33+I33)</f>
      </c>
      <c r="K33" s="60">
        <f>IF(B33="","",IFERROR(MATCH(SUMPRODUCT(MAX((PRECIOS!$A$6:$A$55&lt;=C33)*PRECIOS!$A$6:$A$55)),PRECIOS!$A$6:$A$55,0),1))</f>
      </c>
      <c r="L33" s="69">
        <f>IF(B33="","",INDEX(PRECIOS!$A$6:$A$55,K33))</f>
      </c>
      <c r="M33" s="37">
        <f>IF(B33="","",G33*INDEX(PRECIOS!$B$6:$B$55,K33))</f>
      </c>
      <c r="N33" s="37">
        <f>IF(B33="","",H33*INDEX(PRECIOS!$C$6:$C$55,K33))</f>
      </c>
      <c r="O33" s="37">
        <f>IF(B33="","",I33*INDEX(PRECIOS!$D$6:$D$55,K33))</f>
      </c>
      <c r="P33" s="37">
        <f>IF(B33="","",N(ENTRADA!$X33))</f>
      </c>
      <c r="Q33" s="70">
        <f>IF(B33="","",M33+N33+O33+P33)</f>
      </c>
      <c r="R33" s="71">
        <f>IF(B33="","",IF(ENTRADA!$J33="",Std_Viajes_Puerto,ENTRADA!$J33))</f>
      </c>
      <c r="S33" s="37">
        <f>IF(B33="","",R33*INDEX(PRECIOS!$F$6:$F$55,K33))</f>
      </c>
      <c r="T33" s="71">
        <f>IF(B33="","",R33*Litros_Puerto_Viaje)</f>
      </c>
      <c r="U33" s="71">
        <f>IF(B33="","",IF(ENTRADA!$K33="",T33,ENTRADA!$K33))</f>
      </c>
      <c r="V33" s="37">
        <f>IF(B33="","",U33*INDEX(PRECIOS!$E$6:$E$55,K33))</f>
      </c>
      <c r="W33" s="37">
        <f>IF(B33="","",IF(ENTRADA!$L33="",R33*INDEX(PRECIOS!$G$6:$G$55,K33),ENTRADA!$L33))</f>
      </c>
      <c r="X33" s="37">
        <f>IF(B33="","",R33*Km_Puerto_Viaje*INDEX(PRECIOS!$N$6:$N$55,K33))</f>
      </c>
      <c r="Y33" s="70">
        <f>IF(B33="","",S33+V33+W33+X33)</f>
      </c>
      <c r="Z33" s="71">
        <f>IF(B33="","",IF(J33=0,0,ROUNDUP(J33/Rend_Desagrupe,0)))</f>
      </c>
      <c r="AA33" s="71">
        <f>IF(B33="","",IF(ENTRADA!$M33="",Z33,ENTRADA!$M33))</f>
      </c>
      <c r="AB33" s="37">
        <f>IF(B33="","",AA33*INDEX(PRECIOS!$H$6:$H$55,K33))</f>
      </c>
      <c r="AC33" s="37">
        <f>IF(B33="","",IF(E33="ENCI",INDEX(PRECIOS!$J$6:$J$55,K33),IF(E33="A.V",INDEX(PRECIOS!$K$6:$K$55,K33),0)))</f>
      </c>
      <c r="AD33" s="37">
        <f>IF(B33="","",N(ENTRADA!$N33))</f>
      </c>
      <c r="AE33" s="70">
        <f>IF(B33="","",AB33+AC33+AD33)</f>
      </c>
      <c r="AF33" s="71">
        <f>IF(B33="","",IF(G33=0,0,ROUNDUP(G33/Cap_Camion_OCC,0)))</f>
      </c>
      <c r="AG33" s="71">
        <f>IF(B33="","",AF33*L_Dist_OCC)</f>
      </c>
      <c r="AH33" s="71">
        <f>IF(B33="","",IF(ENTRADA!$O33="",AG33,ENTRADA!$O33))</f>
      </c>
      <c r="AI33" s="37">
        <f>IF(B33="","",AH33*INDEX(PRECIOS!$E$6:$E$55,K33))</f>
      </c>
      <c r="AJ33" s="71">
        <f>IF(B33="","",IF(H33=0,0,ROUNDUP(H33/Cap_Camion_CEN,0)))</f>
      </c>
      <c r="AK33" s="71">
        <f>IF(B33="","",AJ33*L_Tras_CEN)</f>
      </c>
      <c r="AL33" s="71">
        <f>IF(B33="","",IF(ENTRADA!$P33="",AK33,ENTRADA!$P33))</f>
      </c>
      <c r="AM33" s="71">
        <f>IF(B33="","",AJ33*L_Dist_CEN)</f>
      </c>
      <c r="AN33" s="71">
        <f>IF(B33="","",IF(ENTRADA!$Q33="",AM33,ENTRADA!$Q33))</f>
      </c>
      <c r="AO33" s="37">
        <f>IF(B33="","",(AL33+AN33)*INDEX(PRECIOS!$E$6:$E$55,K33))</f>
      </c>
      <c r="AP33" s="71">
        <f>IF(B33="","",IF(H33=0,0,ROUNDUP(H33/Rend_Desagrupe_CT,0)))</f>
      </c>
      <c r="AQ33" s="71">
        <f>IF(B33="","",IF(ENTRADA!$R33="",AP33,ENTRADA!$R33))</f>
      </c>
      <c r="AR33" s="37">
        <f>IF(B33="","",AQ33*INDEX(PRECIOS!$I$6:$I$55,K33))</f>
      </c>
      <c r="AS33" s="37">
        <f>IF(B33="","",AO33+AR33)</f>
      </c>
      <c r="AT33" s="71">
        <f>IF(B33="","",IF(I33=0,0,ROUNDUP(I33/Cap_Camion_ORI,0)))</f>
      </c>
      <c r="AU33" s="71">
        <f>IF(B33="","",AT33*L_Tras_ORI)</f>
      </c>
      <c r="AV33" s="71">
        <f>IF(B33="","",IF(ENTRADA!$S33="",AU33,ENTRADA!$S33))</f>
      </c>
      <c r="AW33" s="71">
        <f>IF(B33="","",AT33*L_Dist_ORI)</f>
      </c>
      <c r="AX33" s="71">
        <f>IF(B33="","",IF(ENTRADA!$T33="",AW33,ENTRADA!$T33))</f>
      </c>
      <c r="AY33" s="37">
        <f>IF(B33="","",(AV33+AX33)*INDEX(PRECIOS!$E$6:$E$55,K33))</f>
      </c>
      <c r="AZ33" s="71">
        <f>IF(B33="","",IF(I33=0,0,ROUNDUP(I33/Rend_Desagrupe_CT,0)))</f>
      </c>
      <c r="BA33" s="71">
        <f>IF(B33="","",IF(ENTRADA!$U33="",AZ33,ENTRADA!$U33))</f>
      </c>
      <c r="BB33" s="37">
        <f>IF(B33="","",BA33*INDEX(PRECIOS!$I$6:$I$55,K33))</f>
      </c>
      <c r="BC33" s="37">
        <f>IF(B33="","",AY33+BB33)</f>
      </c>
      <c r="BD33" s="70">
        <f>IF(B33="","",AI33+AS33+BC33)</f>
      </c>
      <c r="BE33" s="37">
        <f>IF(B33="","",IF(Base_Comision="% DEL INGRESO",M33*INDEX(PRECIOS!$L$6:$L$55,K33),G33*INDEX(PRECIOS!$M$6:$M$55,K33)))</f>
      </c>
      <c r="BF33" s="37">
        <f>IF(B33="","",IF(Base_Comision="% DEL INGRESO",N33*INDEX(PRECIOS!$L$6:$L$55,K33),H33*INDEX(PRECIOS!$M$6:$M$55,K33)))</f>
      </c>
      <c r="BG33" s="37">
        <f>IF(B33="","",IF(Base_Comision="% DEL INGRESO",O33*INDEX(PRECIOS!$L$6:$L$55,K33),I33*INDEX(PRECIOS!$M$6:$M$55,K33)))</f>
      </c>
      <c r="BH33" s="70">
        <f>IF(B33="","",BE33+BF33+BG33)</f>
      </c>
      <c r="BI33" s="37">
        <f>IF(B33="","",Q33*Pct_Reclamaciones)</f>
      </c>
      <c r="BJ33" s="37">
        <f>IF(B33="","",Q33*Pct_Banco)</f>
      </c>
      <c r="BK33" s="37">
        <f>IF(B33="","",N(ENTRADA!$V33))</f>
      </c>
      <c r="BL33" s="70">
        <f>IF(B33="","",Y33+AE33+BD33+BH33+BI33+BJ33+BK33)</f>
      </c>
      <c r="BM33" s="70">
        <f>IF(B33="","",Q33-BL33)</f>
      </c>
      <c r="BN33" s="72">
        <f>IF(B33="","",IF(Q33=0,0,BM33/Q33))</f>
      </c>
      <c r="BO33" s="73">
        <f>IF(B33="","",IF(J33=0,0,BM33/J33))</f>
      </c>
      <c r="BP33" s="60">
        <f>IF(B33="","",IFERROR(MATCH(D33,COSTOS_FIJOS!$G$5:$AD$5,0),0))</f>
      </c>
      <c r="BQ33" s="60">
        <f>IF(B33="","",COUNTIFS($D$6:$D$305,D33))</f>
      </c>
      <c r="BR33" s="67">
        <f>IF(B33="","",SUMIFS($J$6:$J$305,$D$6:$D$305,D33))</f>
      </c>
      <c r="BS33" s="72">
        <f>IF(B33="","",IF(Metodo_Prorrateo="KG",IF(BR33=0,0,J33/BR33),1/BQ33))</f>
      </c>
      <c r="BT33" s="37">
        <f>IF(B33="","",IF(BP33=0,0,INDEX(COSTOS_FIJOS!$G$38:$AD$38,BP33))*BS33)</f>
      </c>
      <c r="BU33" s="72">
        <f>IF(B33="","",IF(Metodo_Prorrateo="KG",IF(SUMIFS($G$6:$G$305,$D$6:$D$305,D33)=0,0,G33/SUMIFS($G$6:$G$305,$D$6:$D$305,D33)),IF(G33&gt;0,1/COUNTIFS($D$6:$D$305,D33,$G$6:$G$305,"&gt;0"),0)))</f>
      </c>
      <c r="BV33" s="37">
        <f>IF(B33="","",IF(BP33=0,0,INDEX(COSTOS_FIJOS!$G$39:$AD$39,BP33))*BU33)</f>
      </c>
      <c r="BW33" s="72">
        <f>IF(B33="","",IF(Metodo_Prorrateo="KG",IF(SUMIFS($H$6:$H$305,$D$6:$D$305,D33)=0,0,H33/SUMIFS($H$6:$H$305,$D$6:$D$305,D33)),IF(H33&gt;0,1/COUNTIFS($D$6:$D$305,D33,$H$6:$H$305,"&gt;0"),0)))</f>
      </c>
      <c r="BX33" s="37">
        <f>IF(B33="","",IF(BP33=0,0,INDEX(COSTOS_FIJOS!$G$40:$AD$40,BP33))*BW33)</f>
      </c>
      <c r="BY33" s="72">
        <f>IF(B33="","",IF(Metodo_Prorrateo="KG",IF(SUMIFS($I$6:$I$305,$D$6:$D$305,D33)=0,0,I33/SUMIFS($I$6:$I$305,$D$6:$D$305,D33)),IF(I33&gt;0,1/COUNTIFS($D$6:$D$305,D33,$I$6:$I$305,"&gt;0"),0)))</f>
      </c>
      <c r="BZ33" s="37">
        <f>IF(B33="","",IF(BP33=0,0,INDEX(COSTOS_FIJOS!$G$41:$AD$41,BP33))*BY33)</f>
      </c>
      <c r="CA33" s="70">
        <f>IF(B33="","",BT33+BV33+BX33+BZ33)</f>
      </c>
      <c r="CB33" s="37">
        <f>IF(B33="","",Q33*Imp_Ventas_Serv)</f>
      </c>
      <c r="CC33" s="37">
        <f>IF(B33="","",Q33*Contrib_Territorial)</f>
      </c>
      <c r="CD33" s="70">
        <f>IF(B33="","",BM33-CA33-CB33-CC33)</f>
      </c>
      <c r="CE33" s="37">
        <f>IF(B33="","",MAX(0,CD33)*Imp_Utilidades)</f>
      </c>
      <c r="CF33" s="70">
        <f>IF(B33="","",CD33-CE33)</f>
      </c>
      <c r="CG33" s="72">
        <f>IF(B33="","",IF(Q33=0,0,CF33/Q33))</f>
      </c>
      <c r="CH33" s="73">
        <f>IF(B33="","",IF(J33=0,0,(BL33+CA33+CB33+CC33)/J33))</f>
      </c>
      <c r="CI33" s="73">
        <f>IF(B33="","",IF(J33=0,0,Q33/J33))</f>
      </c>
      <c r="CJ33" s="73">
        <f>IF(B33="","",IF(J33=0,0,CD33/J33))</f>
      </c>
      <c r="CK33" s="37">
        <f>IF(B33="","",Y33+AE33+BK33+BT33)</f>
      </c>
      <c r="CL33" s="37">
        <f>IF(B33="","",IF(J33=0,0,(M33+P33*G33/J33)*(1-Pct_Reclamaciones-Pct_Banco-Imp_Ventas_Serv-Contrib_Territorial)-AI33-BE33-BV33-CK33*G33/J33))</f>
      </c>
      <c r="CM33" s="37">
        <f>IF(B33="","",IF(J33=0,0,(N33+P33*H33/J33)*(1-Pct_Reclamaciones-Pct_Banco-Imp_Ventas_Serv-Contrib_Territorial)-AS33-BF33-BX33-CK33*H33/J33))</f>
      </c>
      <c r="CN33" s="37">
        <f>IF(B33="","",IF(J33=0,0,(O33+P33*I33/J33)*(1-Pct_Reclamaciones-Pct_Banco-Imp_Ventas_Serv-Contrib_Territorial)-BC33-BG33-BZ33-CK33*I33/J33))</f>
      </c>
      <c r="CO33" s="37">
        <f>IF(B33="","",IF(J33=0,0,ROUND(CD33-CL33-CM33-CN33,4)))</f>
      </c>
      <c r="CP33" s="71">
        <f>IF(B33="","",T33+AG33+AK33+AM33+AU33+AW33)</f>
      </c>
      <c r="CQ33" s="71">
        <f>IF(B33="","",U33+AH33+AL33+AN33+AV33+AX33)</f>
      </c>
      <c r="CR33" s="72">
        <f>IF(B33="","",IF(CP33=0,0,CQ33/CP33-1))</f>
      </c>
      <c r="CS33" s="60">
        <f>IF(B33="","",IF(ENTRADA!$Y33="","",ENTRADA!$Y33-C33))</f>
      </c>
      <c r="CT33" s="66">
        <f>IF(B33="","",IF(ENTRADA!$C33="","Falta fecha. ","")&amp;IF(BP33=0,"Mes fuera del rango de COSTOS_FIJOS. ","")&amp;IF(J33=0,"Sin kg. ","")&amp;IF(E33="","Falta transitaria. ","")&amp;IF(AND(T33&gt;0,U33/T33-1&gt;Tolerancia_Comb),"Combustible al puerto "&amp;TEXT(U33/T33-1,"+0%")&amp;" sobre norma. ","")&amp;IF(AND(AG33&gt;0,AH33/AG33-1&gt;Tolerancia_Comb),"Combustible distribución Occidente "&amp;TEXT(AH33/AG33-1,"+0%")&amp;" sobre norma. ","")&amp;IF(AND(AK33&gt;0,AL33/AK33-1&gt;Tolerancia_Comb),"Combustible traslado Centro "&amp;TEXT(AL33/AK33-1,"+0%")&amp;" sobre norma. ","")&amp;IF(AND(AM33&gt;0,AN33/AM33-1&gt;Tolerancia_Comb),"Combustible distribución Centro "&amp;TEXT(AN33/AM33-1,"+0%")&amp;" sobre norma. ","")&amp;IF(AND(AU33&gt;0,AV33/AU33-1&gt;Tolerancia_Comb),"Combustible traslado Oriente "&amp;TEXT(AV33/AU33-1,"+0%")&amp;" sobre norma. ","")&amp;IF(AND(AW33&gt;0,AX33/AW33-1&gt;Tolerancia_Comb),"Combustible distribución Oriente "&amp;TEXT(AX33/AW33-1,"+0%")&amp;" sobre norma. ","")&amp;IF(AND(ENTRADA!$C33&lt;&gt;"",C33&lt;PRECIOS!$A$6),"Fecha anterior a la 1ª vigencia de precios. ","")&amp;IF(CD33&lt;0,"Contenedor con pérdida. ",""))</f>
      </c>
    </row>
    <row r="34">
      <c r="A34" s="60">
        <f>IF(B34="","",ROW()-5)</f>
      </c>
      <c r="B34" s="63">
        <f>IF(ENTRADA!$B34="","",ENTRADA!$B34)</f>
      </c>
      <c r="C34" s="64">
        <f>IF(B34="","",ENTRADA!$C34)</f>
      </c>
      <c r="D34" s="65">
        <f>IF(B34="","",DATE(YEAR(C34),MONTH(C34),1))</f>
      </c>
      <c r="E34" s="66">
        <f>IF(B34="","",ENTRADA!$D34&amp;"")</f>
      </c>
      <c r="F34" s="66">
        <f>IF(B34="","",ENTRADA!$Z34&amp;"")</f>
      </c>
      <c r="G34" s="67">
        <f>IF(B34="","",N(ENTRADA!$G34))</f>
      </c>
      <c r="H34" s="67">
        <f>IF(B34="","",N(ENTRADA!$H34))</f>
      </c>
      <c r="I34" s="67">
        <f>IF(B34="","",N(ENTRADA!$I34))</f>
      </c>
      <c r="J34" s="68">
        <f>IF(B34="","",G34+H34+I34)</f>
      </c>
      <c r="K34" s="60">
        <f>IF(B34="","",IFERROR(MATCH(SUMPRODUCT(MAX((PRECIOS!$A$6:$A$55&lt;=C34)*PRECIOS!$A$6:$A$55)),PRECIOS!$A$6:$A$55,0),1))</f>
      </c>
      <c r="L34" s="69">
        <f>IF(B34="","",INDEX(PRECIOS!$A$6:$A$55,K34))</f>
      </c>
      <c r="M34" s="37">
        <f>IF(B34="","",G34*INDEX(PRECIOS!$B$6:$B$55,K34))</f>
      </c>
      <c r="N34" s="37">
        <f>IF(B34="","",H34*INDEX(PRECIOS!$C$6:$C$55,K34))</f>
      </c>
      <c r="O34" s="37">
        <f>IF(B34="","",I34*INDEX(PRECIOS!$D$6:$D$55,K34))</f>
      </c>
      <c r="P34" s="37">
        <f>IF(B34="","",N(ENTRADA!$X34))</f>
      </c>
      <c r="Q34" s="70">
        <f>IF(B34="","",M34+N34+O34+P34)</f>
      </c>
      <c r="R34" s="71">
        <f>IF(B34="","",IF(ENTRADA!$J34="",Std_Viajes_Puerto,ENTRADA!$J34))</f>
      </c>
      <c r="S34" s="37">
        <f>IF(B34="","",R34*INDEX(PRECIOS!$F$6:$F$55,K34))</f>
      </c>
      <c r="T34" s="71">
        <f>IF(B34="","",R34*Litros_Puerto_Viaje)</f>
      </c>
      <c r="U34" s="71">
        <f>IF(B34="","",IF(ENTRADA!$K34="",T34,ENTRADA!$K34))</f>
      </c>
      <c r="V34" s="37">
        <f>IF(B34="","",U34*INDEX(PRECIOS!$E$6:$E$55,K34))</f>
      </c>
      <c r="W34" s="37">
        <f>IF(B34="","",IF(ENTRADA!$L34="",R34*INDEX(PRECIOS!$G$6:$G$55,K34),ENTRADA!$L34))</f>
      </c>
      <c r="X34" s="37">
        <f>IF(B34="","",R34*Km_Puerto_Viaje*INDEX(PRECIOS!$N$6:$N$55,K34))</f>
      </c>
      <c r="Y34" s="70">
        <f>IF(B34="","",S34+V34+W34+X34)</f>
      </c>
      <c r="Z34" s="71">
        <f>IF(B34="","",IF(J34=0,0,ROUNDUP(J34/Rend_Desagrupe,0)))</f>
      </c>
      <c r="AA34" s="71">
        <f>IF(B34="","",IF(ENTRADA!$M34="",Z34,ENTRADA!$M34))</f>
      </c>
      <c r="AB34" s="37">
        <f>IF(B34="","",AA34*INDEX(PRECIOS!$H$6:$H$55,K34))</f>
      </c>
      <c r="AC34" s="37">
        <f>IF(B34="","",IF(E34="ENCI",INDEX(PRECIOS!$J$6:$J$55,K34),IF(E34="A.V",INDEX(PRECIOS!$K$6:$K$55,K34),0)))</f>
      </c>
      <c r="AD34" s="37">
        <f>IF(B34="","",N(ENTRADA!$N34))</f>
      </c>
      <c r="AE34" s="70">
        <f>IF(B34="","",AB34+AC34+AD34)</f>
      </c>
      <c r="AF34" s="71">
        <f>IF(B34="","",IF(G34=0,0,ROUNDUP(G34/Cap_Camion_OCC,0)))</f>
      </c>
      <c r="AG34" s="71">
        <f>IF(B34="","",AF34*L_Dist_OCC)</f>
      </c>
      <c r="AH34" s="71">
        <f>IF(B34="","",IF(ENTRADA!$O34="",AG34,ENTRADA!$O34))</f>
      </c>
      <c r="AI34" s="37">
        <f>IF(B34="","",AH34*INDEX(PRECIOS!$E$6:$E$55,K34))</f>
      </c>
      <c r="AJ34" s="71">
        <f>IF(B34="","",IF(H34=0,0,ROUNDUP(H34/Cap_Camion_CEN,0)))</f>
      </c>
      <c r="AK34" s="71">
        <f>IF(B34="","",AJ34*L_Tras_CEN)</f>
      </c>
      <c r="AL34" s="71">
        <f>IF(B34="","",IF(ENTRADA!$P34="",AK34,ENTRADA!$P34))</f>
      </c>
      <c r="AM34" s="71">
        <f>IF(B34="","",AJ34*L_Dist_CEN)</f>
      </c>
      <c r="AN34" s="71">
        <f>IF(B34="","",IF(ENTRADA!$Q34="",AM34,ENTRADA!$Q34))</f>
      </c>
      <c r="AO34" s="37">
        <f>IF(B34="","",(AL34+AN34)*INDEX(PRECIOS!$E$6:$E$55,K34))</f>
      </c>
      <c r="AP34" s="71">
        <f>IF(B34="","",IF(H34=0,0,ROUNDUP(H34/Rend_Desagrupe_CT,0)))</f>
      </c>
      <c r="AQ34" s="71">
        <f>IF(B34="","",IF(ENTRADA!$R34="",AP34,ENTRADA!$R34))</f>
      </c>
      <c r="AR34" s="37">
        <f>IF(B34="","",AQ34*INDEX(PRECIOS!$I$6:$I$55,K34))</f>
      </c>
      <c r="AS34" s="37">
        <f>IF(B34="","",AO34+AR34)</f>
      </c>
      <c r="AT34" s="71">
        <f>IF(B34="","",IF(I34=0,0,ROUNDUP(I34/Cap_Camion_ORI,0)))</f>
      </c>
      <c r="AU34" s="71">
        <f>IF(B34="","",AT34*L_Tras_ORI)</f>
      </c>
      <c r="AV34" s="71">
        <f>IF(B34="","",IF(ENTRADA!$S34="",AU34,ENTRADA!$S34))</f>
      </c>
      <c r="AW34" s="71">
        <f>IF(B34="","",AT34*L_Dist_ORI)</f>
      </c>
      <c r="AX34" s="71">
        <f>IF(B34="","",IF(ENTRADA!$T34="",AW34,ENTRADA!$T34))</f>
      </c>
      <c r="AY34" s="37">
        <f>IF(B34="","",(AV34+AX34)*INDEX(PRECIOS!$E$6:$E$55,K34))</f>
      </c>
      <c r="AZ34" s="71">
        <f>IF(B34="","",IF(I34=0,0,ROUNDUP(I34/Rend_Desagrupe_CT,0)))</f>
      </c>
      <c r="BA34" s="71">
        <f>IF(B34="","",IF(ENTRADA!$U34="",AZ34,ENTRADA!$U34))</f>
      </c>
      <c r="BB34" s="37">
        <f>IF(B34="","",BA34*INDEX(PRECIOS!$I$6:$I$55,K34))</f>
      </c>
      <c r="BC34" s="37">
        <f>IF(B34="","",AY34+BB34)</f>
      </c>
      <c r="BD34" s="70">
        <f>IF(B34="","",AI34+AS34+BC34)</f>
      </c>
      <c r="BE34" s="37">
        <f>IF(B34="","",IF(Base_Comision="% DEL INGRESO",M34*INDEX(PRECIOS!$L$6:$L$55,K34),G34*INDEX(PRECIOS!$M$6:$M$55,K34)))</f>
      </c>
      <c r="BF34" s="37">
        <f>IF(B34="","",IF(Base_Comision="% DEL INGRESO",N34*INDEX(PRECIOS!$L$6:$L$55,K34),H34*INDEX(PRECIOS!$M$6:$M$55,K34)))</f>
      </c>
      <c r="BG34" s="37">
        <f>IF(B34="","",IF(Base_Comision="% DEL INGRESO",O34*INDEX(PRECIOS!$L$6:$L$55,K34),I34*INDEX(PRECIOS!$M$6:$M$55,K34)))</f>
      </c>
      <c r="BH34" s="70">
        <f>IF(B34="","",BE34+BF34+BG34)</f>
      </c>
      <c r="BI34" s="37">
        <f>IF(B34="","",Q34*Pct_Reclamaciones)</f>
      </c>
      <c r="BJ34" s="37">
        <f>IF(B34="","",Q34*Pct_Banco)</f>
      </c>
      <c r="BK34" s="37">
        <f>IF(B34="","",N(ENTRADA!$V34))</f>
      </c>
      <c r="BL34" s="70">
        <f>IF(B34="","",Y34+AE34+BD34+BH34+BI34+BJ34+BK34)</f>
      </c>
      <c r="BM34" s="70">
        <f>IF(B34="","",Q34-BL34)</f>
      </c>
      <c r="BN34" s="72">
        <f>IF(B34="","",IF(Q34=0,0,BM34/Q34))</f>
      </c>
      <c r="BO34" s="73">
        <f>IF(B34="","",IF(J34=0,0,BM34/J34))</f>
      </c>
      <c r="BP34" s="60">
        <f>IF(B34="","",IFERROR(MATCH(D34,COSTOS_FIJOS!$G$5:$AD$5,0),0))</f>
      </c>
      <c r="BQ34" s="60">
        <f>IF(B34="","",COUNTIFS($D$6:$D$305,D34))</f>
      </c>
      <c r="BR34" s="67">
        <f>IF(B34="","",SUMIFS($J$6:$J$305,$D$6:$D$305,D34))</f>
      </c>
      <c r="BS34" s="72">
        <f>IF(B34="","",IF(Metodo_Prorrateo="KG",IF(BR34=0,0,J34/BR34),1/BQ34))</f>
      </c>
      <c r="BT34" s="37">
        <f>IF(B34="","",IF(BP34=0,0,INDEX(COSTOS_FIJOS!$G$38:$AD$38,BP34))*BS34)</f>
      </c>
      <c r="BU34" s="72">
        <f>IF(B34="","",IF(Metodo_Prorrateo="KG",IF(SUMIFS($G$6:$G$305,$D$6:$D$305,D34)=0,0,G34/SUMIFS($G$6:$G$305,$D$6:$D$305,D34)),IF(G34&gt;0,1/COUNTIFS($D$6:$D$305,D34,$G$6:$G$305,"&gt;0"),0)))</f>
      </c>
      <c r="BV34" s="37">
        <f>IF(B34="","",IF(BP34=0,0,INDEX(COSTOS_FIJOS!$G$39:$AD$39,BP34))*BU34)</f>
      </c>
      <c r="BW34" s="72">
        <f>IF(B34="","",IF(Metodo_Prorrateo="KG",IF(SUMIFS($H$6:$H$305,$D$6:$D$305,D34)=0,0,H34/SUMIFS($H$6:$H$305,$D$6:$D$305,D34)),IF(H34&gt;0,1/COUNTIFS($D$6:$D$305,D34,$H$6:$H$305,"&gt;0"),0)))</f>
      </c>
      <c r="BX34" s="37">
        <f>IF(B34="","",IF(BP34=0,0,INDEX(COSTOS_FIJOS!$G$40:$AD$40,BP34))*BW34)</f>
      </c>
      <c r="BY34" s="72">
        <f>IF(B34="","",IF(Metodo_Prorrateo="KG",IF(SUMIFS($I$6:$I$305,$D$6:$D$305,D34)=0,0,I34/SUMIFS($I$6:$I$305,$D$6:$D$305,D34)),IF(I34&gt;0,1/COUNTIFS($D$6:$D$305,D34,$I$6:$I$305,"&gt;0"),0)))</f>
      </c>
      <c r="BZ34" s="37">
        <f>IF(B34="","",IF(BP34=0,0,INDEX(COSTOS_FIJOS!$G$41:$AD$41,BP34))*BY34)</f>
      </c>
      <c r="CA34" s="70">
        <f>IF(B34="","",BT34+BV34+BX34+BZ34)</f>
      </c>
      <c r="CB34" s="37">
        <f>IF(B34="","",Q34*Imp_Ventas_Serv)</f>
      </c>
      <c r="CC34" s="37">
        <f>IF(B34="","",Q34*Contrib_Territorial)</f>
      </c>
      <c r="CD34" s="70">
        <f>IF(B34="","",BM34-CA34-CB34-CC34)</f>
      </c>
      <c r="CE34" s="37">
        <f>IF(B34="","",MAX(0,CD34)*Imp_Utilidades)</f>
      </c>
      <c r="CF34" s="70">
        <f>IF(B34="","",CD34-CE34)</f>
      </c>
      <c r="CG34" s="72">
        <f>IF(B34="","",IF(Q34=0,0,CF34/Q34))</f>
      </c>
      <c r="CH34" s="73">
        <f>IF(B34="","",IF(J34=0,0,(BL34+CA34+CB34+CC34)/J34))</f>
      </c>
      <c r="CI34" s="73">
        <f>IF(B34="","",IF(J34=0,0,Q34/J34))</f>
      </c>
      <c r="CJ34" s="73">
        <f>IF(B34="","",IF(J34=0,0,CD34/J34))</f>
      </c>
      <c r="CK34" s="37">
        <f>IF(B34="","",Y34+AE34+BK34+BT34)</f>
      </c>
      <c r="CL34" s="37">
        <f>IF(B34="","",IF(J34=0,0,(M34+P34*G34/J34)*(1-Pct_Reclamaciones-Pct_Banco-Imp_Ventas_Serv-Contrib_Territorial)-AI34-BE34-BV34-CK34*G34/J34))</f>
      </c>
      <c r="CM34" s="37">
        <f>IF(B34="","",IF(J34=0,0,(N34+P34*H34/J34)*(1-Pct_Reclamaciones-Pct_Banco-Imp_Ventas_Serv-Contrib_Territorial)-AS34-BF34-BX34-CK34*H34/J34))</f>
      </c>
      <c r="CN34" s="37">
        <f>IF(B34="","",IF(J34=0,0,(O34+P34*I34/J34)*(1-Pct_Reclamaciones-Pct_Banco-Imp_Ventas_Serv-Contrib_Territorial)-BC34-BG34-BZ34-CK34*I34/J34))</f>
      </c>
      <c r="CO34" s="37">
        <f>IF(B34="","",IF(J34=0,0,ROUND(CD34-CL34-CM34-CN34,4)))</f>
      </c>
      <c r="CP34" s="71">
        <f>IF(B34="","",T34+AG34+AK34+AM34+AU34+AW34)</f>
      </c>
      <c r="CQ34" s="71">
        <f>IF(B34="","",U34+AH34+AL34+AN34+AV34+AX34)</f>
      </c>
      <c r="CR34" s="72">
        <f>IF(B34="","",IF(CP34=0,0,CQ34/CP34-1))</f>
      </c>
      <c r="CS34" s="60">
        <f>IF(B34="","",IF(ENTRADA!$Y34="","",ENTRADA!$Y34-C34))</f>
      </c>
      <c r="CT34" s="66">
        <f>IF(B34="","",IF(ENTRADA!$C34="","Falta fecha. ","")&amp;IF(BP34=0,"Mes fuera del rango de COSTOS_FIJOS. ","")&amp;IF(J34=0,"Sin kg. ","")&amp;IF(E34="","Falta transitaria. ","")&amp;IF(AND(T34&gt;0,U34/T34-1&gt;Tolerancia_Comb),"Combustible al puerto "&amp;TEXT(U34/T34-1,"+0%")&amp;" sobre norma. ","")&amp;IF(AND(AG34&gt;0,AH34/AG34-1&gt;Tolerancia_Comb),"Combustible distribución Occidente "&amp;TEXT(AH34/AG34-1,"+0%")&amp;" sobre norma. ","")&amp;IF(AND(AK34&gt;0,AL34/AK34-1&gt;Tolerancia_Comb),"Combustible traslado Centro "&amp;TEXT(AL34/AK34-1,"+0%")&amp;" sobre norma. ","")&amp;IF(AND(AM34&gt;0,AN34/AM34-1&gt;Tolerancia_Comb),"Combustible distribución Centro "&amp;TEXT(AN34/AM34-1,"+0%")&amp;" sobre norma. ","")&amp;IF(AND(AU34&gt;0,AV34/AU34-1&gt;Tolerancia_Comb),"Combustible traslado Oriente "&amp;TEXT(AV34/AU34-1,"+0%")&amp;" sobre norma. ","")&amp;IF(AND(AW34&gt;0,AX34/AW34-1&gt;Tolerancia_Comb),"Combustible distribución Oriente "&amp;TEXT(AX34/AW34-1,"+0%")&amp;" sobre norma. ","")&amp;IF(AND(ENTRADA!$C34&lt;&gt;"",C34&lt;PRECIOS!$A$6),"Fecha anterior a la 1ª vigencia de precios. ","")&amp;IF(CD34&lt;0,"Contenedor con pérdida. ",""))</f>
      </c>
    </row>
    <row r="35">
      <c r="A35" s="60">
        <f>IF(B35="","",ROW()-5)</f>
      </c>
      <c r="B35" s="63">
        <f>IF(ENTRADA!$B35="","",ENTRADA!$B35)</f>
      </c>
      <c r="C35" s="64">
        <f>IF(B35="","",ENTRADA!$C35)</f>
      </c>
      <c r="D35" s="65">
        <f>IF(B35="","",DATE(YEAR(C35),MONTH(C35),1))</f>
      </c>
      <c r="E35" s="66">
        <f>IF(B35="","",ENTRADA!$D35&amp;"")</f>
      </c>
      <c r="F35" s="66">
        <f>IF(B35="","",ENTRADA!$Z35&amp;"")</f>
      </c>
      <c r="G35" s="67">
        <f>IF(B35="","",N(ENTRADA!$G35))</f>
      </c>
      <c r="H35" s="67">
        <f>IF(B35="","",N(ENTRADA!$H35))</f>
      </c>
      <c r="I35" s="67">
        <f>IF(B35="","",N(ENTRADA!$I35))</f>
      </c>
      <c r="J35" s="68">
        <f>IF(B35="","",G35+H35+I35)</f>
      </c>
      <c r="K35" s="60">
        <f>IF(B35="","",IFERROR(MATCH(SUMPRODUCT(MAX((PRECIOS!$A$6:$A$55&lt;=C35)*PRECIOS!$A$6:$A$55)),PRECIOS!$A$6:$A$55,0),1))</f>
      </c>
      <c r="L35" s="69">
        <f>IF(B35="","",INDEX(PRECIOS!$A$6:$A$55,K35))</f>
      </c>
      <c r="M35" s="37">
        <f>IF(B35="","",G35*INDEX(PRECIOS!$B$6:$B$55,K35))</f>
      </c>
      <c r="N35" s="37">
        <f>IF(B35="","",H35*INDEX(PRECIOS!$C$6:$C$55,K35))</f>
      </c>
      <c r="O35" s="37">
        <f>IF(B35="","",I35*INDEX(PRECIOS!$D$6:$D$55,K35))</f>
      </c>
      <c r="P35" s="37">
        <f>IF(B35="","",N(ENTRADA!$X35))</f>
      </c>
      <c r="Q35" s="70">
        <f>IF(B35="","",M35+N35+O35+P35)</f>
      </c>
      <c r="R35" s="71">
        <f>IF(B35="","",IF(ENTRADA!$J35="",Std_Viajes_Puerto,ENTRADA!$J35))</f>
      </c>
      <c r="S35" s="37">
        <f>IF(B35="","",R35*INDEX(PRECIOS!$F$6:$F$55,K35))</f>
      </c>
      <c r="T35" s="71">
        <f>IF(B35="","",R35*Litros_Puerto_Viaje)</f>
      </c>
      <c r="U35" s="71">
        <f>IF(B35="","",IF(ENTRADA!$K35="",T35,ENTRADA!$K35))</f>
      </c>
      <c r="V35" s="37">
        <f>IF(B35="","",U35*INDEX(PRECIOS!$E$6:$E$55,K35))</f>
      </c>
      <c r="W35" s="37">
        <f>IF(B35="","",IF(ENTRADA!$L35="",R35*INDEX(PRECIOS!$G$6:$G$55,K35),ENTRADA!$L35))</f>
      </c>
      <c r="X35" s="37">
        <f>IF(B35="","",R35*Km_Puerto_Viaje*INDEX(PRECIOS!$N$6:$N$55,K35))</f>
      </c>
      <c r="Y35" s="70">
        <f>IF(B35="","",S35+V35+W35+X35)</f>
      </c>
      <c r="Z35" s="71">
        <f>IF(B35="","",IF(J35=0,0,ROUNDUP(J35/Rend_Desagrupe,0)))</f>
      </c>
      <c r="AA35" s="71">
        <f>IF(B35="","",IF(ENTRADA!$M35="",Z35,ENTRADA!$M35))</f>
      </c>
      <c r="AB35" s="37">
        <f>IF(B35="","",AA35*INDEX(PRECIOS!$H$6:$H$55,K35))</f>
      </c>
      <c r="AC35" s="37">
        <f>IF(B35="","",IF(E35="ENCI",INDEX(PRECIOS!$J$6:$J$55,K35),IF(E35="A.V",INDEX(PRECIOS!$K$6:$K$55,K35),0)))</f>
      </c>
      <c r="AD35" s="37">
        <f>IF(B35="","",N(ENTRADA!$N35))</f>
      </c>
      <c r="AE35" s="70">
        <f>IF(B35="","",AB35+AC35+AD35)</f>
      </c>
      <c r="AF35" s="71">
        <f>IF(B35="","",IF(G35=0,0,ROUNDUP(G35/Cap_Camion_OCC,0)))</f>
      </c>
      <c r="AG35" s="71">
        <f>IF(B35="","",AF35*L_Dist_OCC)</f>
      </c>
      <c r="AH35" s="71">
        <f>IF(B35="","",IF(ENTRADA!$O35="",AG35,ENTRADA!$O35))</f>
      </c>
      <c r="AI35" s="37">
        <f>IF(B35="","",AH35*INDEX(PRECIOS!$E$6:$E$55,K35))</f>
      </c>
      <c r="AJ35" s="71">
        <f>IF(B35="","",IF(H35=0,0,ROUNDUP(H35/Cap_Camion_CEN,0)))</f>
      </c>
      <c r="AK35" s="71">
        <f>IF(B35="","",AJ35*L_Tras_CEN)</f>
      </c>
      <c r="AL35" s="71">
        <f>IF(B35="","",IF(ENTRADA!$P35="",AK35,ENTRADA!$P35))</f>
      </c>
      <c r="AM35" s="71">
        <f>IF(B35="","",AJ35*L_Dist_CEN)</f>
      </c>
      <c r="AN35" s="71">
        <f>IF(B35="","",IF(ENTRADA!$Q35="",AM35,ENTRADA!$Q35))</f>
      </c>
      <c r="AO35" s="37">
        <f>IF(B35="","",(AL35+AN35)*INDEX(PRECIOS!$E$6:$E$55,K35))</f>
      </c>
      <c r="AP35" s="71">
        <f>IF(B35="","",IF(H35=0,0,ROUNDUP(H35/Rend_Desagrupe_CT,0)))</f>
      </c>
      <c r="AQ35" s="71">
        <f>IF(B35="","",IF(ENTRADA!$R35="",AP35,ENTRADA!$R35))</f>
      </c>
      <c r="AR35" s="37">
        <f>IF(B35="","",AQ35*INDEX(PRECIOS!$I$6:$I$55,K35))</f>
      </c>
      <c r="AS35" s="37">
        <f>IF(B35="","",AO35+AR35)</f>
      </c>
      <c r="AT35" s="71">
        <f>IF(B35="","",IF(I35=0,0,ROUNDUP(I35/Cap_Camion_ORI,0)))</f>
      </c>
      <c r="AU35" s="71">
        <f>IF(B35="","",AT35*L_Tras_ORI)</f>
      </c>
      <c r="AV35" s="71">
        <f>IF(B35="","",IF(ENTRADA!$S35="",AU35,ENTRADA!$S35))</f>
      </c>
      <c r="AW35" s="71">
        <f>IF(B35="","",AT35*L_Dist_ORI)</f>
      </c>
      <c r="AX35" s="71">
        <f>IF(B35="","",IF(ENTRADA!$T35="",AW35,ENTRADA!$T35))</f>
      </c>
      <c r="AY35" s="37">
        <f>IF(B35="","",(AV35+AX35)*INDEX(PRECIOS!$E$6:$E$55,K35))</f>
      </c>
      <c r="AZ35" s="71">
        <f>IF(B35="","",IF(I35=0,0,ROUNDUP(I35/Rend_Desagrupe_CT,0)))</f>
      </c>
      <c r="BA35" s="71">
        <f>IF(B35="","",IF(ENTRADA!$U35="",AZ35,ENTRADA!$U35))</f>
      </c>
      <c r="BB35" s="37">
        <f>IF(B35="","",BA35*INDEX(PRECIOS!$I$6:$I$55,K35))</f>
      </c>
      <c r="BC35" s="37">
        <f>IF(B35="","",AY35+BB35)</f>
      </c>
      <c r="BD35" s="70">
        <f>IF(B35="","",AI35+AS35+BC35)</f>
      </c>
      <c r="BE35" s="37">
        <f>IF(B35="","",IF(Base_Comision="% DEL INGRESO",M35*INDEX(PRECIOS!$L$6:$L$55,K35),G35*INDEX(PRECIOS!$M$6:$M$55,K35)))</f>
      </c>
      <c r="BF35" s="37">
        <f>IF(B35="","",IF(Base_Comision="% DEL INGRESO",N35*INDEX(PRECIOS!$L$6:$L$55,K35),H35*INDEX(PRECIOS!$M$6:$M$55,K35)))</f>
      </c>
      <c r="BG35" s="37">
        <f>IF(B35="","",IF(Base_Comision="% DEL INGRESO",O35*INDEX(PRECIOS!$L$6:$L$55,K35),I35*INDEX(PRECIOS!$M$6:$M$55,K35)))</f>
      </c>
      <c r="BH35" s="70">
        <f>IF(B35="","",BE35+BF35+BG35)</f>
      </c>
      <c r="BI35" s="37">
        <f>IF(B35="","",Q35*Pct_Reclamaciones)</f>
      </c>
      <c r="BJ35" s="37">
        <f>IF(B35="","",Q35*Pct_Banco)</f>
      </c>
      <c r="BK35" s="37">
        <f>IF(B35="","",N(ENTRADA!$V35))</f>
      </c>
      <c r="BL35" s="70">
        <f>IF(B35="","",Y35+AE35+BD35+BH35+BI35+BJ35+BK35)</f>
      </c>
      <c r="BM35" s="70">
        <f>IF(B35="","",Q35-BL35)</f>
      </c>
      <c r="BN35" s="72">
        <f>IF(B35="","",IF(Q35=0,0,BM35/Q35))</f>
      </c>
      <c r="BO35" s="73">
        <f>IF(B35="","",IF(J35=0,0,BM35/J35))</f>
      </c>
      <c r="BP35" s="60">
        <f>IF(B35="","",IFERROR(MATCH(D35,COSTOS_FIJOS!$G$5:$AD$5,0),0))</f>
      </c>
      <c r="BQ35" s="60">
        <f>IF(B35="","",COUNTIFS($D$6:$D$305,D35))</f>
      </c>
      <c r="BR35" s="67">
        <f>IF(B35="","",SUMIFS($J$6:$J$305,$D$6:$D$305,D35))</f>
      </c>
      <c r="BS35" s="72">
        <f>IF(B35="","",IF(Metodo_Prorrateo="KG",IF(BR35=0,0,J35/BR35),1/BQ35))</f>
      </c>
      <c r="BT35" s="37">
        <f>IF(B35="","",IF(BP35=0,0,INDEX(COSTOS_FIJOS!$G$38:$AD$38,BP35))*BS35)</f>
      </c>
      <c r="BU35" s="72">
        <f>IF(B35="","",IF(Metodo_Prorrateo="KG",IF(SUMIFS($G$6:$G$305,$D$6:$D$305,D35)=0,0,G35/SUMIFS($G$6:$G$305,$D$6:$D$305,D35)),IF(G35&gt;0,1/COUNTIFS($D$6:$D$305,D35,$G$6:$G$305,"&gt;0"),0)))</f>
      </c>
      <c r="BV35" s="37">
        <f>IF(B35="","",IF(BP35=0,0,INDEX(COSTOS_FIJOS!$G$39:$AD$39,BP35))*BU35)</f>
      </c>
      <c r="BW35" s="72">
        <f>IF(B35="","",IF(Metodo_Prorrateo="KG",IF(SUMIFS($H$6:$H$305,$D$6:$D$305,D35)=0,0,H35/SUMIFS($H$6:$H$305,$D$6:$D$305,D35)),IF(H35&gt;0,1/COUNTIFS($D$6:$D$305,D35,$H$6:$H$305,"&gt;0"),0)))</f>
      </c>
      <c r="BX35" s="37">
        <f>IF(B35="","",IF(BP35=0,0,INDEX(COSTOS_FIJOS!$G$40:$AD$40,BP35))*BW35)</f>
      </c>
      <c r="BY35" s="72">
        <f>IF(B35="","",IF(Metodo_Prorrateo="KG",IF(SUMIFS($I$6:$I$305,$D$6:$D$305,D35)=0,0,I35/SUMIFS($I$6:$I$305,$D$6:$D$305,D35)),IF(I35&gt;0,1/COUNTIFS($D$6:$D$305,D35,$I$6:$I$305,"&gt;0"),0)))</f>
      </c>
      <c r="BZ35" s="37">
        <f>IF(B35="","",IF(BP35=0,0,INDEX(COSTOS_FIJOS!$G$41:$AD$41,BP35))*BY35)</f>
      </c>
      <c r="CA35" s="70">
        <f>IF(B35="","",BT35+BV35+BX35+BZ35)</f>
      </c>
      <c r="CB35" s="37">
        <f>IF(B35="","",Q35*Imp_Ventas_Serv)</f>
      </c>
      <c r="CC35" s="37">
        <f>IF(B35="","",Q35*Contrib_Territorial)</f>
      </c>
      <c r="CD35" s="70">
        <f>IF(B35="","",BM35-CA35-CB35-CC35)</f>
      </c>
      <c r="CE35" s="37">
        <f>IF(B35="","",MAX(0,CD35)*Imp_Utilidades)</f>
      </c>
      <c r="CF35" s="70">
        <f>IF(B35="","",CD35-CE35)</f>
      </c>
      <c r="CG35" s="72">
        <f>IF(B35="","",IF(Q35=0,0,CF35/Q35))</f>
      </c>
      <c r="CH35" s="73">
        <f>IF(B35="","",IF(J35=0,0,(BL35+CA35+CB35+CC35)/J35))</f>
      </c>
      <c r="CI35" s="73">
        <f>IF(B35="","",IF(J35=0,0,Q35/J35))</f>
      </c>
      <c r="CJ35" s="73">
        <f>IF(B35="","",IF(J35=0,0,CD35/J35))</f>
      </c>
      <c r="CK35" s="37">
        <f>IF(B35="","",Y35+AE35+BK35+BT35)</f>
      </c>
      <c r="CL35" s="37">
        <f>IF(B35="","",IF(J35=0,0,(M35+P35*G35/J35)*(1-Pct_Reclamaciones-Pct_Banco-Imp_Ventas_Serv-Contrib_Territorial)-AI35-BE35-BV35-CK35*G35/J35))</f>
      </c>
      <c r="CM35" s="37">
        <f>IF(B35="","",IF(J35=0,0,(N35+P35*H35/J35)*(1-Pct_Reclamaciones-Pct_Banco-Imp_Ventas_Serv-Contrib_Territorial)-AS35-BF35-BX35-CK35*H35/J35))</f>
      </c>
      <c r="CN35" s="37">
        <f>IF(B35="","",IF(J35=0,0,(O35+P35*I35/J35)*(1-Pct_Reclamaciones-Pct_Banco-Imp_Ventas_Serv-Contrib_Territorial)-BC35-BG35-BZ35-CK35*I35/J35))</f>
      </c>
      <c r="CO35" s="37">
        <f>IF(B35="","",IF(J35=0,0,ROUND(CD35-CL35-CM35-CN35,4)))</f>
      </c>
      <c r="CP35" s="71">
        <f>IF(B35="","",T35+AG35+AK35+AM35+AU35+AW35)</f>
      </c>
      <c r="CQ35" s="71">
        <f>IF(B35="","",U35+AH35+AL35+AN35+AV35+AX35)</f>
      </c>
      <c r="CR35" s="72">
        <f>IF(B35="","",IF(CP35=0,0,CQ35/CP35-1))</f>
      </c>
      <c r="CS35" s="60">
        <f>IF(B35="","",IF(ENTRADA!$Y35="","",ENTRADA!$Y35-C35))</f>
      </c>
      <c r="CT35" s="66">
        <f>IF(B35="","",IF(ENTRADA!$C35="","Falta fecha. ","")&amp;IF(BP35=0,"Mes fuera del rango de COSTOS_FIJOS. ","")&amp;IF(J35=0,"Sin kg. ","")&amp;IF(E35="","Falta transitaria. ","")&amp;IF(AND(T35&gt;0,U35/T35-1&gt;Tolerancia_Comb),"Combustible al puerto "&amp;TEXT(U35/T35-1,"+0%")&amp;" sobre norma. ","")&amp;IF(AND(AG35&gt;0,AH35/AG35-1&gt;Tolerancia_Comb),"Combustible distribución Occidente "&amp;TEXT(AH35/AG35-1,"+0%")&amp;" sobre norma. ","")&amp;IF(AND(AK35&gt;0,AL35/AK35-1&gt;Tolerancia_Comb),"Combustible traslado Centro "&amp;TEXT(AL35/AK35-1,"+0%")&amp;" sobre norma. ","")&amp;IF(AND(AM35&gt;0,AN35/AM35-1&gt;Tolerancia_Comb),"Combustible distribución Centro "&amp;TEXT(AN35/AM35-1,"+0%")&amp;" sobre norma. ","")&amp;IF(AND(AU35&gt;0,AV35/AU35-1&gt;Tolerancia_Comb),"Combustible traslado Oriente "&amp;TEXT(AV35/AU35-1,"+0%")&amp;" sobre norma. ","")&amp;IF(AND(AW35&gt;0,AX35/AW35-1&gt;Tolerancia_Comb),"Combustible distribución Oriente "&amp;TEXT(AX35/AW35-1,"+0%")&amp;" sobre norma. ","")&amp;IF(AND(ENTRADA!$C35&lt;&gt;"",C35&lt;PRECIOS!$A$6),"Fecha anterior a la 1ª vigencia de precios. ","")&amp;IF(CD35&lt;0,"Contenedor con pérdida. ",""))</f>
      </c>
    </row>
    <row r="36">
      <c r="A36" s="60">
        <f>IF(B36="","",ROW()-5)</f>
      </c>
      <c r="B36" s="63">
        <f>IF(ENTRADA!$B36="","",ENTRADA!$B36)</f>
      </c>
      <c r="C36" s="64">
        <f>IF(B36="","",ENTRADA!$C36)</f>
      </c>
      <c r="D36" s="65">
        <f>IF(B36="","",DATE(YEAR(C36),MONTH(C36),1))</f>
      </c>
      <c r="E36" s="66">
        <f>IF(B36="","",ENTRADA!$D36&amp;"")</f>
      </c>
      <c r="F36" s="66">
        <f>IF(B36="","",ENTRADA!$Z36&amp;"")</f>
      </c>
      <c r="G36" s="67">
        <f>IF(B36="","",N(ENTRADA!$G36))</f>
      </c>
      <c r="H36" s="67">
        <f>IF(B36="","",N(ENTRADA!$H36))</f>
      </c>
      <c r="I36" s="67">
        <f>IF(B36="","",N(ENTRADA!$I36))</f>
      </c>
      <c r="J36" s="68">
        <f>IF(B36="","",G36+H36+I36)</f>
      </c>
      <c r="K36" s="60">
        <f>IF(B36="","",IFERROR(MATCH(SUMPRODUCT(MAX((PRECIOS!$A$6:$A$55&lt;=C36)*PRECIOS!$A$6:$A$55)),PRECIOS!$A$6:$A$55,0),1))</f>
      </c>
      <c r="L36" s="69">
        <f>IF(B36="","",INDEX(PRECIOS!$A$6:$A$55,K36))</f>
      </c>
      <c r="M36" s="37">
        <f>IF(B36="","",G36*INDEX(PRECIOS!$B$6:$B$55,K36))</f>
      </c>
      <c r="N36" s="37">
        <f>IF(B36="","",H36*INDEX(PRECIOS!$C$6:$C$55,K36))</f>
      </c>
      <c r="O36" s="37">
        <f>IF(B36="","",I36*INDEX(PRECIOS!$D$6:$D$55,K36))</f>
      </c>
      <c r="P36" s="37">
        <f>IF(B36="","",N(ENTRADA!$X36))</f>
      </c>
      <c r="Q36" s="70">
        <f>IF(B36="","",M36+N36+O36+P36)</f>
      </c>
      <c r="R36" s="71">
        <f>IF(B36="","",IF(ENTRADA!$J36="",Std_Viajes_Puerto,ENTRADA!$J36))</f>
      </c>
      <c r="S36" s="37">
        <f>IF(B36="","",R36*INDEX(PRECIOS!$F$6:$F$55,K36))</f>
      </c>
      <c r="T36" s="71">
        <f>IF(B36="","",R36*Litros_Puerto_Viaje)</f>
      </c>
      <c r="U36" s="71">
        <f>IF(B36="","",IF(ENTRADA!$K36="",T36,ENTRADA!$K36))</f>
      </c>
      <c r="V36" s="37">
        <f>IF(B36="","",U36*INDEX(PRECIOS!$E$6:$E$55,K36))</f>
      </c>
      <c r="W36" s="37">
        <f>IF(B36="","",IF(ENTRADA!$L36="",R36*INDEX(PRECIOS!$G$6:$G$55,K36),ENTRADA!$L36))</f>
      </c>
      <c r="X36" s="37">
        <f>IF(B36="","",R36*Km_Puerto_Viaje*INDEX(PRECIOS!$N$6:$N$55,K36))</f>
      </c>
      <c r="Y36" s="70">
        <f>IF(B36="","",S36+V36+W36+X36)</f>
      </c>
      <c r="Z36" s="71">
        <f>IF(B36="","",IF(J36=0,0,ROUNDUP(J36/Rend_Desagrupe,0)))</f>
      </c>
      <c r="AA36" s="71">
        <f>IF(B36="","",IF(ENTRADA!$M36="",Z36,ENTRADA!$M36))</f>
      </c>
      <c r="AB36" s="37">
        <f>IF(B36="","",AA36*INDEX(PRECIOS!$H$6:$H$55,K36))</f>
      </c>
      <c r="AC36" s="37">
        <f>IF(B36="","",IF(E36="ENCI",INDEX(PRECIOS!$J$6:$J$55,K36),IF(E36="A.V",INDEX(PRECIOS!$K$6:$K$55,K36),0)))</f>
      </c>
      <c r="AD36" s="37">
        <f>IF(B36="","",N(ENTRADA!$N36))</f>
      </c>
      <c r="AE36" s="70">
        <f>IF(B36="","",AB36+AC36+AD36)</f>
      </c>
      <c r="AF36" s="71">
        <f>IF(B36="","",IF(G36=0,0,ROUNDUP(G36/Cap_Camion_OCC,0)))</f>
      </c>
      <c r="AG36" s="71">
        <f>IF(B36="","",AF36*L_Dist_OCC)</f>
      </c>
      <c r="AH36" s="71">
        <f>IF(B36="","",IF(ENTRADA!$O36="",AG36,ENTRADA!$O36))</f>
      </c>
      <c r="AI36" s="37">
        <f>IF(B36="","",AH36*INDEX(PRECIOS!$E$6:$E$55,K36))</f>
      </c>
      <c r="AJ36" s="71">
        <f>IF(B36="","",IF(H36=0,0,ROUNDUP(H36/Cap_Camion_CEN,0)))</f>
      </c>
      <c r="AK36" s="71">
        <f>IF(B36="","",AJ36*L_Tras_CEN)</f>
      </c>
      <c r="AL36" s="71">
        <f>IF(B36="","",IF(ENTRADA!$P36="",AK36,ENTRADA!$P36))</f>
      </c>
      <c r="AM36" s="71">
        <f>IF(B36="","",AJ36*L_Dist_CEN)</f>
      </c>
      <c r="AN36" s="71">
        <f>IF(B36="","",IF(ENTRADA!$Q36="",AM36,ENTRADA!$Q36))</f>
      </c>
      <c r="AO36" s="37">
        <f>IF(B36="","",(AL36+AN36)*INDEX(PRECIOS!$E$6:$E$55,K36))</f>
      </c>
      <c r="AP36" s="71">
        <f>IF(B36="","",IF(H36=0,0,ROUNDUP(H36/Rend_Desagrupe_CT,0)))</f>
      </c>
      <c r="AQ36" s="71">
        <f>IF(B36="","",IF(ENTRADA!$R36="",AP36,ENTRADA!$R36))</f>
      </c>
      <c r="AR36" s="37">
        <f>IF(B36="","",AQ36*INDEX(PRECIOS!$I$6:$I$55,K36))</f>
      </c>
      <c r="AS36" s="37">
        <f>IF(B36="","",AO36+AR36)</f>
      </c>
      <c r="AT36" s="71">
        <f>IF(B36="","",IF(I36=0,0,ROUNDUP(I36/Cap_Camion_ORI,0)))</f>
      </c>
      <c r="AU36" s="71">
        <f>IF(B36="","",AT36*L_Tras_ORI)</f>
      </c>
      <c r="AV36" s="71">
        <f>IF(B36="","",IF(ENTRADA!$S36="",AU36,ENTRADA!$S36))</f>
      </c>
      <c r="AW36" s="71">
        <f>IF(B36="","",AT36*L_Dist_ORI)</f>
      </c>
      <c r="AX36" s="71">
        <f>IF(B36="","",IF(ENTRADA!$T36="",AW36,ENTRADA!$T36))</f>
      </c>
      <c r="AY36" s="37">
        <f>IF(B36="","",(AV36+AX36)*INDEX(PRECIOS!$E$6:$E$55,K36))</f>
      </c>
      <c r="AZ36" s="71">
        <f>IF(B36="","",IF(I36=0,0,ROUNDUP(I36/Rend_Desagrupe_CT,0)))</f>
      </c>
      <c r="BA36" s="71">
        <f>IF(B36="","",IF(ENTRADA!$U36="",AZ36,ENTRADA!$U36))</f>
      </c>
      <c r="BB36" s="37">
        <f>IF(B36="","",BA36*INDEX(PRECIOS!$I$6:$I$55,K36))</f>
      </c>
      <c r="BC36" s="37">
        <f>IF(B36="","",AY36+BB36)</f>
      </c>
      <c r="BD36" s="70">
        <f>IF(B36="","",AI36+AS36+BC36)</f>
      </c>
      <c r="BE36" s="37">
        <f>IF(B36="","",IF(Base_Comision="% DEL INGRESO",M36*INDEX(PRECIOS!$L$6:$L$55,K36),G36*INDEX(PRECIOS!$M$6:$M$55,K36)))</f>
      </c>
      <c r="BF36" s="37">
        <f>IF(B36="","",IF(Base_Comision="% DEL INGRESO",N36*INDEX(PRECIOS!$L$6:$L$55,K36),H36*INDEX(PRECIOS!$M$6:$M$55,K36)))</f>
      </c>
      <c r="BG36" s="37">
        <f>IF(B36="","",IF(Base_Comision="% DEL INGRESO",O36*INDEX(PRECIOS!$L$6:$L$55,K36),I36*INDEX(PRECIOS!$M$6:$M$55,K36)))</f>
      </c>
      <c r="BH36" s="70">
        <f>IF(B36="","",BE36+BF36+BG36)</f>
      </c>
      <c r="BI36" s="37">
        <f>IF(B36="","",Q36*Pct_Reclamaciones)</f>
      </c>
      <c r="BJ36" s="37">
        <f>IF(B36="","",Q36*Pct_Banco)</f>
      </c>
      <c r="BK36" s="37">
        <f>IF(B36="","",N(ENTRADA!$V36))</f>
      </c>
      <c r="BL36" s="70">
        <f>IF(B36="","",Y36+AE36+BD36+BH36+BI36+BJ36+BK36)</f>
      </c>
      <c r="BM36" s="70">
        <f>IF(B36="","",Q36-BL36)</f>
      </c>
      <c r="BN36" s="72">
        <f>IF(B36="","",IF(Q36=0,0,BM36/Q36))</f>
      </c>
      <c r="BO36" s="73">
        <f>IF(B36="","",IF(J36=0,0,BM36/J36))</f>
      </c>
      <c r="BP36" s="60">
        <f>IF(B36="","",IFERROR(MATCH(D36,COSTOS_FIJOS!$G$5:$AD$5,0),0))</f>
      </c>
      <c r="BQ36" s="60">
        <f>IF(B36="","",COUNTIFS($D$6:$D$305,D36))</f>
      </c>
      <c r="BR36" s="67">
        <f>IF(B36="","",SUMIFS($J$6:$J$305,$D$6:$D$305,D36))</f>
      </c>
      <c r="BS36" s="72">
        <f>IF(B36="","",IF(Metodo_Prorrateo="KG",IF(BR36=0,0,J36/BR36),1/BQ36))</f>
      </c>
      <c r="BT36" s="37">
        <f>IF(B36="","",IF(BP36=0,0,INDEX(COSTOS_FIJOS!$G$38:$AD$38,BP36))*BS36)</f>
      </c>
      <c r="BU36" s="72">
        <f>IF(B36="","",IF(Metodo_Prorrateo="KG",IF(SUMIFS($G$6:$G$305,$D$6:$D$305,D36)=0,0,G36/SUMIFS($G$6:$G$305,$D$6:$D$305,D36)),IF(G36&gt;0,1/COUNTIFS($D$6:$D$305,D36,$G$6:$G$305,"&gt;0"),0)))</f>
      </c>
      <c r="BV36" s="37">
        <f>IF(B36="","",IF(BP36=0,0,INDEX(COSTOS_FIJOS!$G$39:$AD$39,BP36))*BU36)</f>
      </c>
      <c r="BW36" s="72">
        <f>IF(B36="","",IF(Metodo_Prorrateo="KG",IF(SUMIFS($H$6:$H$305,$D$6:$D$305,D36)=0,0,H36/SUMIFS($H$6:$H$305,$D$6:$D$305,D36)),IF(H36&gt;0,1/COUNTIFS($D$6:$D$305,D36,$H$6:$H$305,"&gt;0"),0)))</f>
      </c>
      <c r="BX36" s="37">
        <f>IF(B36="","",IF(BP36=0,0,INDEX(COSTOS_FIJOS!$G$40:$AD$40,BP36))*BW36)</f>
      </c>
      <c r="BY36" s="72">
        <f>IF(B36="","",IF(Metodo_Prorrateo="KG",IF(SUMIFS($I$6:$I$305,$D$6:$D$305,D36)=0,0,I36/SUMIFS($I$6:$I$305,$D$6:$D$305,D36)),IF(I36&gt;0,1/COUNTIFS($D$6:$D$305,D36,$I$6:$I$305,"&gt;0"),0)))</f>
      </c>
      <c r="BZ36" s="37">
        <f>IF(B36="","",IF(BP36=0,0,INDEX(COSTOS_FIJOS!$G$41:$AD$41,BP36))*BY36)</f>
      </c>
      <c r="CA36" s="70">
        <f>IF(B36="","",BT36+BV36+BX36+BZ36)</f>
      </c>
      <c r="CB36" s="37">
        <f>IF(B36="","",Q36*Imp_Ventas_Serv)</f>
      </c>
      <c r="CC36" s="37">
        <f>IF(B36="","",Q36*Contrib_Territorial)</f>
      </c>
      <c r="CD36" s="70">
        <f>IF(B36="","",BM36-CA36-CB36-CC36)</f>
      </c>
      <c r="CE36" s="37">
        <f>IF(B36="","",MAX(0,CD36)*Imp_Utilidades)</f>
      </c>
      <c r="CF36" s="70">
        <f>IF(B36="","",CD36-CE36)</f>
      </c>
      <c r="CG36" s="72">
        <f>IF(B36="","",IF(Q36=0,0,CF36/Q36))</f>
      </c>
      <c r="CH36" s="73">
        <f>IF(B36="","",IF(J36=0,0,(BL36+CA36+CB36+CC36)/J36))</f>
      </c>
      <c r="CI36" s="73">
        <f>IF(B36="","",IF(J36=0,0,Q36/J36))</f>
      </c>
      <c r="CJ36" s="73">
        <f>IF(B36="","",IF(J36=0,0,CD36/J36))</f>
      </c>
      <c r="CK36" s="37">
        <f>IF(B36="","",Y36+AE36+BK36+BT36)</f>
      </c>
      <c r="CL36" s="37">
        <f>IF(B36="","",IF(J36=0,0,(M36+P36*G36/J36)*(1-Pct_Reclamaciones-Pct_Banco-Imp_Ventas_Serv-Contrib_Territorial)-AI36-BE36-BV36-CK36*G36/J36))</f>
      </c>
      <c r="CM36" s="37">
        <f>IF(B36="","",IF(J36=0,0,(N36+P36*H36/J36)*(1-Pct_Reclamaciones-Pct_Banco-Imp_Ventas_Serv-Contrib_Territorial)-AS36-BF36-BX36-CK36*H36/J36))</f>
      </c>
      <c r="CN36" s="37">
        <f>IF(B36="","",IF(J36=0,0,(O36+P36*I36/J36)*(1-Pct_Reclamaciones-Pct_Banco-Imp_Ventas_Serv-Contrib_Territorial)-BC36-BG36-BZ36-CK36*I36/J36))</f>
      </c>
      <c r="CO36" s="37">
        <f>IF(B36="","",IF(J36=0,0,ROUND(CD36-CL36-CM36-CN36,4)))</f>
      </c>
      <c r="CP36" s="71">
        <f>IF(B36="","",T36+AG36+AK36+AM36+AU36+AW36)</f>
      </c>
      <c r="CQ36" s="71">
        <f>IF(B36="","",U36+AH36+AL36+AN36+AV36+AX36)</f>
      </c>
      <c r="CR36" s="72">
        <f>IF(B36="","",IF(CP36=0,0,CQ36/CP36-1))</f>
      </c>
      <c r="CS36" s="60">
        <f>IF(B36="","",IF(ENTRADA!$Y36="","",ENTRADA!$Y36-C36))</f>
      </c>
      <c r="CT36" s="66">
        <f>IF(B36="","",IF(ENTRADA!$C36="","Falta fecha. ","")&amp;IF(BP36=0,"Mes fuera del rango de COSTOS_FIJOS. ","")&amp;IF(J36=0,"Sin kg. ","")&amp;IF(E36="","Falta transitaria. ","")&amp;IF(AND(T36&gt;0,U36/T36-1&gt;Tolerancia_Comb),"Combustible al puerto "&amp;TEXT(U36/T36-1,"+0%")&amp;" sobre norma. ","")&amp;IF(AND(AG36&gt;0,AH36/AG36-1&gt;Tolerancia_Comb),"Combustible distribución Occidente "&amp;TEXT(AH36/AG36-1,"+0%")&amp;" sobre norma. ","")&amp;IF(AND(AK36&gt;0,AL36/AK36-1&gt;Tolerancia_Comb),"Combustible traslado Centro "&amp;TEXT(AL36/AK36-1,"+0%")&amp;" sobre norma. ","")&amp;IF(AND(AM36&gt;0,AN36/AM36-1&gt;Tolerancia_Comb),"Combustible distribución Centro "&amp;TEXT(AN36/AM36-1,"+0%")&amp;" sobre norma. ","")&amp;IF(AND(AU36&gt;0,AV36/AU36-1&gt;Tolerancia_Comb),"Combustible traslado Oriente "&amp;TEXT(AV36/AU36-1,"+0%")&amp;" sobre norma. ","")&amp;IF(AND(AW36&gt;0,AX36/AW36-1&gt;Tolerancia_Comb),"Combustible distribución Oriente "&amp;TEXT(AX36/AW36-1,"+0%")&amp;" sobre norma. ","")&amp;IF(AND(ENTRADA!$C36&lt;&gt;"",C36&lt;PRECIOS!$A$6),"Fecha anterior a la 1ª vigencia de precios. ","")&amp;IF(CD36&lt;0,"Contenedor con pérdida. ",""))</f>
      </c>
    </row>
    <row r="37">
      <c r="A37" s="60">
        <f>IF(B37="","",ROW()-5)</f>
      </c>
      <c r="B37" s="63">
        <f>IF(ENTRADA!$B37="","",ENTRADA!$B37)</f>
      </c>
      <c r="C37" s="64">
        <f>IF(B37="","",ENTRADA!$C37)</f>
      </c>
      <c r="D37" s="65">
        <f>IF(B37="","",DATE(YEAR(C37),MONTH(C37),1))</f>
      </c>
      <c r="E37" s="66">
        <f>IF(B37="","",ENTRADA!$D37&amp;"")</f>
      </c>
      <c r="F37" s="66">
        <f>IF(B37="","",ENTRADA!$Z37&amp;"")</f>
      </c>
      <c r="G37" s="67">
        <f>IF(B37="","",N(ENTRADA!$G37))</f>
      </c>
      <c r="H37" s="67">
        <f>IF(B37="","",N(ENTRADA!$H37))</f>
      </c>
      <c r="I37" s="67">
        <f>IF(B37="","",N(ENTRADA!$I37))</f>
      </c>
      <c r="J37" s="68">
        <f>IF(B37="","",G37+H37+I37)</f>
      </c>
      <c r="K37" s="60">
        <f>IF(B37="","",IFERROR(MATCH(SUMPRODUCT(MAX((PRECIOS!$A$6:$A$55&lt;=C37)*PRECIOS!$A$6:$A$55)),PRECIOS!$A$6:$A$55,0),1))</f>
      </c>
      <c r="L37" s="69">
        <f>IF(B37="","",INDEX(PRECIOS!$A$6:$A$55,K37))</f>
      </c>
      <c r="M37" s="37">
        <f>IF(B37="","",G37*INDEX(PRECIOS!$B$6:$B$55,K37))</f>
      </c>
      <c r="N37" s="37">
        <f>IF(B37="","",H37*INDEX(PRECIOS!$C$6:$C$55,K37))</f>
      </c>
      <c r="O37" s="37">
        <f>IF(B37="","",I37*INDEX(PRECIOS!$D$6:$D$55,K37))</f>
      </c>
      <c r="P37" s="37">
        <f>IF(B37="","",N(ENTRADA!$X37))</f>
      </c>
      <c r="Q37" s="70">
        <f>IF(B37="","",M37+N37+O37+P37)</f>
      </c>
      <c r="R37" s="71">
        <f>IF(B37="","",IF(ENTRADA!$J37="",Std_Viajes_Puerto,ENTRADA!$J37))</f>
      </c>
      <c r="S37" s="37">
        <f>IF(B37="","",R37*INDEX(PRECIOS!$F$6:$F$55,K37))</f>
      </c>
      <c r="T37" s="71">
        <f>IF(B37="","",R37*Litros_Puerto_Viaje)</f>
      </c>
      <c r="U37" s="71">
        <f>IF(B37="","",IF(ENTRADA!$K37="",T37,ENTRADA!$K37))</f>
      </c>
      <c r="V37" s="37">
        <f>IF(B37="","",U37*INDEX(PRECIOS!$E$6:$E$55,K37))</f>
      </c>
      <c r="W37" s="37">
        <f>IF(B37="","",IF(ENTRADA!$L37="",R37*INDEX(PRECIOS!$G$6:$G$55,K37),ENTRADA!$L37))</f>
      </c>
      <c r="X37" s="37">
        <f>IF(B37="","",R37*Km_Puerto_Viaje*INDEX(PRECIOS!$N$6:$N$55,K37))</f>
      </c>
      <c r="Y37" s="70">
        <f>IF(B37="","",S37+V37+W37+X37)</f>
      </c>
      <c r="Z37" s="71">
        <f>IF(B37="","",IF(J37=0,0,ROUNDUP(J37/Rend_Desagrupe,0)))</f>
      </c>
      <c r="AA37" s="71">
        <f>IF(B37="","",IF(ENTRADA!$M37="",Z37,ENTRADA!$M37))</f>
      </c>
      <c r="AB37" s="37">
        <f>IF(B37="","",AA37*INDEX(PRECIOS!$H$6:$H$55,K37))</f>
      </c>
      <c r="AC37" s="37">
        <f>IF(B37="","",IF(E37="ENCI",INDEX(PRECIOS!$J$6:$J$55,K37),IF(E37="A.V",INDEX(PRECIOS!$K$6:$K$55,K37),0)))</f>
      </c>
      <c r="AD37" s="37">
        <f>IF(B37="","",N(ENTRADA!$N37))</f>
      </c>
      <c r="AE37" s="70">
        <f>IF(B37="","",AB37+AC37+AD37)</f>
      </c>
      <c r="AF37" s="71">
        <f>IF(B37="","",IF(G37=0,0,ROUNDUP(G37/Cap_Camion_OCC,0)))</f>
      </c>
      <c r="AG37" s="71">
        <f>IF(B37="","",AF37*L_Dist_OCC)</f>
      </c>
      <c r="AH37" s="71">
        <f>IF(B37="","",IF(ENTRADA!$O37="",AG37,ENTRADA!$O37))</f>
      </c>
      <c r="AI37" s="37">
        <f>IF(B37="","",AH37*INDEX(PRECIOS!$E$6:$E$55,K37))</f>
      </c>
      <c r="AJ37" s="71">
        <f>IF(B37="","",IF(H37=0,0,ROUNDUP(H37/Cap_Camion_CEN,0)))</f>
      </c>
      <c r="AK37" s="71">
        <f>IF(B37="","",AJ37*L_Tras_CEN)</f>
      </c>
      <c r="AL37" s="71">
        <f>IF(B37="","",IF(ENTRADA!$P37="",AK37,ENTRADA!$P37))</f>
      </c>
      <c r="AM37" s="71">
        <f>IF(B37="","",AJ37*L_Dist_CEN)</f>
      </c>
      <c r="AN37" s="71">
        <f>IF(B37="","",IF(ENTRADA!$Q37="",AM37,ENTRADA!$Q37))</f>
      </c>
      <c r="AO37" s="37">
        <f>IF(B37="","",(AL37+AN37)*INDEX(PRECIOS!$E$6:$E$55,K37))</f>
      </c>
      <c r="AP37" s="71">
        <f>IF(B37="","",IF(H37=0,0,ROUNDUP(H37/Rend_Desagrupe_CT,0)))</f>
      </c>
      <c r="AQ37" s="71">
        <f>IF(B37="","",IF(ENTRADA!$R37="",AP37,ENTRADA!$R37))</f>
      </c>
      <c r="AR37" s="37">
        <f>IF(B37="","",AQ37*INDEX(PRECIOS!$I$6:$I$55,K37))</f>
      </c>
      <c r="AS37" s="37">
        <f>IF(B37="","",AO37+AR37)</f>
      </c>
      <c r="AT37" s="71">
        <f>IF(B37="","",IF(I37=0,0,ROUNDUP(I37/Cap_Camion_ORI,0)))</f>
      </c>
      <c r="AU37" s="71">
        <f>IF(B37="","",AT37*L_Tras_ORI)</f>
      </c>
      <c r="AV37" s="71">
        <f>IF(B37="","",IF(ENTRADA!$S37="",AU37,ENTRADA!$S37))</f>
      </c>
      <c r="AW37" s="71">
        <f>IF(B37="","",AT37*L_Dist_ORI)</f>
      </c>
      <c r="AX37" s="71">
        <f>IF(B37="","",IF(ENTRADA!$T37="",AW37,ENTRADA!$T37))</f>
      </c>
      <c r="AY37" s="37">
        <f>IF(B37="","",(AV37+AX37)*INDEX(PRECIOS!$E$6:$E$55,K37))</f>
      </c>
      <c r="AZ37" s="71">
        <f>IF(B37="","",IF(I37=0,0,ROUNDUP(I37/Rend_Desagrupe_CT,0)))</f>
      </c>
      <c r="BA37" s="71">
        <f>IF(B37="","",IF(ENTRADA!$U37="",AZ37,ENTRADA!$U37))</f>
      </c>
      <c r="BB37" s="37">
        <f>IF(B37="","",BA37*INDEX(PRECIOS!$I$6:$I$55,K37))</f>
      </c>
      <c r="BC37" s="37">
        <f>IF(B37="","",AY37+BB37)</f>
      </c>
      <c r="BD37" s="70">
        <f>IF(B37="","",AI37+AS37+BC37)</f>
      </c>
      <c r="BE37" s="37">
        <f>IF(B37="","",IF(Base_Comision="% DEL INGRESO",M37*INDEX(PRECIOS!$L$6:$L$55,K37),G37*INDEX(PRECIOS!$M$6:$M$55,K37)))</f>
      </c>
      <c r="BF37" s="37">
        <f>IF(B37="","",IF(Base_Comision="% DEL INGRESO",N37*INDEX(PRECIOS!$L$6:$L$55,K37),H37*INDEX(PRECIOS!$M$6:$M$55,K37)))</f>
      </c>
      <c r="BG37" s="37">
        <f>IF(B37="","",IF(Base_Comision="% DEL INGRESO",O37*INDEX(PRECIOS!$L$6:$L$55,K37),I37*INDEX(PRECIOS!$M$6:$M$55,K37)))</f>
      </c>
      <c r="BH37" s="70">
        <f>IF(B37="","",BE37+BF37+BG37)</f>
      </c>
      <c r="BI37" s="37">
        <f>IF(B37="","",Q37*Pct_Reclamaciones)</f>
      </c>
      <c r="BJ37" s="37">
        <f>IF(B37="","",Q37*Pct_Banco)</f>
      </c>
      <c r="BK37" s="37">
        <f>IF(B37="","",N(ENTRADA!$V37))</f>
      </c>
      <c r="BL37" s="70">
        <f>IF(B37="","",Y37+AE37+BD37+BH37+BI37+BJ37+BK37)</f>
      </c>
      <c r="BM37" s="70">
        <f>IF(B37="","",Q37-BL37)</f>
      </c>
      <c r="BN37" s="72">
        <f>IF(B37="","",IF(Q37=0,0,BM37/Q37))</f>
      </c>
      <c r="BO37" s="73">
        <f>IF(B37="","",IF(J37=0,0,BM37/J37))</f>
      </c>
      <c r="BP37" s="60">
        <f>IF(B37="","",IFERROR(MATCH(D37,COSTOS_FIJOS!$G$5:$AD$5,0),0))</f>
      </c>
      <c r="BQ37" s="60">
        <f>IF(B37="","",COUNTIFS($D$6:$D$305,D37))</f>
      </c>
      <c r="BR37" s="67">
        <f>IF(B37="","",SUMIFS($J$6:$J$305,$D$6:$D$305,D37))</f>
      </c>
      <c r="BS37" s="72">
        <f>IF(B37="","",IF(Metodo_Prorrateo="KG",IF(BR37=0,0,J37/BR37),1/BQ37))</f>
      </c>
      <c r="BT37" s="37">
        <f>IF(B37="","",IF(BP37=0,0,INDEX(COSTOS_FIJOS!$G$38:$AD$38,BP37))*BS37)</f>
      </c>
      <c r="BU37" s="72">
        <f>IF(B37="","",IF(Metodo_Prorrateo="KG",IF(SUMIFS($G$6:$G$305,$D$6:$D$305,D37)=0,0,G37/SUMIFS($G$6:$G$305,$D$6:$D$305,D37)),IF(G37&gt;0,1/COUNTIFS($D$6:$D$305,D37,$G$6:$G$305,"&gt;0"),0)))</f>
      </c>
      <c r="BV37" s="37">
        <f>IF(B37="","",IF(BP37=0,0,INDEX(COSTOS_FIJOS!$G$39:$AD$39,BP37))*BU37)</f>
      </c>
      <c r="BW37" s="72">
        <f>IF(B37="","",IF(Metodo_Prorrateo="KG",IF(SUMIFS($H$6:$H$305,$D$6:$D$305,D37)=0,0,H37/SUMIFS($H$6:$H$305,$D$6:$D$305,D37)),IF(H37&gt;0,1/COUNTIFS($D$6:$D$305,D37,$H$6:$H$305,"&gt;0"),0)))</f>
      </c>
      <c r="BX37" s="37">
        <f>IF(B37="","",IF(BP37=0,0,INDEX(COSTOS_FIJOS!$G$40:$AD$40,BP37))*BW37)</f>
      </c>
      <c r="BY37" s="72">
        <f>IF(B37="","",IF(Metodo_Prorrateo="KG",IF(SUMIFS($I$6:$I$305,$D$6:$D$305,D37)=0,0,I37/SUMIFS($I$6:$I$305,$D$6:$D$305,D37)),IF(I37&gt;0,1/COUNTIFS($D$6:$D$305,D37,$I$6:$I$305,"&gt;0"),0)))</f>
      </c>
      <c r="BZ37" s="37">
        <f>IF(B37="","",IF(BP37=0,0,INDEX(COSTOS_FIJOS!$G$41:$AD$41,BP37))*BY37)</f>
      </c>
      <c r="CA37" s="70">
        <f>IF(B37="","",BT37+BV37+BX37+BZ37)</f>
      </c>
      <c r="CB37" s="37">
        <f>IF(B37="","",Q37*Imp_Ventas_Serv)</f>
      </c>
      <c r="CC37" s="37">
        <f>IF(B37="","",Q37*Contrib_Territorial)</f>
      </c>
      <c r="CD37" s="70">
        <f>IF(B37="","",BM37-CA37-CB37-CC37)</f>
      </c>
      <c r="CE37" s="37">
        <f>IF(B37="","",MAX(0,CD37)*Imp_Utilidades)</f>
      </c>
      <c r="CF37" s="70">
        <f>IF(B37="","",CD37-CE37)</f>
      </c>
      <c r="CG37" s="72">
        <f>IF(B37="","",IF(Q37=0,0,CF37/Q37))</f>
      </c>
      <c r="CH37" s="73">
        <f>IF(B37="","",IF(J37=0,0,(BL37+CA37+CB37+CC37)/J37))</f>
      </c>
      <c r="CI37" s="73">
        <f>IF(B37="","",IF(J37=0,0,Q37/J37))</f>
      </c>
      <c r="CJ37" s="73">
        <f>IF(B37="","",IF(J37=0,0,CD37/J37))</f>
      </c>
      <c r="CK37" s="37">
        <f>IF(B37="","",Y37+AE37+BK37+BT37)</f>
      </c>
      <c r="CL37" s="37">
        <f>IF(B37="","",IF(J37=0,0,(M37+P37*G37/J37)*(1-Pct_Reclamaciones-Pct_Banco-Imp_Ventas_Serv-Contrib_Territorial)-AI37-BE37-BV37-CK37*G37/J37))</f>
      </c>
      <c r="CM37" s="37">
        <f>IF(B37="","",IF(J37=0,0,(N37+P37*H37/J37)*(1-Pct_Reclamaciones-Pct_Banco-Imp_Ventas_Serv-Contrib_Territorial)-AS37-BF37-BX37-CK37*H37/J37))</f>
      </c>
      <c r="CN37" s="37">
        <f>IF(B37="","",IF(J37=0,0,(O37+P37*I37/J37)*(1-Pct_Reclamaciones-Pct_Banco-Imp_Ventas_Serv-Contrib_Territorial)-BC37-BG37-BZ37-CK37*I37/J37))</f>
      </c>
      <c r="CO37" s="37">
        <f>IF(B37="","",IF(J37=0,0,ROUND(CD37-CL37-CM37-CN37,4)))</f>
      </c>
      <c r="CP37" s="71">
        <f>IF(B37="","",T37+AG37+AK37+AM37+AU37+AW37)</f>
      </c>
      <c r="CQ37" s="71">
        <f>IF(B37="","",U37+AH37+AL37+AN37+AV37+AX37)</f>
      </c>
      <c r="CR37" s="72">
        <f>IF(B37="","",IF(CP37=0,0,CQ37/CP37-1))</f>
      </c>
      <c r="CS37" s="60">
        <f>IF(B37="","",IF(ENTRADA!$Y37="","",ENTRADA!$Y37-C37))</f>
      </c>
      <c r="CT37" s="66">
        <f>IF(B37="","",IF(ENTRADA!$C37="","Falta fecha. ","")&amp;IF(BP37=0,"Mes fuera del rango de COSTOS_FIJOS. ","")&amp;IF(J37=0,"Sin kg. ","")&amp;IF(E37="","Falta transitaria. ","")&amp;IF(AND(T37&gt;0,U37/T37-1&gt;Tolerancia_Comb),"Combustible al puerto "&amp;TEXT(U37/T37-1,"+0%")&amp;" sobre norma. ","")&amp;IF(AND(AG37&gt;0,AH37/AG37-1&gt;Tolerancia_Comb),"Combustible distribución Occidente "&amp;TEXT(AH37/AG37-1,"+0%")&amp;" sobre norma. ","")&amp;IF(AND(AK37&gt;0,AL37/AK37-1&gt;Tolerancia_Comb),"Combustible traslado Centro "&amp;TEXT(AL37/AK37-1,"+0%")&amp;" sobre norma. ","")&amp;IF(AND(AM37&gt;0,AN37/AM37-1&gt;Tolerancia_Comb),"Combustible distribución Centro "&amp;TEXT(AN37/AM37-1,"+0%")&amp;" sobre norma. ","")&amp;IF(AND(AU37&gt;0,AV37/AU37-1&gt;Tolerancia_Comb),"Combustible traslado Oriente "&amp;TEXT(AV37/AU37-1,"+0%")&amp;" sobre norma. ","")&amp;IF(AND(AW37&gt;0,AX37/AW37-1&gt;Tolerancia_Comb),"Combustible distribución Oriente "&amp;TEXT(AX37/AW37-1,"+0%")&amp;" sobre norma. ","")&amp;IF(AND(ENTRADA!$C37&lt;&gt;"",C37&lt;PRECIOS!$A$6),"Fecha anterior a la 1ª vigencia de precios. ","")&amp;IF(CD37&lt;0,"Contenedor con pérdida. ",""))</f>
      </c>
    </row>
    <row r="38">
      <c r="A38" s="60">
        <f>IF(B38="","",ROW()-5)</f>
      </c>
      <c r="B38" s="63">
        <f>IF(ENTRADA!$B38="","",ENTRADA!$B38)</f>
      </c>
      <c r="C38" s="64">
        <f>IF(B38="","",ENTRADA!$C38)</f>
      </c>
      <c r="D38" s="65">
        <f>IF(B38="","",DATE(YEAR(C38),MONTH(C38),1))</f>
      </c>
      <c r="E38" s="66">
        <f>IF(B38="","",ENTRADA!$D38&amp;"")</f>
      </c>
      <c r="F38" s="66">
        <f>IF(B38="","",ENTRADA!$Z38&amp;"")</f>
      </c>
      <c r="G38" s="67">
        <f>IF(B38="","",N(ENTRADA!$G38))</f>
      </c>
      <c r="H38" s="67">
        <f>IF(B38="","",N(ENTRADA!$H38))</f>
      </c>
      <c r="I38" s="67">
        <f>IF(B38="","",N(ENTRADA!$I38))</f>
      </c>
      <c r="J38" s="68">
        <f>IF(B38="","",G38+H38+I38)</f>
      </c>
      <c r="K38" s="60">
        <f>IF(B38="","",IFERROR(MATCH(SUMPRODUCT(MAX((PRECIOS!$A$6:$A$55&lt;=C38)*PRECIOS!$A$6:$A$55)),PRECIOS!$A$6:$A$55,0),1))</f>
      </c>
      <c r="L38" s="69">
        <f>IF(B38="","",INDEX(PRECIOS!$A$6:$A$55,K38))</f>
      </c>
      <c r="M38" s="37">
        <f>IF(B38="","",G38*INDEX(PRECIOS!$B$6:$B$55,K38))</f>
      </c>
      <c r="N38" s="37">
        <f>IF(B38="","",H38*INDEX(PRECIOS!$C$6:$C$55,K38))</f>
      </c>
      <c r="O38" s="37">
        <f>IF(B38="","",I38*INDEX(PRECIOS!$D$6:$D$55,K38))</f>
      </c>
      <c r="P38" s="37">
        <f>IF(B38="","",N(ENTRADA!$X38))</f>
      </c>
      <c r="Q38" s="70">
        <f>IF(B38="","",M38+N38+O38+P38)</f>
      </c>
      <c r="R38" s="71">
        <f>IF(B38="","",IF(ENTRADA!$J38="",Std_Viajes_Puerto,ENTRADA!$J38))</f>
      </c>
      <c r="S38" s="37">
        <f>IF(B38="","",R38*INDEX(PRECIOS!$F$6:$F$55,K38))</f>
      </c>
      <c r="T38" s="71">
        <f>IF(B38="","",R38*Litros_Puerto_Viaje)</f>
      </c>
      <c r="U38" s="71">
        <f>IF(B38="","",IF(ENTRADA!$K38="",T38,ENTRADA!$K38))</f>
      </c>
      <c r="V38" s="37">
        <f>IF(B38="","",U38*INDEX(PRECIOS!$E$6:$E$55,K38))</f>
      </c>
      <c r="W38" s="37">
        <f>IF(B38="","",IF(ENTRADA!$L38="",R38*INDEX(PRECIOS!$G$6:$G$55,K38),ENTRADA!$L38))</f>
      </c>
      <c r="X38" s="37">
        <f>IF(B38="","",R38*Km_Puerto_Viaje*INDEX(PRECIOS!$N$6:$N$55,K38))</f>
      </c>
      <c r="Y38" s="70">
        <f>IF(B38="","",S38+V38+W38+X38)</f>
      </c>
      <c r="Z38" s="71">
        <f>IF(B38="","",IF(J38=0,0,ROUNDUP(J38/Rend_Desagrupe,0)))</f>
      </c>
      <c r="AA38" s="71">
        <f>IF(B38="","",IF(ENTRADA!$M38="",Z38,ENTRADA!$M38))</f>
      </c>
      <c r="AB38" s="37">
        <f>IF(B38="","",AA38*INDEX(PRECIOS!$H$6:$H$55,K38))</f>
      </c>
      <c r="AC38" s="37">
        <f>IF(B38="","",IF(E38="ENCI",INDEX(PRECIOS!$J$6:$J$55,K38),IF(E38="A.V",INDEX(PRECIOS!$K$6:$K$55,K38),0)))</f>
      </c>
      <c r="AD38" s="37">
        <f>IF(B38="","",N(ENTRADA!$N38))</f>
      </c>
      <c r="AE38" s="70">
        <f>IF(B38="","",AB38+AC38+AD38)</f>
      </c>
      <c r="AF38" s="71">
        <f>IF(B38="","",IF(G38=0,0,ROUNDUP(G38/Cap_Camion_OCC,0)))</f>
      </c>
      <c r="AG38" s="71">
        <f>IF(B38="","",AF38*L_Dist_OCC)</f>
      </c>
      <c r="AH38" s="71">
        <f>IF(B38="","",IF(ENTRADA!$O38="",AG38,ENTRADA!$O38))</f>
      </c>
      <c r="AI38" s="37">
        <f>IF(B38="","",AH38*INDEX(PRECIOS!$E$6:$E$55,K38))</f>
      </c>
      <c r="AJ38" s="71">
        <f>IF(B38="","",IF(H38=0,0,ROUNDUP(H38/Cap_Camion_CEN,0)))</f>
      </c>
      <c r="AK38" s="71">
        <f>IF(B38="","",AJ38*L_Tras_CEN)</f>
      </c>
      <c r="AL38" s="71">
        <f>IF(B38="","",IF(ENTRADA!$P38="",AK38,ENTRADA!$P38))</f>
      </c>
      <c r="AM38" s="71">
        <f>IF(B38="","",AJ38*L_Dist_CEN)</f>
      </c>
      <c r="AN38" s="71">
        <f>IF(B38="","",IF(ENTRADA!$Q38="",AM38,ENTRADA!$Q38))</f>
      </c>
      <c r="AO38" s="37">
        <f>IF(B38="","",(AL38+AN38)*INDEX(PRECIOS!$E$6:$E$55,K38))</f>
      </c>
      <c r="AP38" s="71">
        <f>IF(B38="","",IF(H38=0,0,ROUNDUP(H38/Rend_Desagrupe_CT,0)))</f>
      </c>
      <c r="AQ38" s="71">
        <f>IF(B38="","",IF(ENTRADA!$R38="",AP38,ENTRADA!$R38))</f>
      </c>
      <c r="AR38" s="37">
        <f>IF(B38="","",AQ38*INDEX(PRECIOS!$I$6:$I$55,K38))</f>
      </c>
      <c r="AS38" s="37">
        <f>IF(B38="","",AO38+AR38)</f>
      </c>
      <c r="AT38" s="71">
        <f>IF(B38="","",IF(I38=0,0,ROUNDUP(I38/Cap_Camion_ORI,0)))</f>
      </c>
      <c r="AU38" s="71">
        <f>IF(B38="","",AT38*L_Tras_ORI)</f>
      </c>
      <c r="AV38" s="71">
        <f>IF(B38="","",IF(ENTRADA!$S38="",AU38,ENTRADA!$S38))</f>
      </c>
      <c r="AW38" s="71">
        <f>IF(B38="","",AT38*L_Dist_ORI)</f>
      </c>
      <c r="AX38" s="71">
        <f>IF(B38="","",IF(ENTRADA!$T38="",AW38,ENTRADA!$T38))</f>
      </c>
      <c r="AY38" s="37">
        <f>IF(B38="","",(AV38+AX38)*INDEX(PRECIOS!$E$6:$E$55,K38))</f>
      </c>
      <c r="AZ38" s="71">
        <f>IF(B38="","",IF(I38=0,0,ROUNDUP(I38/Rend_Desagrupe_CT,0)))</f>
      </c>
      <c r="BA38" s="71">
        <f>IF(B38="","",IF(ENTRADA!$U38="",AZ38,ENTRADA!$U38))</f>
      </c>
      <c r="BB38" s="37">
        <f>IF(B38="","",BA38*INDEX(PRECIOS!$I$6:$I$55,K38))</f>
      </c>
      <c r="BC38" s="37">
        <f>IF(B38="","",AY38+BB38)</f>
      </c>
      <c r="BD38" s="70">
        <f>IF(B38="","",AI38+AS38+BC38)</f>
      </c>
      <c r="BE38" s="37">
        <f>IF(B38="","",IF(Base_Comision="% DEL INGRESO",M38*INDEX(PRECIOS!$L$6:$L$55,K38),G38*INDEX(PRECIOS!$M$6:$M$55,K38)))</f>
      </c>
      <c r="BF38" s="37">
        <f>IF(B38="","",IF(Base_Comision="% DEL INGRESO",N38*INDEX(PRECIOS!$L$6:$L$55,K38),H38*INDEX(PRECIOS!$M$6:$M$55,K38)))</f>
      </c>
      <c r="BG38" s="37">
        <f>IF(B38="","",IF(Base_Comision="% DEL INGRESO",O38*INDEX(PRECIOS!$L$6:$L$55,K38),I38*INDEX(PRECIOS!$M$6:$M$55,K38)))</f>
      </c>
      <c r="BH38" s="70">
        <f>IF(B38="","",BE38+BF38+BG38)</f>
      </c>
      <c r="BI38" s="37">
        <f>IF(B38="","",Q38*Pct_Reclamaciones)</f>
      </c>
      <c r="BJ38" s="37">
        <f>IF(B38="","",Q38*Pct_Banco)</f>
      </c>
      <c r="BK38" s="37">
        <f>IF(B38="","",N(ENTRADA!$V38))</f>
      </c>
      <c r="BL38" s="70">
        <f>IF(B38="","",Y38+AE38+BD38+BH38+BI38+BJ38+BK38)</f>
      </c>
      <c r="BM38" s="70">
        <f>IF(B38="","",Q38-BL38)</f>
      </c>
      <c r="BN38" s="72">
        <f>IF(B38="","",IF(Q38=0,0,BM38/Q38))</f>
      </c>
      <c r="BO38" s="73">
        <f>IF(B38="","",IF(J38=0,0,BM38/J38))</f>
      </c>
      <c r="BP38" s="60">
        <f>IF(B38="","",IFERROR(MATCH(D38,COSTOS_FIJOS!$G$5:$AD$5,0),0))</f>
      </c>
      <c r="BQ38" s="60">
        <f>IF(B38="","",COUNTIFS($D$6:$D$305,D38))</f>
      </c>
      <c r="BR38" s="67">
        <f>IF(B38="","",SUMIFS($J$6:$J$305,$D$6:$D$305,D38))</f>
      </c>
      <c r="BS38" s="72">
        <f>IF(B38="","",IF(Metodo_Prorrateo="KG",IF(BR38=0,0,J38/BR38),1/BQ38))</f>
      </c>
      <c r="BT38" s="37">
        <f>IF(B38="","",IF(BP38=0,0,INDEX(COSTOS_FIJOS!$G$38:$AD$38,BP38))*BS38)</f>
      </c>
      <c r="BU38" s="72">
        <f>IF(B38="","",IF(Metodo_Prorrateo="KG",IF(SUMIFS($G$6:$G$305,$D$6:$D$305,D38)=0,0,G38/SUMIFS($G$6:$G$305,$D$6:$D$305,D38)),IF(G38&gt;0,1/COUNTIFS($D$6:$D$305,D38,$G$6:$G$305,"&gt;0"),0)))</f>
      </c>
      <c r="BV38" s="37">
        <f>IF(B38="","",IF(BP38=0,0,INDEX(COSTOS_FIJOS!$G$39:$AD$39,BP38))*BU38)</f>
      </c>
      <c r="BW38" s="72">
        <f>IF(B38="","",IF(Metodo_Prorrateo="KG",IF(SUMIFS($H$6:$H$305,$D$6:$D$305,D38)=0,0,H38/SUMIFS($H$6:$H$305,$D$6:$D$305,D38)),IF(H38&gt;0,1/COUNTIFS($D$6:$D$305,D38,$H$6:$H$305,"&gt;0"),0)))</f>
      </c>
      <c r="BX38" s="37">
        <f>IF(B38="","",IF(BP38=0,0,INDEX(COSTOS_FIJOS!$G$40:$AD$40,BP38))*BW38)</f>
      </c>
      <c r="BY38" s="72">
        <f>IF(B38="","",IF(Metodo_Prorrateo="KG",IF(SUMIFS($I$6:$I$305,$D$6:$D$305,D38)=0,0,I38/SUMIFS($I$6:$I$305,$D$6:$D$305,D38)),IF(I38&gt;0,1/COUNTIFS($D$6:$D$305,D38,$I$6:$I$305,"&gt;0"),0)))</f>
      </c>
      <c r="BZ38" s="37">
        <f>IF(B38="","",IF(BP38=0,0,INDEX(COSTOS_FIJOS!$G$41:$AD$41,BP38))*BY38)</f>
      </c>
      <c r="CA38" s="70">
        <f>IF(B38="","",BT38+BV38+BX38+BZ38)</f>
      </c>
      <c r="CB38" s="37">
        <f>IF(B38="","",Q38*Imp_Ventas_Serv)</f>
      </c>
      <c r="CC38" s="37">
        <f>IF(B38="","",Q38*Contrib_Territorial)</f>
      </c>
      <c r="CD38" s="70">
        <f>IF(B38="","",BM38-CA38-CB38-CC38)</f>
      </c>
      <c r="CE38" s="37">
        <f>IF(B38="","",MAX(0,CD38)*Imp_Utilidades)</f>
      </c>
      <c r="CF38" s="70">
        <f>IF(B38="","",CD38-CE38)</f>
      </c>
      <c r="CG38" s="72">
        <f>IF(B38="","",IF(Q38=0,0,CF38/Q38))</f>
      </c>
      <c r="CH38" s="73">
        <f>IF(B38="","",IF(J38=0,0,(BL38+CA38+CB38+CC38)/J38))</f>
      </c>
      <c r="CI38" s="73">
        <f>IF(B38="","",IF(J38=0,0,Q38/J38))</f>
      </c>
      <c r="CJ38" s="73">
        <f>IF(B38="","",IF(J38=0,0,CD38/J38))</f>
      </c>
      <c r="CK38" s="37">
        <f>IF(B38="","",Y38+AE38+BK38+BT38)</f>
      </c>
      <c r="CL38" s="37">
        <f>IF(B38="","",IF(J38=0,0,(M38+P38*G38/J38)*(1-Pct_Reclamaciones-Pct_Banco-Imp_Ventas_Serv-Contrib_Territorial)-AI38-BE38-BV38-CK38*G38/J38))</f>
      </c>
      <c r="CM38" s="37">
        <f>IF(B38="","",IF(J38=0,0,(N38+P38*H38/J38)*(1-Pct_Reclamaciones-Pct_Banco-Imp_Ventas_Serv-Contrib_Territorial)-AS38-BF38-BX38-CK38*H38/J38))</f>
      </c>
      <c r="CN38" s="37">
        <f>IF(B38="","",IF(J38=0,0,(O38+P38*I38/J38)*(1-Pct_Reclamaciones-Pct_Banco-Imp_Ventas_Serv-Contrib_Territorial)-BC38-BG38-BZ38-CK38*I38/J38))</f>
      </c>
      <c r="CO38" s="37">
        <f>IF(B38="","",IF(J38=0,0,ROUND(CD38-CL38-CM38-CN38,4)))</f>
      </c>
      <c r="CP38" s="71">
        <f>IF(B38="","",T38+AG38+AK38+AM38+AU38+AW38)</f>
      </c>
      <c r="CQ38" s="71">
        <f>IF(B38="","",U38+AH38+AL38+AN38+AV38+AX38)</f>
      </c>
      <c r="CR38" s="72">
        <f>IF(B38="","",IF(CP38=0,0,CQ38/CP38-1))</f>
      </c>
      <c r="CS38" s="60">
        <f>IF(B38="","",IF(ENTRADA!$Y38="","",ENTRADA!$Y38-C38))</f>
      </c>
      <c r="CT38" s="66">
        <f>IF(B38="","",IF(ENTRADA!$C38="","Falta fecha. ","")&amp;IF(BP38=0,"Mes fuera del rango de COSTOS_FIJOS. ","")&amp;IF(J38=0,"Sin kg. ","")&amp;IF(E38="","Falta transitaria. ","")&amp;IF(AND(T38&gt;0,U38/T38-1&gt;Tolerancia_Comb),"Combustible al puerto "&amp;TEXT(U38/T38-1,"+0%")&amp;" sobre norma. ","")&amp;IF(AND(AG38&gt;0,AH38/AG38-1&gt;Tolerancia_Comb),"Combustible distribución Occidente "&amp;TEXT(AH38/AG38-1,"+0%")&amp;" sobre norma. ","")&amp;IF(AND(AK38&gt;0,AL38/AK38-1&gt;Tolerancia_Comb),"Combustible traslado Centro "&amp;TEXT(AL38/AK38-1,"+0%")&amp;" sobre norma. ","")&amp;IF(AND(AM38&gt;0,AN38/AM38-1&gt;Tolerancia_Comb),"Combustible distribución Centro "&amp;TEXT(AN38/AM38-1,"+0%")&amp;" sobre norma. ","")&amp;IF(AND(AU38&gt;0,AV38/AU38-1&gt;Tolerancia_Comb),"Combustible traslado Oriente "&amp;TEXT(AV38/AU38-1,"+0%")&amp;" sobre norma. ","")&amp;IF(AND(AW38&gt;0,AX38/AW38-1&gt;Tolerancia_Comb),"Combustible distribución Oriente "&amp;TEXT(AX38/AW38-1,"+0%")&amp;" sobre norma. ","")&amp;IF(AND(ENTRADA!$C38&lt;&gt;"",C38&lt;PRECIOS!$A$6),"Fecha anterior a la 1ª vigencia de precios. ","")&amp;IF(CD38&lt;0,"Contenedor con pérdida. ",""))</f>
      </c>
    </row>
    <row r="39">
      <c r="A39" s="60">
        <f>IF(B39="","",ROW()-5)</f>
      </c>
      <c r="B39" s="63">
        <f>IF(ENTRADA!$B39="","",ENTRADA!$B39)</f>
      </c>
      <c r="C39" s="64">
        <f>IF(B39="","",ENTRADA!$C39)</f>
      </c>
      <c r="D39" s="65">
        <f>IF(B39="","",DATE(YEAR(C39),MONTH(C39),1))</f>
      </c>
      <c r="E39" s="66">
        <f>IF(B39="","",ENTRADA!$D39&amp;"")</f>
      </c>
      <c r="F39" s="66">
        <f>IF(B39="","",ENTRADA!$Z39&amp;"")</f>
      </c>
      <c r="G39" s="67">
        <f>IF(B39="","",N(ENTRADA!$G39))</f>
      </c>
      <c r="H39" s="67">
        <f>IF(B39="","",N(ENTRADA!$H39))</f>
      </c>
      <c r="I39" s="67">
        <f>IF(B39="","",N(ENTRADA!$I39))</f>
      </c>
      <c r="J39" s="68">
        <f>IF(B39="","",G39+H39+I39)</f>
      </c>
      <c r="K39" s="60">
        <f>IF(B39="","",IFERROR(MATCH(SUMPRODUCT(MAX((PRECIOS!$A$6:$A$55&lt;=C39)*PRECIOS!$A$6:$A$55)),PRECIOS!$A$6:$A$55,0),1))</f>
      </c>
      <c r="L39" s="69">
        <f>IF(B39="","",INDEX(PRECIOS!$A$6:$A$55,K39))</f>
      </c>
      <c r="M39" s="37">
        <f>IF(B39="","",G39*INDEX(PRECIOS!$B$6:$B$55,K39))</f>
      </c>
      <c r="N39" s="37">
        <f>IF(B39="","",H39*INDEX(PRECIOS!$C$6:$C$55,K39))</f>
      </c>
      <c r="O39" s="37">
        <f>IF(B39="","",I39*INDEX(PRECIOS!$D$6:$D$55,K39))</f>
      </c>
      <c r="P39" s="37">
        <f>IF(B39="","",N(ENTRADA!$X39))</f>
      </c>
      <c r="Q39" s="70">
        <f>IF(B39="","",M39+N39+O39+P39)</f>
      </c>
      <c r="R39" s="71">
        <f>IF(B39="","",IF(ENTRADA!$J39="",Std_Viajes_Puerto,ENTRADA!$J39))</f>
      </c>
      <c r="S39" s="37">
        <f>IF(B39="","",R39*INDEX(PRECIOS!$F$6:$F$55,K39))</f>
      </c>
      <c r="T39" s="71">
        <f>IF(B39="","",R39*Litros_Puerto_Viaje)</f>
      </c>
      <c r="U39" s="71">
        <f>IF(B39="","",IF(ENTRADA!$K39="",T39,ENTRADA!$K39))</f>
      </c>
      <c r="V39" s="37">
        <f>IF(B39="","",U39*INDEX(PRECIOS!$E$6:$E$55,K39))</f>
      </c>
      <c r="W39" s="37">
        <f>IF(B39="","",IF(ENTRADA!$L39="",R39*INDEX(PRECIOS!$G$6:$G$55,K39),ENTRADA!$L39))</f>
      </c>
      <c r="X39" s="37">
        <f>IF(B39="","",R39*Km_Puerto_Viaje*INDEX(PRECIOS!$N$6:$N$55,K39))</f>
      </c>
      <c r="Y39" s="70">
        <f>IF(B39="","",S39+V39+W39+X39)</f>
      </c>
      <c r="Z39" s="71">
        <f>IF(B39="","",IF(J39=0,0,ROUNDUP(J39/Rend_Desagrupe,0)))</f>
      </c>
      <c r="AA39" s="71">
        <f>IF(B39="","",IF(ENTRADA!$M39="",Z39,ENTRADA!$M39))</f>
      </c>
      <c r="AB39" s="37">
        <f>IF(B39="","",AA39*INDEX(PRECIOS!$H$6:$H$55,K39))</f>
      </c>
      <c r="AC39" s="37">
        <f>IF(B39="","",IF(E39="ENCI",INDEX(PRECIOS!$J$6:$J$55,K39),IF(E39="A.V",INDEX(PRECIOS!$K$6:$K$55,K39),0)))</f>
      </c>
      <c r="AD39" s="37">
        <f>IF(B39="","",N(ENTRADA!$N39))</f>
      </c>
      <c r="AE39" s="70">
        <f>IF(B39="","",AB39+AC39+AD39)</f>
      </c>
      <c r="AF39" s="71">
        <f>IF(B39="","",IF(G39=0,0,ROUNDUP(G39/Cap_Camion_OCC,0)))</f>
      </c>
      <c r="AG39" s="71">
        <f>IF(B39="","",AF39*L_Dist_OCC)</f>
      </c>
      <c r="AH39" s="71">
        <f>IF(B39="","",IF(ENTRADA!$O39="",AG39,ENTRADA!$O39))</f>
      </c>
      <c r="AI39" s="37">
        <f>IF(B39="","",AH39*INDEX(PRECIOS!$E$6:$E$55,K39))</f>
      </c>
      <c r="AJ39" s="71">
        <f>IF(B39="","",IF(H39=0,0,ROUNDUP(H39/Cap_Camion_CEN,0)))</f>
      </c>
      <c r="AK39" s="71">
        <f>IF(B39="","",AJ39*L_Tras_CEN)</f>
      </c>
      <c r="AL39" s="71">
        <f>IF(B39="","",IF(ENTRADA!$P39="",AK39,ENTRADA!$P39))</f>
      </c>
      <c r="AM39" s="71">
        <f>IF(B39="","",AJ39*L_Dist_CEN)</f>
      </c>
      <c r="AN39" s="71">
        <f>IF(B39="","",IF(ENTRADA!$Q39="",AM39,ENTRADA!$Q39))</f>
      </c>
      <c r="AO39" s="37">
        <f>IF(B39="","",(AL39+AN39)*INDEX(PRECIOS!$E$6:$E$55,K39))</f>
      </c>
      <c r="AP39" s="71">
        <f>IF(B39="","",IF(H39=0,0,ROUNDUP(H39/Rend_Desagrupe_CT,0)))</f>
      </c>
      <c r="AQ39" s="71">
        <f>IF(B39="","",IF(ENTRADA!$R39="",AP39,ENTRADA!$R39))</f>
      </c>
      <c r="AR39" s="37">
        <f>IF(B39="","",AQ39*INDEX(PRECIOS!$I$6:$I$55,K39))</f>
      </c>
      <c r="AS39" s="37">
        <f>IF(B39="","",AO39+AR39)</f>
      </c>
      <c r="AT39" s="71">
        <f>IF(B39="","",IF(I39=0,0,ROUNDUP(I39/Cap_Camion_ORI,0)))</f>
      </c>
      <c r="AU39" s="71">
        <f>IF(B39="","",AT39*L_Tras_ORI)</f>
      </c>
      <c r="AV39" s="71">
        <f>IF(B39="","",IF(ENTRADA!$S39="",AU39,ENTRADA!$S39))</f>
      </c>
      <c r="AW39" s="71">
        <f>IF(B39="","",AT39*L_Dist_ORI)</f>
      </c>
      <c r="AX39" s="71">
        <f>IF(B39="","",IF(ENTRADA!$T39="",AW39,ENTRADA!$T39))</f>
      </c>
      <c r="AY39" s="37">
        <f>IF(B39="","",(AV39+AX39)*INDEX(PRECIOS!$E$6:$E$55,K39))</f>
      </c>
      <c r="AZ39" s="71">
        <f>IF(B39="","",IF(I39=0,0,ROUNDUP(I39/Rend_Desagrupe_CT,0)))</f>
      </c>
      <c r="BA39" s="71">
        <f>IF(B39="","",IF(ENTRADA!$U39="",AZ39,ENTRADA!$U39))</f>
      </c>
      <c r="BB39" s="37">
        <f>IF(B39="","",BA39*INDEX(PRECIOS!$I$6:$I$55,K39))</f>
      </c>
      <c r="BC39" s="37">
        <f>IF(B39="","",AY39+BB39)</f>
      </c>
      <c r="BD39" s="70">
        <f>IF(B39="","",AI39+AS39+BC39)</f>
      </c>
      <c r="BE39" s="37">
        <f>IF(B39="","",IF(Base_Comision="% DEL INGRESO",M39*INDEX(PRECIOS!$L$6:$L$55,K39),G39*INDEX(PRECIOS!$M$6:$M$55,K39)))</f>
      </c>
      <c r="BF39" s="37">
        <f>IF(B39="","",IF(Base_Comision="% DEL INGRESO",N39*INDEX(PRECIOS!$L$6:$L$55,K39),H39*INDEX(PRECIOS!$M$6:$M$55,K39)))</f>
      </c>
      <c r="BG39" s="37">
        <f>IF(B39="","",IF(Base_Comision="% DEL INGRESO",O39*INDEX(PRECIOS!$L$6:$L$55,K39),I39*INDEX(PRECIOS!$M$6:$M$55,K39)))</f>
      </c>
      <c r="BH39" s="70">
        <f>IF(B39="","",BE39+BF39+BG39)</f>
      </c>
      <c r="BI39" s="37">
        <f>IF(B39="","",Q39*Pct_Reclamaciones)</f>
      </c>
      <c r="BJ39" s="37">
        <f>IF(B39="","",Q39*Pct_Banco)</f>
      </c>
      <c r="BK39" s="37">
        <f>IF(B39="","",N(ENTRADA!$V39))</f>
      </c>
      <c r="BL39" s="70">
        <f>IF(B39="","",Y39+AE39+BD39+BH39+BI39+BJ39+BK39)</f>
      </c>
      <c r="BM39" s="70">
        <f>IF(B39="","",Q39-BL39)</f>
      </c>
      <c r="BN39" s="72">
        <f>IF(B39="","",IF(Q39=0,0,BM39/Q39))</f>
      </c>
      <c r="BO39" s="73">
        <f>IF(B39="","",IF(J39=0,0,BM39/J39))</f>
      </c>
      <c r="BP39" s="60">
        <f>IF(B39="","",IFERROR(MATCH(D39,COSTOS_FIJOS!$G$5:$AD$5,0),0))</f>
      </c>
      <c r="BQ39" s="60">
        <f>IF(B39="","",COUNTIFS($D$6:$D$305,D39))</f>
      </c>
      <c r="BR39" s="67">
        <f>IF(B39="","",SUMIFS($J$6:$J$305,$D$6:$D$305,D39))</f>
      </c>
      <c r="BS39" s="72">
        <f>IF(B39="","",IF(Metodo_Prorrateo="KG",IF(BR39=0,0,J39/BR39),1/BQ39))</f>
      </c>
      <c r="BT39" s="37">
        <f>IF(B39="","",IF(BP39=0,0,INDEX(COSTOS_FIJOS!$G$38:$AD$38,BP39))*BS39)</f>
      </c>
      <c r="BU39" s="72">
        <f>IF(B39="","",IF(Metodo_Prorrateo="KG",IF(SUMIFS($G$6:$G$305,$D$6:$D$305,D39)=0,0,G39/SUMIFS($G$6:$G$305,$D$6:$D$305,D39)),IF(G39&gt;0,1/COUNTIFS($D$6:$D$305,D39,$G$6:$G$305,"&gt;0"),0)))</f>
      </c>
      <c r="BV39" s="37">
        <f>IF(B39="","",IF(BP39=0,0,INDEX(COSTOS_FIJOS!$G$39:$AD$39,BP39))*BU39)</f>
      </c>
      <c r="BW39" s="72">
        <f>IF(B39="","",IF(Metodo_Prorrateo="KG",IF(SUMIFS($H$6:$H$305,$D$6:$D$305,D39)=0,0,H39/SUMIFS($H$6:$H$305,$D$6:$D$305,D39)),IF(H39&gt;0,1/COUNTIFS($D$6:$D$305,D39,$H$6:$H$305,"&gt;0"),0)))</f>
      </c>
      <c r="BX39" s="37">
        <f>IF(B39="","",IF(BP39=0,0,INDEX(COSTOS_FIJOS!$G$40:$AD$40,BP39))*BW39)</f>
      </c>
      <c r="BY39" s="72">
        <f>IF(B39="","",IF(Metodo_Prorrateo="KG",IF(SUMIFS($I$6:$I$305,$D$6:$D$305,D39)=0,0,I39/SUMIFS($I$6:$I$305,$D$6:$D$305,D39)),IF(I39&gt;0,1/COUNTIFS($D$6:$D$305,D39,$I$6:$I$305,"&gt;0"),0)))</f>
      </c>
      <c r="BZ39" s="37">
        <f>IF(B39="","",IF(BP39=0,0,INDEX(COSTOS_FIJOS!$G$41:$AD$41,BP39))*BY39)</f>
      </c>
      <c r="CA39" s="70">
        <f>IF(B39="","",BT39+BV39+BX39+BZ39)</f>
      </c>
      <c r="CB39" s="37">
        <f>IF(B39="","",Q39*Imp_Ventas_Serv)</f>
      </c>
      <c r="CC39" s="37">
        <f>IF(B39="","",Q39*Contrib_Territorial)</f>
      </c>
      <c r="CD39" s="70">
        <f>IF(B39="","",BM39-CA39-CB39-CC39)</f>
      </c>
      <c r="CE39" s="37">
        <f>IF(B39="","",MAX(0,CD39)*Imp_Utilidades)</f>
      </c>
      <c r="CF39" s="70">
        <f>IF(B39="","",CD39-CE39)</f>
      </c>
      <c r="CG39" s="72">
        <f>IF(B39="","",IF(Q39=0,0,CF39/Q39))</f>
      </c>
      <c r="CH39" s="73">
        <f>IF(B39="","",IF(J39=0,0,(BL39+CA39+CB39+CC39)/J39))</f>
      </c>
      <c r="CI39" s="73">
        <f>IF(B39="","",IF(J39=0,0,Q39/J39))</f>
      </c>
      <c r="CJ39" s="73">
        <f>IF(B39="","",IF(J39=0,0,CD39/J39))</f>
      </c>
      <c r="CK39" s="37">
        <f>IF(B39="","",Y39+AE39+BK39+BT39)</f>
      </c>
      <c r="CL39" s="37">
        <f>IF(B39="","",IF(J39=0,0,(M39+P39*G39/J39)*(1-Pct_Reclamaciones-Pct_Banco-Imp_Ventas_Serv-Contrib_Territorial)-AI39-BE39-BV39-CK39*G39/J39))</f>
      </c>
      <c r="CM39" s="37">
        <f>IF(B39="","",IF(J39=0,0,(N39+P39*H39/J39)*(1-Pct_Reclamaciones-Pct_Banco-Imp_Ventas_Serv-Contrib_Territorial)-AS39-BF39-BX39-CK39*H39/J39))</f>
      </c>
      <c r="CN39" s="37">
        <f>IF(B39="","",IF(J39=0,0,(O39+P39*I39/J39)*(1-Pct_Reclamaciones-Pct_Banco-Imp_Ventas_Serv-Contrib_Territorial)-BC39-BG39-BZ39-CK39*I39/J39))</f>
      </c>
      <c r="CO39" s="37">
        <f>IF(B39="","",IF(J39=0,0,ROUND(CD39-CL39-CM39-CN39,4)))</f>
      </c>
      <c r="CP39" s="71">
        <f>IF(B39="","",T39+AG39+AK39+AM39+AU39+AW39)</f>
      </c>
      <c r="CQ39" s="71">
        <f>IF(B39="","",U39+AH39+AL39+AN39+AV39+AX39)</f>
      </c>
      <c r="CR39" s="72">
        <f>IF(B39="","",IF(CP39=0,0,CQ39/CP39-1))</f>
      </c>
      <c r="CS39" s="60">
        <f>IF(B39="","",IF(ENTRADA!$Y39="","",ENTRADA!$Y39-C39))</f>
      </c>
      <c r="CT39" s="66">
        <f>IF(B39="","",IF(ENTRADA!$C39="","Falta fecha. ","")&amp;IF(BP39=0,"Mes fuera del rango de COSTOS_FIJOS. ","")&amp;IF(J39=0,"Sin kg. ","")&amp;IF(E39="","Falta transitaria. ","")&amp;IF(AND(T39&gt;0,U39/T39-1&gt;Tolerancia_Comb),"Combustible al puerto "&amp;TEXT(U39/T39-1,"+0%")&amp;" sobre norma. ","")&amp;IF(AND(AG39&gt;0,AH39/AG39-1&gt;Tolerancia_Comb),"Combustible distribución Occidente "&amp;TEXT(AH39/AG39-1,"+0%")&amp;" sobre norma. ","")&amp;IF(AND(AK39&gt;0,AL39/AK39-1&gt;Tolerancia_Comb),"Combustible traslado Centro "&amp;TEXT(AL39/AK39-1,"+0%")&amp;" sobre norma. ","")&amp;IF(AND(AM39&gt;0,AN39/AM39-1&gt;Tolerancia_Comb),"Combustible distribución Centro "&amp;TEXT(AN39/AM39-1,"+0%")&amp;" sobre norma. ","")&amp;IF(AND(AU39&gt;0,AV39/AU39-1&gt;Tolerancia_Comb),"Combustible traslado Oriente "&amp;TEXT(AV39/AU39-1,"+0%")&amp;" sobre norma. ","")&amp;IF(AND(AW39&gt;0,AX39/AW39-1&gt;Tolerancia_Comb),"Combustible distribución Oriente "&amp;TEXT(AX39/AW39-1,"+0%")&amp;" sobre norma. ","")&amp;IF(AND(ENTRADA!$C39&lt;&gt;"",C39&lt;PRECIOS!$A$6),"Fecha anterior a la 1ª vigencia de precios. ","")&amp;IF(CD39&lt;0,"Contenedor con pérdida. ",""))</f>
      </c>
    </row>
    <row r="40">
      <c r="A40" s="60">
        <f>IF(B40="","",ROW()-5)</f>
      </c>
      <c r="B40" s="63">
        <f>IF(ENTRADA!$B40="","",ENTRADA!$B40)</f>
      </c>
      <c r="C40" s="64">
        <f>IF(B40="","",ENTRADA!$C40)</f>
      </c>
      <c r="D40" s="65">
        <f>IF(B40="","",DATE(YEAR(C40),MONTH(C40),1))</f>
      </c>
      <c r="E40" s="66">
        <f>IF(B40="","",ENTRADA!$D40&amp;"")</f>
      </c>
      <c r="F40" s="66">
        <f>IF(B40="","",ENTRADA!$Z40&amp;"")</f>
      </c>
      <c r="G40" s="67">
        <f>IF(B40="","",N(ENTRADA!$G40))</f>
      </c>
      <c r="H40" s="67">
        <f>IF(B40="","",N(ENTRADA!$H40))</f>
      </c>
      <c r="I40" s="67">
        <f>IF(B40="","",N(ENTRADA!$I40))</f>
      </c>
      <c r="J40" s="68">
        <f>IF(B40="","",G40+H40+I40)</f>
      </c>
      <c r="K40" s="60">
        <f>IF(B40="","",IFERROR(MATCH(SUMPRODUCT(MAX((PRECIOS!$A$6:$A$55&lt;=C40)*PRECIOS!$A$6:$A$55)),PRECIOS!$A$6:$A$55,0),1))</f>
      </c>
      <c r="L40" s="69">
        <f>IF(B40="","",INDEX(PRECIOS!$A$6:$A$55,K40))</f>
      </c>
      <c r="M40" s="37">
        <f>IF(B40="","",G40*INDEX(PRECIOS!$B$6:$B$55,K40))</f>
      </c>
      <c r="N40" s="37">
        <f>IF(B40="","",H40*INDEX(PRECIOS!$C$6:$C$55,K40))</f>
      </c>
      <c r="O40" s="37">
        <f>IF(B40="","",I40*INDEX(PRECIOS!$D$6:$D$55,K40))</f>
      </c>
      <c r="P40" s="37">
        <f>IF(B40="","",N(ENTRADA!$X40))</f>
      </c>
      <c r="Q40" s="70">
        <f>IF(B40="","",M40+N40+O40+P40)</f>
      </c>
      <c r="R40" s="71">
        <f>IF(B40="","",IF(ENTRADA!$J40="",Std_Viajes_Puerto,ENTRADA!$J40))</f>
      </c>
      <c r="S40" s="37">
        <f>IF(B40="","",R40*INDEX(PRECIOS!$F$6:$F$55,K40))</f>
      </c>
      <c r="T40" s="71">
        <f>IF(B40="","",R40*Litros_Puerto_Viaje)</f>
      </c>
      <c r="U40" s="71">
        <f>IF(B40="","",IF(ENTRADA!$K40="",T40,ENTRADA!$K40))</f>
      </c>
      <c r="V40" s="37">
        <f>IF(B40="","",U40*INDEX(PRECIOS!$E$6:$E$55,K40))</f>
      </c>
      <c r="W40" s="37">
        <f>IF(B40="","",IF(ENTRADA!$L40="",R40*INDEX(PRECIOS!$G$6:$G$55,K40),ENTRADA!$L40))</f>
      </c>
      <c r="X40" s="37">
        <f>IF(B40="","",R40*Km_Puerto_Viaje*INDEX(PRECIOS!$N$6:$N$55,K40))</f>
      </c>
      <c r="Y40" s="70">
        <f>IF(B40="","",S40+V40+W40+X40)</f>
      </c>
      <c r="Z40" s="71">
        <f>IF(B40="","",IF(J40=0,0,ROUNDUP(J40/Rend_Desagrupe,0)))</f>
      </c>
      <c r="AA40" s="71">
        <f>IF(B40="","",IF(ENTRADA!$M40="",Z40,ENTRADA!$M40))</f>
      </c>
      <c r="AB40" s="37">
        <f>IF(B40="","",AA40*INDEX(PRECIOS!$H$6:$H$55,K40))</f>
      </c>
      <c r="AC40" s="37">
        <f>IF(B40="","",IF(E40="ENCI",INDEX(PRECIOS!$J$6:$J$55,K40),IF(E40="A.V",INDEX(PRECIOS!$K$6:$K$55,K40),0)))</f>
      </c>
      <c r="AD40" s="37">
        <f>IF(B40="","",N(ENTRADA!$N40))</f>
      </c>
      <c r="AE40" s="70">
        <f>IF(B40="","",AB40+AC40+AD40)</f>
      </c>
      <c r="AF40" s="71">
        <f>IF(B40="","",IF(G40=0,0,ROUNDUP(G40/Cap_Camion_OCC,0)))</f>
      </c>
      <c r="AG40" s="71">
        <f>IF(B40="","",AF40*L_Dist_OCC)</f>
      </c>
      <c r="AH40" s="71">
        <f>IF(B40="","",IF(ENTRADA!$O40="",AG40,ENTRADA!$O40))</f>
      </c>
      <c r="AI40" s="37">
        <f>IF(B40="","",AH40*INDEX(PRECIOS!$E$6:$E$55,K40))</f>
      </c>
      <c r="AJ40" s="71">
        <f>IF(B40="","",IF(H40=0,0,ROUNDUP(H40/Cap_Camion_CEN,0)))</f>
      </c>
      <c r="AK40" s="71">
        <f>IF(B40="","",AJ40*L_Tras_CEN)</f>
      </c>
      <c r="AL40" s="71">
        <f>IF(B40="","",IF(ENTRADA!$P40="",AK40,ENTRADA!$P40))</f>
      </c>
      <c r="AM40" s="71">
        <f>IF(B40="","",AJ40*L_Dist_CEN)</f>
      </c>
      <c r="AN40" s="71">
        <f>IF(B40="","",IF(ENTRADA!$Q40="",AM40,ENTRADA!$Q40))</f>
      </c>
      <c r="AO40" s="37">
        <f>IF(B40="","",(AL40+AN40)*INDEX(PRECIOS!$E$6:$E$55,K40))</f>
      </c>
      <c r="AP40" s="71">
        <f>IF(B40="","",IF(H40=0,0,ROUNDUP(H40/Rend_Desagrupe_CT,0)))</f>
      </c>
      <c r="AQ40" s="71">
        <f>IF(B40="","",IF(ENTRADA!$R40="",AP40,ENTRADA!$R40))</f>
      </c>
      <c r="AR40" s="37">
        <f>IF(B40="","",AQ40*INDEX(PRECIOS!$I$6:$I$55,K40))</f>
      </c>
      <c r="AS40" s="37">
        <f>IF(B40="","",AO40+AR40)</f>
      </c>
      <c r="AT40" s="71">
        <f>IF(B40="","",IF(I40=0,0,ROUNDUP(I40/Cap_Camion_ORI,0)))</f>
      </c>
      <c r="AU40" s="71">
        <f>IF(B40="","",AT40*L_Tras_ORI)</f>
      </c>
      <c r="AV40" s="71">
        <f>IF(B40="","",IF(ENTRADA!$S40="",AU40,ENTRADA!$S40))</f>
      </c>
      <c r="AW40" s="71">
        <f>IF(B40="","",AT40*L_Dist_ORI)</f>
      </c>
      <c r="AX40" s="71">
        <f>IF(B40="","",IF(ENTRADA!$T40="",AW40,ENTRADA!$T40))</f>
      </c>
      <c r="AY40" s="37">
        <f>IF(B40="","",(AV40+AX40)*INDEX(PRECIOS!$E$6:$E$55,K40))</f>
      </c>
      <c r="AZ40" s="71">
        <f>IF(B40="","",IF(I40=0,0,ROUNDUP(I40/Rend_Desagrupe_CT,0)))</f>
      </c>
      <c r="BA40" s="71">
        <f>IF(B40="","",IF(ENTRADA!$U40="",AZ40,ENTRADA!$U40))</f>
      </c>
      <c r="BB40" s="37">
        <f>IF(B40="","",BA40*INDEX(PRECIOS!$I$6:$I$55,K40))</f>
      </c>
      <c r="BC40" s="37">
        <f>IF(B40="","",AY40+BB40)</f>
      </c>
      <c r="BD40" s="70">
        <f>IF(B40="","",AI40+AS40+BC40)</f>
      </c>
      <c r="BE40" s="37">
        <f>IF(B40="","",IF(Base_Comision="% DEL INGRESO",M40*INDEX(PRECIOS!$L$6:$L$55,K40),G40*INDEX(PRECIOS!$M$6:$M$55,K40)))</f>
      </c>
      <c r="BF40" s="37">
        <f>IF(B40="","",IF(Base_Comision="% DEL INGRESO",N40*INDEX(PRECIOS!$L$6:$L$55,K40),H40*INDEX(PRECIOS!$M$6:$M$55,K40)))</f>
      </c>
      <c r="BG40" s="37">
        <f>IF(B40="","",IF(Base_Comision="% DEL INGRESO",O40*INDEX(PRECIOS!$L$6:$L$55,K40),I40*INDEX(PRECIOS!$M$6:$M$55,K40)))</f>
      </c>
      <c r="BH40" s="70">
        <f>IF(B40="","",BE40+BF40+BG40)</f>
      </c>
      <c r="BI40" s="37">
        <f>IF(B40="","",Q40*Pct_Reclamaciones)</f>
      </c>
      <c r="BJ40" s="37">
        <f>IF(B40="","",Q40*Pct_Banco)</f>
      </c>
      <c r="BK40" s="37">
        <f>IF(B40="","",N(ENTRADA!$V40))</f>
      </c>
      <c r="BL40" s="70">
        <f>IF(B40="","",Y40+AE40+BD40+BH40+BI40+BJ40+BK40)</f>
      </c>
      <c r="BM40" s="70">
        <f>IF(B40="","",Q40-BL40)</f>
      </c>
      <c r="BN40" s="72">
        <f>IF(B40="","",IF(Q40=0,0,BM40/Q40))</f>
      </c>
      <c r="BO40" s="73">
        <f>IF(B40="","",IF(J40=0,0,BM40/J40))</f>
      </c>
      <c r="BP40" s="60">
        <f>IF(B40="","",IFERROR(MATCH(D40,COSTOS_FIJOS!$G$5:$AD$5,0),0))</f>
      </c>
      <c r="BQ40" s="60">
        <f>IF(B40="","",COUNTIFS($D$6:$D$305,D40))</f>
      </c>
      <c r="BR40" s="67">
        <f>IF(B40="","",SUMIFS($J$6:$J$305,$D$6:$D$305,D40))</f>
      </c>
      <c r="BS40" s="72">
        <f>IF(B40="","",IF(Metodo_Prorrateo="KG",IF(BR40=0,0,J40/BR40),1/BQ40))</f>
      </c>
      <c r="BT40" s="37">
        <f>IF(B40="","",IF(BP40=0,0,INDEX(COSTOS_FIJOS!$G$38:$AD$38,BP40))*BS40)</f>
      </c>
      <c r="BU40" s="72">
        <f>IF(B40="","",IF(Metodo_Prorrateo="KG",IF(SUMIFS($G$6:$G$305,$D$6:$D$305,D40)=0,0,G40/SUMIFS($G$6:$G$305,$D$6:$D$305,D40)),IF(G40&gt;0,1/COUNTIFS($D$6:$D$305,D40,$G$6:$G$305,"&gt;0"),0)))</f>
      </c>
      <c r="BV40" s="37">
        <f>IF(B40="","",IF(BP40=0,0,INDEX(COSTOS_FIJOS!$G$39:$AD$39,BP40))*BU40)</f>
      </c>
      <c r="BW40" s="72">
        <f>IF(B40="","",IF(Metodo_Prorrateo="KG",IF(SUMIFS($H$6:$H$305,$D$6:$D$305,D40)=0,0,H40/SUMIFS($H$6:$H$305,$D$6:$D$305,D40)),IF(H40&gt;0,1/COUNTIFS($D$6:$D$305,D40,$H$6:$H$305,"&gt;0"),0)))</f>
      </c>
      <c r="BX40" s="37">
        <f>IF(B40="","",IF(BP40=0,0,INDEX(COSTOS_FIJOS!$G$40:$AD$40,BP40))*BW40)</f>
      </c>
      <c r="BY40" s="72">
        <f>IF(B40="","",IF(Metodo_Prorrateo="KG",IF(SUMIFS($I$6:$I$305,$D$6:$D$305,D40)=0,0,I40/SUMIFS($I$6:$I$305,$D$6:$D$305,D40)),IF(I40&gt;0,1/COUNTIFS($D$6:$D$305,D40,$I$6:$I$305,"&gt;0"),0)))</f>
      </c>
      <c r="BZ40" s="37">
        <f>IF(B40="","",IF(BP40=0,0,INDEX(COSTOS_FIJOS!$G$41:$AD$41,BP40))*BY40)</f>
      </c>
      <c r="CA40" s="70">
        <f>IF(B40="","",BT40+BV40+BX40+BZ40)</f>
      </c>
      <c r="CB40" s="37">
        <f>IF(B40="","",Q40*Imp_Ventas_Serv)</f>
      </c>
      <c r="CC40" s="37">
        <f>IF(B40="","",Q40*Contrib_Territorial)</f>
      </c>
      <c r="CD40" s="70">
        <f>IF(B40="","",BM40-CA40-CB40-CC40)</f>
      </c>
      <c r="CE40" s="37">
        <f>IF(B40="","",MAX(0,CD40)*Imp_Utilidades)</f>
      </c>
      <c r="CF40" s="70">
        <f>IF(B40="","",CD40-CE40)</f>
      </c>
      <c r="CG40" s="72">
        <f>IF(B40="","",IF(Q40=0,0,CF40/Q40))</f>
      </c>
      <c r="CH40" s="73">
        <f>IF(B40="","",IF(J40=0,0,(BL40+CA40+CB40+CC40)/J40))</f>
      </c>
      <c r="CI40" s="73">
        <f>IF(B40="","",IF(J40=0,0,Q40/J40))</f>
      </c>
      <c r="CJ40" s="73">
        <f>IF(B40="","",IF(J40=0,0,CD40/J40))</f>
      </c>
      <c r="CK40" s="37">
        <f>IF(B40="","",Y40+AE40+BK40+BT40)</f>
      </c>
      <c r="CL40" s="37">
        <f>IF(B40="","",IF(J40=0,0,(M40+P40*G40/J40)*(1-Pct_Reclamaciones-Pct_Banco-Imp_Ventas_Serv-Contrib_Territorial)-AI40-BE40-BV40-CK40*G40/J40))</f>
      </c>
      <c r="CM40" s="37">
        <f>IF(B40="","",IF(J40=0,0,(N40+P40*H40/J40)*(1-Pct_Reclamaciones-Pct_Banco-Imp_Ventas_Serv-Contrib_Territorial)-AS40-BF40-BX40-CK40*H40/J40))</f>
      </c>
      <c r="CN40" s="37">
        <f>IF(B40="","",IF(J40=0,0,(O40+P40*I40/J40)*(1-Pct_Reclamaciones-Pct_Banco-Imp_Ventas_Serv-Contrib_Territorial)-BC40-BG40-BZ40-CK40*I40/J40))</f>
      </c>
      <c r="CO40" s="37">
        <f>IF(B40="","",IF(J40=0,0,ROUND(CD40-CL40-CM40-CN40,4)))</f>
      </c>
      <c r="CP40" s="71">
        <f>IF(B40="","",T40+AG40+AK40+AM40+AU40+AW40)</f>
      </c>
      <c r="CQ40" s="71">
        <f>IF(B40="","",U40+AH40+AL40+AN40+AV40+AX40)</f>
      </c>
      <c r="CR40" s="72">
        <f>IF(B40="","",IF(CP40=0,0,CQ40/CP40-1))</f>
      </c>
      <c r="CS40" s="60">
        <f>IF(B40="","",IF(ENTRADA!$Y40="","",ENTRADA!$Y40-C40))</f>
      </c>
      <c r="CT40" s="66">
        <f>IF(B40="","",IF(ENTRADA!$C40="","Falta fecha. ","")&amp;IF(BP40=0,"Mes fuera del rango de COSTOS_FIJOS. ","")&amp;IF(J40=0,"Sin kg. ","")&amp;IF(E40="","Falta transitaria. ","")&amp;IF(AND(T40&gt;0,U40/T40-1&gt;Tolerancia_Comb),"Combustible al puerto "&amp;TEXT(U40/T40-1,"+0%")&amp;" sobre norma. ","")&amp;IF(AND(AG40&gt;0,AH40/AG40-1&gt;Tolerancia_Comb),"Combustible distribución Occidente "&amp;TEXT(AH40/AG40-1,"+0%")&amp;" sobre norma. ","")&amp;IF(AND(AK40&gt;0,AL40/AK40-1&gt;Tolerancia_Comb),"Combustible traslado Centro "&amp;TEXT(AL40/AK40-1,"+0%")&amp;" sobre norma. ","")&amp;IF(AND(AM40&gt;0,AN40/AM40-1&gt;Tolerancia_Comb),"Combustible distribución Centro "&amp;TEXT(AN40/AM40-1,"+0%")&amp;" sobre norma. ","")&amp;IF(AND(AU40&gt;0,AV40/AU40-1&gt;Tolerancia_Comb),"Combustible traslado Oriente "&amp;TEXT(AV40/AU40-1,"+0%")&amp;" sobre norma. ","")&amp;IF(AND(AW40&gt;0,AX40/AW40-1&gt;Tolerancia_Comb),"Combustible distribución Oriente "&amp;TEXT(AX40/AW40-1,"+0%")&amp;" sobre norma. ","")&amp;IF(AND(ENTRADA!$C40&lt;&gt;"",C40&lt;PRECIOS!$A$6),"Fecha anterior a la 1ª vigencia de precios. ","")&amp;IF(CD40&lt;0,"Contenedor con pérdida. ",""))</f>
      </c>
    </row>
    <row r="41">
      <c r="A41" s="60">
        <f>IF(B41="","",ROW()-5)</f>
      </c>
      <c r="B41" s="63">
        <f>IF(ENTRADA!$B41="","",ENTRADA!$B41)</f>
      </c>
      <c r="C41" s="64">
        <f>IF(B41="","",ENTRADA!$C41)</f>
      </c>
      <c r="D41" s="65">
        <f>IF(B41="","",DATE(YEAR(C41),MONTH(C41),1))</f>
      </c>
      <c r="E41" s="66">
        <f>IF(B41="","",ENTRADA!$D41&amp;"")</f>
      </c>
      <c r="F41" s="66">
        <f>IF(B41="","",ENTRADA!$Z41&amp;"")</f>
      </c>
      <c r="G41" s="67">
        <f>IF(B41="","",N(ENTRADA!$G41))</f>
      </c>
      <c r="H41" s="67">
        <f>IF(B41="","",N(ENTRADA!$H41))</f>
      </c>
      <c r="I41" s="67">
        <f>IF(B41="","",N(ENTRADA!$I41))</f>
      </c>
      <c r="J41" s="68">
        <f>IF(B41="","",G41+H41+I41)</f>
      </c>
      <c r="K41" s="60">
        <f>IF(B41="","",IFERROR(MATCH(SUMPRODUCT(MAX((PRECIOS!$A$6:$A$55&lt;=C41)*PRECIOS!$A$6:$A$55)),PRECIOS!$A$6:$A$55,0),1))</f>
      </c>
      <c r="L41" s="69">
        <f>IF(B41="","",INDEX(PRECIOS!$A$6:$A$55,K41))</f>
      </c>
      <c r="M41" s="37">
        <f>IF(B41="","",G41*INDEX(PRECIOS!$B$6:$B$55,K41))</f>
      </c>
      <c r="N41" s="37">
        <f>IF(B41="","",H41*INDEX(PRECIOS!$C$6:$C$55,K41))</f>
      </c>
      <c r="O41" s="37">
        <f>IF(B41="","",I41*INDEX(PRECIOS!$D$6:$D$55,K41))</f>
      </c>
      <c r="P41" s="37">
        <f>IF(B41="","",N(ENTRADA!$X41))</f>
      </c>
      <c r="Q41" s="70">
        <f>IF(B41="","",M41+N41+O41+P41)</f>
      </c>
      <c r="R41" s="71">
        <f>IF(B41="","",IF(ENTRADA!$J41="",Std_Viajes_Puerto,ENTRADA!$J41))</f>
      </c>
      <c r="S41" s="37">
        <f>IF(B41="","",R41*INDEX(PRECIOS!$F$6:$F$55,K41))</f>
      </c>
      <c r="T41" s="71">
        <f>IF(B41="","",R41*Litros_Puerto_Viaje)</f>
      </c>
      <c r="U41" s="71">
        <f>IF(B41="","",IF(ENTRADA!$K41="",T41,ENTRADA!$K41))</f>
      </c>
      <c r="V41" s="37">
        <f>IF(B41="","",U41*INDEX(PRECIOS!$E$6:$E$55,K41))</f>
      </c>
      <c r="W41" s="37">
        <f>IF(B41="","",IF(ENTRADA!$L41="",R41*INDEX(PRECIOS!$G$6:$G$55,K41),ENTRADA!$L41))</f>
      </c>
      <c r="X41" s="37">
        <f>IF(B41="","",R41*Km_Puerto_Viaje*INDEX(PRECIOS!$N$6:$N$55,K41))</f>
      </c>
      <c r="Y41" s="70">
        <f>IF(B41="","",S41+V41+W41+X41)</f>
      </c>
      <c r="Z41" s="71">
        <f>IF(B41="","",IF(J41=0,0,ROUNDUP(J41/Rend_Desagrupe,0)))</f>
      </c>
      <c r="AA41" s="71">
        <f>IF(B41="","",IF(ENTRADA!$M41="",Z41,ENTRADA!$M41))</f>
      </c>
      <c r="AB41" s="37">
        <f>IF(B41="","",AA41*INDEX(PRECIOS!$H$6:$H$55,K41))</f>
      </c>
      <c r="AC41" s="37">
        <f>IF(B41="","",IF(E41="ENCI",INDEX(PRECIOS!$J$6:$J$55,K41),IF(E41="A.V",INDEX(PRECIOS!$K$6:$K$55,K41),0)))</f>
      </c>
      <c r="AD41" s="37">
        <f>IF(B41="","",N(ENTRADA!$N41))</f>
      </c>
      <c r="AE41" s="70">
        <f>IF(B41="","",AB41+AC41+AD41)</f>
      </c>
      <c r="AF41" s="71">
        <f>IF(B41="","",IF(G41=0,0,ROUNDUP(G41/Cap_Camion_OCC,0)))</f>
      </c>
      <c r="AG41" s="71">
        <f>IF(B41="","",AF41*L_Dist_OCC)</f>
      </c>
      <c r="AH41" s="71">
        <f>IF(B41="","",IF(ENTRADA!$O41="",AG41,ENTRADA!$O41))</f>
      </c>
      <c r="AI41" s="37">
        <f>IF(B41="","",AH41*INDEX(PRECIOS!$E$6:$E$55,K41))</f>
      </c>
      <c r="AJ41" s="71">
        <f>IF(B41="","",IF(H41=0,0,ROUNDUP(H41/Cap_Camion_CEN,0)))</f>
      </c>
      <c r="AK41" s="71">
        <f>IF(B41="","",AJ41*L_Tras_CEN)</f>
      </c>
      <c r="AL41" s="71">
        <f>IF(B41="","",IF(ENTRADA!$P41="",AK41,ENTRADA!$P41))</f>
      </c>
      <c r="AM41" s="71">
        <f>IF(B41="","",AJ41*L_Dist_CEN)</f>
      </c>
      <c r="AN41" s="71">
        <f>IF(B41="","",IF(ENTRADA!$Q41="",AM41,ENTRADA!$Q41))</f>
      </c>
      <c r="AO41" s="37">
        <f>IF(B41="","",(AL41+AN41)*INDEX(PRECIOS!$E$6:$E$55,K41))</f>
      </c>
      <c r="AP41" s="71">
        <f>IF(B41="","",IF(H41=0,0,ROUNDUP(H41/Rend_Desagrupe_CT,0)))</f>
      </c>
      <c r="AQ41" s="71">
        <f>IF(B41="","",IF(ENTRADA!$R41="",AP41,ENTRADA!$R41))</f>
      </c>
      <c r="AR41" s="37">
        <f>IF(B41="","",AQ41*INDEX(PRECIOS!$I$6:$I$55,K41))</f>
      </c>
      <c r="AS41" s="37">
        <f>IF(B41="","",AO41+AR41)</f>
      </c>
      <c r="AT41" s="71">
        <f>IF(B41="","",IF(I41=0,0,ROUNDUP(I41/Cap_Camion_ORI,0)))</f>
      </c>
      <c r="AU41" s="71">
        <f>IF(B41="","",AT41*L_Tras_ORI)</f>
      </c>
      <c r="AV41" s="71">
        <f>IF(B41="","",IF(ENTRADA!$S41="",AU41,ENTRADA!$S41))</f>
      </c>
      <c r="AW41" s="71">
        <f>IF(B41="","",AT41*L_Dist_ORI)</f>
      </c>
      <c r="AX41" s="71">
        <f>IF(B41="","",IF(ENTRADA!$T41="",AW41,ENTRADA!$T41))</f>
      </c>
      <c r="AY41" s="37">
        <f>IF(B41="","",(AV41+AX41)*INDEX(PRECIOS!$E$6:$E$55,K41))</f>
      </c>
      <c r="AZ41" s="71">
        <f>IF(B41="","",IF(I41=0,0,ROUNDUP(I41/Rend_Desagrupe_CT,0)))</f>
      </c>
      <c r="BA41" s="71">
        <f>IF(B41="","",IF(ENTRADA!$U41="",AZ41,ENTRADA!$U41))</f>
      </c>
      <c r="BB41" s="37">
        <f>IF(B41="","",BA41*INDEX(PRECIOS!$I$6:$I$55,K41))</f>
      </c>
      <c r="BC41" s="37">
        <f>IF(B41="","",AY41+BB41)</f>
      </c>
      <c r="BD41" s="70">
        <f>IF(B41="","",AI41+AS41+BC41)</f>
      </c>
      <c r="BE41" s="37">
        <f>IF(B41="","",IF(Base_Comision="% DEL INGRESO",M41*INDEX(PRECIOS!$L$6:$L$55,K41),G41*INDEX(PRECIOS!$M$6:$M$55,K41)))</f>
      </c>
      <c r="BF41" s="37">
        <f>IF(B41="","",IF(Base_Comision="% DEL INGRESO",N41*INDEX(PRECIOS!$L$6:$L$55,K41),H41*INDEX(PRECIOS!$M$6:$M$55,K41)))</f>
      </c>
      <c r="BG41" s="37">
        <f>IF(B41="","",IF(Base_Comision="% DEL INGRESO",O41*INDEX(PRECIOS!$L$6:$L$55,K41),I41*INDEX(PRECIOS!$M$6:$M$55,K41)))</f>
      </c>
      <c r="BH41" s="70">
        <f>IF(B41="","",BE41+BF41+BG41)</f>
      </c>
      <c r="BI41" s="37">
        <f>IF(B41="","",Q41*Pct_Reclamaciones)</f>
      </c>
      <c r="BJ41" s="37">
        <f>IF(B41="","",Q41*Pct_Banco)</f>
      </c>
      <c r="BK41" s="37">
        <f>IF(B41="","",N(ENTRADA!$V41))</f>
      </c>
      <c r="BL41" s="70">
        <f>IF(B41="","",Y41+AE41+BD41+BH41+BI41+BJ41+BK41)</f>
      </c>
      <c r="BM41" s="70">
        <f>IF(B41="","",Q41-BL41)</f>
      </c>
      <c r="BN41" s="72">
        <f>IF(B41="","",IF(Q41=0,0,BM41/Q41))</f>
      </c>
      <c r="BO41" s="73">
        <f>IF(B41="","",IF(J41=0,0,BM41/J41))</f>
      </c>
      <c r="BP41" s="60">
        <f>IF(B41="","",IFERROR(MATCH(D41,COSTOS_FIJOS!$G$5:$AD$5,0),0))</f>
      </c>
      <c r="BQ41" s="60">
        <f>IF(B41="","",COUNTIFS($D$6:$D$305,D41))</f>
      </c>
      <c r="BR41" s="67">
        <f>IF(B41="","",SUMIFS($J$6:$J$305,$D$6:$D$305,D41))</f>
      </c>
      <c r="BS41" s="72">
        <f>IF(B41="","",IF(Metodo_Prorrateo="KG",IF(BR41=0,0,J41/BR41),1/BQ41))</f>
      </c>
      <c r="BT41" s="37">
        <f>IF(B41="","",IF(BP41=0,0,INDEX(COSTOS_FIJOS!$G$38:$AD$38,BP41))*BS41)</f>
      </c>
      <c r="BU41" s="72">
        <f>IF(B41="","",IF(Metodo_Prorrateo="KG",IF(SUMIFS($G$6:$G$305,$D$6:$D$305,D41)=0,0,G41/SUMIFS($G$6:$G$305,$D$6:$D$305,D41)),IF(G41&gt;0,1/COUNTIFS($D$6:$D$305,D41,$G$6:$G$305,"&gt;0"),0)))</f>
      </c>
      <c r="BV41" s="37">
        <f>IF(B41="","",IF(BP41=0,0,INDEX(COSTOS_FIJOS!$G$39:$AD$39,BP41))*BU41)</f>
      </c>
      <c r="BW41" s="72">
        <f>IF(B41="","",IF(Metodo_Prorrateo="KG",IF(SUMIFS($H$6:$H$305,$D$6:$D$305,D41)=0,0,H41/SUMIFS($H$6:$H$305,$D$6:$D$305,D41)),IF(H41&gt;0,1/COUNTIFS($D$6:$D$305,D41,$H$6:$H$305,"&gt;0"),0)))</f>
      </c>
      <c r="BX41" s="37">
        <f>IF(B41="","",IF(BP41=0,0,INDEX(COSTOS_FIJOS!$G$40:$AD$40,BP41))*BW41)</f>
      </c>
      <c r="BY41" s="72">
        <f>IF(B41="","",IF(Metodo_Prorrateo="KG",IF(SUMIFS($I$6:$I$305,$D$6:$D$305,D41)=0,0,I41/SUMIFS($I$6:$I$305,$D$6:$D$305,D41)),IF(I41&gt;0,1/COUNTIFS($D$6:$D$305,D41,$I$6:$I$305,"&gt;0"),0)))</f>
      </c>
      <c r="BZ41" s="37">
        <f>IF(B41="","",IF(BP41=0,0,INDEX(COSTOS_FIJOS!$G$41:$AD$41,BP41))*BY41)</f>
      </c>
      <c r="CA41" s="70">
        <f>IF(B41="","",BT41+BV41+BX41+BZ41)</f>
      </c>
      <c r="CB41" s="37">
        <f>IF(B41="","",Q41*Imp_Ventas_Serv)</f>
      </c>
      <c r="CC41" s="37">
        <f>IF(B41="","",Q41*Contrib_Territorial)</f>
      </c>
      <c r="CD41" s="70">
        <f>IF(B41="","",BM41-CA41-CB41-CC41)</f>
      </c>
      <c r="CE41" s="37">
        <f>IF(B41="","",MAX(0,CD41)*Imp_Utilidades)</f>
      </c>
      <c r="CF41" s="70">
        <f>IF(B41="","",CD41-CE41)</f>
      </c>
      <c r="CG41" s="72">
        <f>IF(B41="","",IF(Q41=0,0,CF41/Q41))</f>
      </c>
      <c r="CH41" s="73">
        <f>IF(B41="","",IF(J41=0,0,(BL41+CA41+CB41+CC41)/J41))</f>
      </c>
      <c r="CI41" s="73">
        <f>IF(B41="","",IF(J41=0,0,Q41/J41))</f>
      </c>
      <c r="CJ41" s="73">
        <f>IF(B41="","",IF(J41=0,0,CD41/J41))</f>
      </c>
      <c r="CK41" s="37">
        <f>IF(B41="","",Y41+AE41+BK41+BT41)</f>
      </c>
      <c r="CL41" s="37">
        <f>IF(B41="","",IF(J41=0,0,(M41+P41*G41/J41)*(1-Pct_Reclamaciones-Pct_Banco-Imp_Ventas_Serv-Contrib_Territorial)-AI41-BE41-BV41-CK41*G41/J41))</f>
      </c>
      <c r="CM41" s="37">
        <f>IF(B41="","",IF(J41=0,0,(N41+P41*H41/J41)*(1-Pct_Reclamaciones-Pct_Banco-Imp_Ventas_Serv-Contrib_Territorial)-AS41-BF41-BX41-CK41*H41/J41))</f>
      </c>
      <c r="CN41" s="37">
        <f>IF(B41="","",IF(J41=0,0,(O41+P41*I41/J41)*(1-Pct_Reclamaciones-Pct_Banco-Imp_Ventas_Serv-Contrib_Territorial)-BC41-BG41-BZ41-CK41*I41/J41))</f>
      </c>
      <c r="CO41" s="37">
        <f>IF(B41="","",IF(J41=0,0,ROUND(CD41-CL41-CM41-CN41,4)))</f>
      </c>
      <c r="CP41" s="71">
        <f>IF(B41="","",T41+AG41+AK41+AM41+AU41+AW41)</f>
      </c>
      <c r="CQ41" s="71">
        <f>IF(B41="","",U41+AH41+AL41+AN41+AV41+AX41)</f>
      </c>
      <c r="CR41" s="72">
        <f>IF(B41="","",IF(CP41=0,0,CQ41/CP41-1))</f>
      </c>
      <c r="CS41" s="60">
        <f>IF(B41="","",IF(ENTRADA!$Y41="","",ENTRADA!$Y41-C41))</f>
      </c>
      <c r="CT41" s="66">
        <f>IF(B41="","",IF(ENTRADA!$C41="","Falta fecha. ","")&amp;IF(BP41=0,"Mes fuera del rango de COSTOS_FIJOS. ","")&amp;IF(J41=0,"Sin kg. ","")&amp;IF(E41="","Falta transitaria. ","")&amp;IF(AND(T41&gt;0,U41/T41-1&gt;Tolerancia_Comb),"Combustible al puerto "&amp;TEXT(U41/T41-1,"+0%")&amp;" sobre norma. ","")&amp;IF(AND(AG41&gt;0,AH41/AG41-1&gt;Tolerancia_Comb),"Combustible distribución Occidente "&amp;TEXT(AH41/AG41-1,"+0%")&amp;" sobre norma. ","")&amp;IF(AND(AK41&gt;0,AL41/AK41-1&gt;Tolerancia_Comb),"Combustible traslado Centro "&amp;TEXT(AL41/AK41-1,"+0%")&amp;" sobre norma. ","")&amp;IF(AND(AM41&gt;0,AN41/AM41-1&gt;Tolerancia_Comb),"Combustible distribución Centro "&amp;TEXT(AN41/AM41-1,"+0%")&amp;" sobre norma. ","")&amp;IF(AND(AU41&gt;0,AV41/AU41-1&gt;Tolerancia_Comb),"Combustible traslado Oriente "&amp;TEXT(AV41/AU41-1,"+0%")&amp;" sobre norma. ","")&amp;IF(AND(AW41&gt;0,AX41/AW41-1&gt;Tolerancia_Comb),"Combustible distribución Oriente "&amp;TEXT(AX41/AW41-1,"+0%")&amp;" sobre norma. ","")&amp;IF(AND(ENTRADA!$C41&lt;&gt;"",C41&lt;PRECIOS!$A$6),"Fecha anterior a la 1ª vigencia de precios. ","")&amp;IF(CD41&lt;0,"Contenedor con pérdida. ",""))</f>
      </c>
    </row>
    <row r="42">
      <c r="A42" s="60">
        <f>IF(B42="","",ROW()-5)</f>
      </c>
      <c r="B42" s="63">
        <f>IF(ENTRADA!$B42="","",ENTRADA!$B42)</f>
      </c>
      <c r="C42" s="64">
        <f>IF(B42="","",ENTRADA!$C42)</f>
      </c>
      <c r="D42" s="65">
        <f>IF(B42="","",DATE(YEAR(C42),MONTH(C42),1))</f>
      </c>
      <c r="E42" s="66">
        <f>IF(B42="","",ENTRADA!$D42&amp;"")</f>
      </c>
      <c r="F42" s="66">
        <f>IF(B42="","",ENTRADA!$Z42&amp;"")</f>
      </c>
      <c r="G42" s="67">
        <f>IF(B42="","",N(ENTRADA!$G42))</f>
      </c>
      <c r="H42" s="67">
        <f>IF(B42="","",N(ENTRADA!$H42))</f>
      </c>
      <c r="I42" s="67">
        <f>IF(B42="","",N(ENTRADA!$I42))</f>
      </c>
      <c r="J42" s="68">
        <f>IF(B42="","",G42+H42+I42)</f>
      </c>
      <c r="K42" s="60">
        <f>IF(B42="","",IFERROR(MATCH(SUMPRODUCT(MAX((PRECIOS!$A$6:$A$55&lt;=C42)*PRECIOS!$A$6:$A$55)),PRECIOS!$A$6:$A$55,0),1))</f>
      </c>
      <c r="L42" s="69">
        <f>IF(B42="","",INDEX(PRECIOS!$A$6:$A$55,K42))</f>
      </c>
      <c r="M42" s="37">
        <f>IF(B42="","",G42*INDEX(PRECIOS!$B$6:$B$55,K42))</f>
      </c>
      <c r="N42" s="37">
        <f>IF(B42="","",H42*INDEX(PRECIOS!$C$6:$C$55,K42))</f>
      </c>
      <c r="O42" s="37">
        <f>IF(B42="","",I42*INDEX(PRECIOS!$D$6:$D$55,K42))</f>
      </c>
      <c r="P42" s="37">
        <f>IF(B42="","",N(ENTRADA!$X42))</f>
      </c>
      <c r="Q42" s="70">
        <f>IF(B42="","",M42+N42+O42+P42)</f>
      </c>
      <c r="R42" s="71">
        <f>IF(B42="","",IF(ENTRADA!$J42="",Std_Viajes_Puerto,ENTRADA!$J42))</f>
      </c>
      <c r="S42" s="37">
        <f>IF(B42="","",R42*INDEX(PRECIOS!$F$6:$F$55,K42))</f>
      </c>
      <c r="T42" s="71">
        <f>IF(B42="","",R42*Litros_Puerto_Viaje)</f>
      </c>
      <c r="U42" s="71">
        <f>IF(B42="","",IF(ENTRADA!$K42="",T42,ENTRADA!$K42))</f>
      </c>
      <c r="V42" s="37">
        <f>IF(B42="","",U42*INDEX(PRECIOS!$E$6:$E$55,K42))</f>
      </c>
      <c r="W42" s="37">
        <f>IF(B42="","",IF(ENTRADA!$L42="",R42*INDEX(PRECIOS!$G$6:$G$55,K42),ENTRADA!$L42))</f>
      </c>
      <c r="X42" s="37">
        <f>IF(B42="","",R42*Km_Puerto_Viaje*INDEX(PRECIOS!$N$6:$N$55,K42))</f>
      </c>
      <c r="Y42" s="70">
        <f>IF(B42="","",S42+V42+W42+X42)</f>
      </c>
      <c r="Z42" s="71">
        <f>IF(B42="","",IF(J42=0,0,ROUNDUP(J42/Rend_Desagrupe,0)))</f>
      </c>
      <c r="AA42" s="71">
        <f>IF(B42="","",IF(ENTRADA!$M42="",Z42,ENTRADA!$M42))</f>
      </c>
      <c r="AB42" s="37">
        <f>IF(B42="","",AA42*INDEX(PRECIOS!$H$6:$H$55,K42))</f>
      </c>
      <c r="AC42" s="37">
        <f>IF(B42="","",IF(E42="ENCI",INDEX(PRECIOS!$J$6:$J$55,K42),IF(E42="A.V",INDEX(PRECIOS!$K$6:$K$55,K42),0)))</f>
      </c>
      <c r="AD42" s="37">
        <f>IF(B42="","",N(ENTRADA!$N42))</f>
      </c>
      <c r="AE42" s="70">
        <f>IF(B42="","",AB42+AC42+AD42)</f>
      </c>
      <c r="AF42" s="71">
        <f>IF(B42="","",IF(G42=0,0,ROUNDUP(G42/Cap_Camion_OCC,0)))</f>
      </c>
      <c r="AG42" s="71">
        <f>IF(B42="","",AF42*L_Dist_OCC)</f>
      </c>
      <c r="AH42" s="71">
        <f>IF(B42="","",IF(ENTRADA!$O42="",AG42,ENTRADA!$O42))</f>
      </c>
      <c r="AI42" s="37">
        <f>IF(B42="","",AH42*INDEX(PRECIOS!$E$6:$E$55,K42))</f>
      </c>
      <c r="AJ42" s="71">
        <f>IF(B42="","",IF(H42=0,0,ROUNDUP(H42/Cap_Camion_CEN,0)))</f>
      </c>
      <c r="AK42" s="71">
        <f>IF(B42="","",AJ42*L_Tras_CEN)</f>
      </c>
      <c r="AL42" s="71">
        <f>IF(B42="","",IF(ENTRADA!$P42="",AK42,ENTRADA!$P42))</f>
      </c>
      <c r="AM42" s="71">
        <f>IF(B42="","",AJ42*L_Dist_CEN)</f>
      </c>
      <c r="AN42" s="71">
        <f>IF(B42="","",IF(ENTRADA!$Q42="",AM42,ENTRADA!$Q42))</f>
      </c>
      <c r="AO42" s="37">
        <f>IF(B42="","",(AL42+AN42)*INDEX(PRECIOS!$E$6:$E$55,K42))</f>
      </c>
      <c r="AP42" s="71">
        <f>IF(B42="","",IF(H42=0,0,ROUNDUP(H42/Rend_Desagrupe_CT,0)))</f>
      </c>
      <c r="AQ42" s="71">
        <f>IF(B42="","",IF(ENTRADA!$R42="",AP42,ENTRADA!$R42))</f>
      </c>
      <c r="AR42" s="37">
        <f>IF(B42="","",AQ42*INDEX(PRECIOS!$I$6:$I$55,K42))</f>
      </c>
      <c r="AS42" s="37">
        <f>IF(B42="","",AO42+AR42)</f>
      </c>
      <c r="AT42" s="71">
        <f>IF(B42="","",IF(I42=0,0,ROUNDUP(I42/Cap_Camion_ORI,0)))</f>
      </c>
      <c r="AU42" s="71">
        <f>IF(B42="","",AT42*L_Tras_ORI)</f>
      </c>
      <c r="AV42" s="71">
        <f>IF(B42="","",IF(ENTRADA!$S42="",AU42,ENTRADA!$S42))</f>
      </c>
      <c r="AW42" s="71">
        <f>IF(B42="","",AT42*L_Dist_ORI)</f>
      </c>
      <c r="AX42" s="71">
        <f>IF(B42="","",IF(ENTRADA!$T42="",AW42,ENTRADA!$T42))</f>
      </c>
      <c r="AY42" s="37">
        <f>IF(B42="","",(AV42+AX42)*INDEX(PRECIOS!$E$6:$E$55,K42))</f>
      </c>
      <c r="AZ42" s="71">
        <f>IF(B42="","",IF(I42=0,0,ROUNDUP(I42/Rend_Desagrupe_CT,0)))</f>
      </c>
      <c r="BA42" s="71">
        <f>IF(B42="","",IF(ENTRADA!$U42="",AZ42,ENTRADA!$U42))</f>
      </c>
      <c r="BB42" s="37">
        <f>IF(B42="","",BA42*INDEX(PRECIOS!$I$6:$I$55,K42))</f>
      </c>
      <c r="BC42" s="37">
        <f>IF(B42="","",AY42+BB42)</f>
      </c>
      <c r="BD42" s="70">
        <f>IF(B42="","",AI42+AS42+BC42)</f>
      </c>
      <c r="BE42" s="37">
        <f>IF(B42="","",IF(Base_Comision="% DEL INGRESO",M42*INDEX(PRECIOS!$L$6:$L$55,K42),G42*INDEX(PRECIOS!$M$6:$M$55,K42)))</f>
      </c>
      <c r="BF42" s="37">
        <f>IF(B42="","",IF(Base_Comision="% DEL INGRESO",N42*INDEX(PRECIOS!$L$6:$L$55,K42),H42*INDEX(PRECIOS!$M$6:$M$55,K42)))</f>
      </c>
      <c r="BG42" s="37">
        <f>IF(B42="","",IF(Base_Comision="% DEL INGRESO",O42*INDEX(PRECIOS!$L$6:$L$55,K42),I42*INDEX(PRECIOS!$M$6:$M$55,K42)))</f>
      </c>
      <c r="BH42" s="70">
        <f>IF(B42="","",BE42+BF42+BG42)</f>
      </c>
      <c r="BI42" s="37">
        <f>IF(B42="","",Q42*Pct_Reclamaciones)</f>
      </c>
      <c r="BJ42" s="37">
        <f>IF(B42="","",Q42*Pct_Banco)</f>
      </c>
      <c r="BK42" s="37">
        <f>IF(B42="","",N(ENTRADA!$V42))</f>
      </c>
      <c r="BL42" s="70">
        <f>IF(B42="","",Y42+AE42+BD42+BH42+BI42+BJ42+BK42)</f>
      </c>
      <c r="BM42" s="70">
        <f>IF(B42="","",Q42-BL42)</f>
      </c>
      <c r="BN42" s="72">
        <f>IF(B42="","",IF(Q42=0,0,BM42/Q42))</f>
      </c>
      <c r="BO42" s="73">
        <f>IF(B42="","",IF(J42=0,0,BM42/J42))</f>
      </c>
      <c r="BP42" s="60">
        <f>IF(B42="","",IFERROR(MATCH(D42,COSTOS_FIJOS!$G$5:$AD$5,0),0))</f>
      </c>
      <c r="BQ42" s="60">
        <f>IF(B42="","",COUNTIFS($D$6:$D$305,D42))</f>
      </c>
      <c r="BR42" s="67">
        <f>IF(B42="","",SUMIFS($J$6:$J$305,$D$6:$D$305,D42))</f>
      </c>
      <c r="BS42" s="72">
        <f>IF(B42="","",IF(Metodo_Prorrateo="KG",IF(BR42=0,0,J42/BR42),1/BQ42))</f>
      </c>
      <c r="BT42" s="37">
        <f>IF(B42="","",IF(BP42=0,0,INDEX(COSTOS_FIJOS!$G$38:$AD$38,BP42))*BS42)</f>
      </c>
      <c r="BU42" s="72">
        <f>IF(B42="","",IF(Metodo_Prorrateo="KG",IF(SUMIFS($G$6:$G$305,$D$6:$D$305,D42)=0,0,G42/SUMIFS($G$6:$G$305,$D$6:$D$305,D42)),IF(G42&gt;0,1/COUNTIFS($D$6:$D$305,D42,$G$6:$G$305,"&gt;0"),0)))</f>
      </c>
      <c r="BV42" s="37">
        <f>IF(B42="","",IF(BP42=0,0,INDEX(COSTOS_FIJOS!$G$39:$AD$39,BP42))*BU42)</f>
      </c>
      <c r="BW42" s="72">
        <f>IF(B42="","",IF(Metodo_Prorrateo="KG",IF(SUMIFS($H$6:$H$305,$D$6:$D$305,D42)=0,0,H42/SUMIFS($H$6:$H$305,$D$6:$D$305,D42)),IF(H42&gt;0,1/COUNTIFS($D$6:$D$305,D42,$H$6:$H$305,"&gt;0"),0)))</f>
      </c>
      <c r="BX42" s="37">
        <f>IF(B42="","",IF(BP42=0,0,INDEX(COSTOS_FIJOS!$G$40:$AD$40,BP42))*BW42)</f>
      </c>
      <c r="BY42" s="72">
        <f>IF(B42="","",IF(Metodo_Prorrateo="KG",IF(SUMIFS($I$6:$I$305,$D$6:$D$305,D42)=0,0,I42/SUMIFS($I$6:$I$305,$D$6:$D$305,D42)),IF(I42&gt;0,1/COUNTIFS($D$6:$D$305,D42,$I$6:$I$305,"&gt;0"),0)))</f>
      </c>
      <c r="BZ42" s="37">
        <f>IF(B42="","",IF(BP42=0,0,INDEX(COSTOS_FIJOS!$G$41:$AD$41,BP42))*BY42)</f>
      </c>
      <c r="CA42" s="70">
        <f>IF(B42="","",BT42+BV42+BX42+BZ42)</f>
      </c>
      <c r="CB42" s="37">
        <f>IF(B42="","",Q42*Imp_Ventas_Serv)</f>
      </c>
      <c r="CC42" s="37">
        <f>IF(B42="","",Q42*Contrib_Territorial)</f>
      </c>
      <c r="CD42" s="70">
        <f>IF(B42="","",BM42-CA42-CB42-CC42)</f>
      </c>
      <c r="CE42" s="37">
        <f>IF(B42="","",MAX(0,CD42)*Imp_Utilidades)</f>
      </c>
      <c r="CF42" s="70">
        <f>IF(B42="","",CD42-CE42)</f>
      </c>
      <c r="CG42" s="72">
        <f>IF(B42="","",IF(Q42=0,0,CF42/Q42))</f>
      </c>
      <c r="CH42" s="73">
        <f>IF(B42="","",IF(J42=0,0,(BL42+CA42+CB42+CC42)/J42))</f>
      </c>
      <c r="CI42" s="73">
        <f>IF(B42="","",IF(J42=0,0,Q42/J42))</f>
      </c>
      <c r="CJ42" s="73">
        <f>IF(B42="","",IF(J42=0,0,CD42/J42))</f>
      </c>
      <c r="CK42" s="37">
        <f>IF(B42="","",Y42+AE42+BK42+BT42)</f>
      </c>
      <c r="CL42" s="37">
        <f>IF(B42="","",IF(J42=0,0,(M42+P42*G42/J42)*(1-Pct_Reclamaciones-Pct_Banco-Imp_Ventas_Serv-Contrib_Territorial)-AI42-BE42-BV42-CK42*G42/J42))</f>
      </c>
      <c r="CM42" s="37">
        <f>IF(B42="","",IF(J42=0,0,(N42+P42*H42/J42)*(1-Pct_Reclamaciones-Pct_Banco-Imp_Ventas_Serv-Contrib_Territorial)-AS42-BF42-BX42-CK42*H42/J42))</f>
      </c>
      <c r="CN42" s="37">
        <f>IF(B42="","",IF(J42=0,0,(O42+P42*I42/J42)*(1-Pct_Reclamaciones-Pct_Banco-Imp_Ventas_Serv-Contrib_Territorial)-BC42-BG42-BZ42-CK42*I42/J42))</f>
      </c>
      <c r="CO42" s="37">
        <f>IF(B42="","",IF(J42=0,0,ROUND(CD42-CL42-CM42-CN42,4)))</f>
      </c>
      <c r="CP42" s="71">
        <f>IF(B42="","",T42+AG42+AK42+AM42+AU42+AW42)</f>
      </c>
      <c r="CQ42" s="71">
        <f>IF(B42="","",U42+AH42+AL42+AN42+AV42+AX42)</f>
      </c>
      <c r="CR42" s="72">
        <f>IF(B42="","",IF(CP42=0,0,CQ42/CP42-1))</f>
      </c>
      <c r="CS42" s="60">
        <f>IF(B42="","",IF(ENTRADA!$Y42="","",ENTRADA!$Y42-C42))</f>
      </c>
      <c r="CT42" s="66">
        <f>IF(B42="","",IF(ENTRADA!$C42="","Falta fecha. ","")&amp;IF(BP42=0,"Mes fuera del rango de COSTOS_FIJOS. ","")&amp;IF(J42=0,"Sin kg. ","")&amp;IF(E42="","Falta transitaria. ","")&amp;IF(AND(T42&gt;0,U42/T42-1&gt;Tolerancia_Comb),"Combustible al puerto "&amp;TEXT(U42/T42-1,"+0%")&amp;" sobre norma. ","")&amp;IF(AND(AG42&gt;0,AH42/AG42-1&gt;Tolerancia_Comb),"Combustible distribución Occidente "&amp;TEXT(AH42/AG42-1,"+0%")&amp;" sobre norma. ","")&amp;IF(AND(AK42&gt;0,AL42/AK42-1&gt;Tolerancia_Comb),"Combustible traslado Centro "&amp;TEXT(AL42/AK42-1,"+0%")&amp;" sobre norma. ","")&amp;IF(AND(AM42&gt;0,AN42/AM42-1&gt;Tolerancia_Comb),"Combustible distribución Centro "&amp;TEXT(AN42/AM42-1,"+0%")&amp;" sobre norma. ","")&amp;IF(AND(AU42&gt;0,AV42/AU42-1&gt;Tolerancia_Comb),"Combustible traslado Oriente "&amp;TEXT(AV42/AU42-1,"+0%")&amp;" sobre norma. ","")&amp;IF(AND(AW42&gt;0,AX42/AW42-1&gt;Tolerancia_Comb),"Combustible distribución Oriente "&amp;TEXT(AX42/AW42-1,"+0%")&amp;" sobre norma. ","")&amp;IF(AND(ENTRADA!$C42&lt;&gt;"",C42&lt;PRECIOS!$A$6),"Fecha anterior a la 1ª vigencia de precios. ","")&amp;IF(CD42&lt;0,"Contenedor con pérdida. ",""))</f>
      </c>
    </row>
    <row r="43">
      <c r="A43" s="60">
        <f>IF(B43="","",ROW()-5)</f>
      </c>
      <c r="B43" s="63">
        <f>IF(ENTRADA!$B43="","",ENTRADA!$B43)</f>
      </c>
      <c r="C43" s="64">
        <f>IF(B43="","",ENTRADA!$C43)</f>
      </c>
      <c r="D43" s="65">
        <f>IF(B43="","",DATE(YEAR(C43),MONTH(C43),1))</f>
      </c>
      <c r="E43" s="66">
        <f>IF(B43="","",ENTRADA!$D43&amp;"")</f>
      </c>
      <c r="F43" s="66">
        <f>IF(B43="","",ENTRADA!$Z43&amp;"")</f>
      </c>
      <c r="G43" s="67">
        <f>IF(B43="","",N(ENTRADA!$G43))</f>
      </c>
      <c r="H43" s="67">
        <f>IF(B43="","",N(ENTRADA!$H43))</f>
      </c>
      <c r="I43" s="67">
        <f>IF(B43="","",N(ENTRADA!$I43))</f>
      </c>
      <c r="J43" s="68">
        <f>IF(B43="","",G43+H43+I43)</f>
      </c>
      <c r="K43" s="60">
        <f>IF(B43="","",IFERROR(MATCH(SUMPRODUCT(MAX((PRECIOS!$A$6:$A$55&lt;=C43)*PRECIOS!$A$6:$A$55)),PRECIOS!$A$6:$A$55,0),1))</f>
      </c>
      <c r="L43" s="69">
        <f>IF(B43="","",INDEX(PRECIOS!$A$6:$A$55,K43))</f>
      </c>
      <c r="M43" s="37">
        <f>IF(B43="","",G43*INDEX(PRECIOS!$B$6:$B$55,K43))</f>
      </c>
      <c r="N43" s="37">
        <f>IF(B43="","",H43*INDEX(PRECIOS!$C$6:$C$55,K43))</f>
      </c>
      <c r="O43" s="37">
        <f>IF(B43="","",I43*INDEX(PRECIOS!$D$6:$D$55,K43))</f>
      </c>
      <c r="P43" s="37">
        <f>IF(B43="","",N(ENTRADA!$X43))</f>
      </c>
      <c r="Q43" s="70">
        <f>IF(B43="","",M43+N43+O43+P43)</f>
      </c>
      <c r="R43" s="71">
        <f>IF(B43="","",IF(ENTRADA!$J43="",Std_Viajes_Puerto,ENTRADA!$J43))</f>
      </c>
      <c r="S43" s="37">
        <f>IF(B43="","",R43*INDEX(PRECIOS!$F$6:$F$55,K43))</f>
      </c>
      <c r="T43" s="71">
        <f>IF(B43="","",R43*Litros_Puerto_Viaje)</f>
      </c>
      <c r="U43" s="71">
        <f>IF(B43="","",IF(ENTRADA!$K43="",T43,ENTRADA!$K43))</f>
      </c>
      <c r="V43" s="37">
        <f>IF(B43="","",U43*INDEX(PRECIOS!$E$6:$E$55,K43))</f>
      </c>
      <c r="W43" s="37">
        <f>IF(B43="","",IF(ENTRADA!$L43="",R43*INDEX(PRECIOS!$G$6:$G$55,K43),ENTRADA!$L43))</f>
      </c>
      <c r="X43" s="37">
        <f>IF(B43="","",R43*Km_Puerto_Viaje*INDEX(PRECIOS!$N$6:$N$55,K43))</f>
      </c>
      <c r="Y43" s="70">
        <f>IF(B43="","",S43+V43+W43+X43)</f>
      </c>
      <c r="Z43" s="71">
        <f>IF(B43="","",IF(J43=0,0,ROUNDUP(J43/Rend_Desagrupe,0)))</f>
      </c>
      <c r="AA43" s="71">
        <f>IF(B43="","",IF(ENTRADA!$M43="",Z43,ENTRADA!$M43))</f>
      </c>
      <c r="AB43" s="37">
        <f>IF(B43="","",AA43*INDEX(PRECIOS!$H$6:$H$55,K43))</f>
      </c>
      <c r="AC43" s="37">
        <f>IF(B43="","",IF(E43="ENCI",INDEX(PRECIOS!$J$6:$J$55,K43),IF(E43="A.V",INDEX(PRECIOS!$K$6:$K$55,K43),0)))</f>
      </c>
      <c r="AD43" s="37">
        <f>IF(B43="","",N(ENTRADA!$N43))</f>
      </c>
      <c r="AE43" s="70">
        <f>IF(B43="","",AB43+AC43+AD43)</f>
      </c>
      <c r="AF43" s="71">
        <f>IF(B43="","",IF(G43=0,0,ROUNDUP(G43/Cap_Camion_OCC,0)))</f>
      </c>
      <c r="AG43" s="71">
        <f>IF(B43="","",AF43*L_Dist_OCC)</f>
      </c>
      <c r="AH43" s="71">
        <f>IF(B43="","",IF(ENTRADA!$O43="",AG43,ENTRADA!$O43))</f>
      </c>
      <c r="AI43" s="37">
        <f>IF(B43="","",AH43*INDEX(PRECIOS!$E$6:$E$55,K43))</f>
      </c>
      <c r="AJ43" s="71">
        <f>IF(B43="","",IF(H43=0,0,ROUNDUP(H43/Cap_Camion_CEN,0)))</f>
      </c>
      <c r="AK43" s="71">
        <f>IF(B43="","",AJ43*L_Tras_CEN)</f>
      </c>
      <c r="AL43" s="71">
        <f>IF(B43="","",IF(ENTRADA!$P43="",AK43,ENTRADA!$P43))</f>
      </c>
      <c r="AM43" s="71">
        <f>IF(B43="","",AJ43*L_Dist_CEN)</f>
      </c>
      <c r="AN43" s="71">
        <f>IF(B43="","",IF(ENTRADA!$Q43="",AM43,ENTRADA!$Q43))</f>
      </c>
      <c r="AO43" s="37">
        <f>IF(B43="","",(AL43+AN43)*INDEX(PRECIOS!$E$6:$E$55,K43))</f>
      </c>
      <c r="AP43" s="71">
        <f>IF(B43="","",IF(H43=0,0,ROUNDUP(H43/Rend_Desagrupe_CT,0)))</f>
      </c>
      <c r="AQ43" s="71">
        <f>IF(B43="","",IF(ENTRADA!$R43="",AP43,ENTRADA!$R43))</f>
      </c>
      <c r="AR43" s="37">
        <f>IF(B43="","",AQ43*INDEX(PRECIOS!$I$6:$I$55,K43))</f>
      </c>
      <c r="AS43" s="37">
        <f>IF(B43="","",AO43+AR43)</f>
      </c>
      <c r="AT43" s="71">
        <f>IF(B43="","",IF(I43=0,0,ROUNDUP(I43/Cap_Camion_ORI,0)))</f>
      </c>
      <c r="AU43" s="71">
        <f>IF(B43="","",AT43*L_Tras_ORI)</f>
      </c>
      <c r="AV43" s="71">
        <f>IF(B43="","",IF(ENTRADA!$S43="",AU43,ENTRADA!$S43))</f>
      </c>
      <c r="AW43" s="71">
        <f>IF(B43="","",AT43*L_Dist_ORI)</f>
      </c>
      <c r="AX43" s="71">
        <f>IF(B43="","",IF(ENTRADA!$T43="",AW43,ENTRADA!$T43))</f>
      </c>
      <c r="AY43" s="37">
        <f>IF(B43="","",(AV43+AX43)*INDEX(PRECIOS!$E$6:$E$55,K43))</f>
      </c>
      <c r="AZ43" s="71">
        <f>IF(B43="","",IF(I43=0,0,ROUNDUP(I43/Rend_Desagrupe_CT,0)))</f>
      </c>
      <c r="BA43" s="71">
        <f>IF(B43="","",IF(ENTRADA!$U43="",AZ43,ENTRADA!$U43))</f>
      </c>
      <c r="BB43" s="37">
        <f>IF(B43="","",BA43*INDEX(PRECIOS!$I$6:$I$55,K43))</f>
      </c>
      <c r="BC43" s="37">
        <f>IF(B43="","",AY43+BB43)</f>
      </c>
      <c r="BD43" s="70">
        <f>IF(B43="","",AI43+AS43+BC43)</f>
      </c>
      <c r="BE43" s="37">
        <f>IF(B43="","",IF(Base_Comision="% DEL INGRESO",M43*INDEX(PRECIOS!$L$6:$L$55,K43),G43*INDEX(PRECIOS!$M$6:$M$55,K43)))</f>
      </c>
      <c r="BF43" s="37">
        <f>IF(B43="","",IF(Base_Comision="% DEL INGRESO",N43*INDEX(PRECIOS!$L$6:$L$55,K43),H43*INDEX(PRECIOS!$M$6:$M$55,K43)))</f>
      </c>
      <c r="BG43" s="37">
        <f>IF(B43="","",IF(Base_Comision="% DEL INGRESO",O43*INDEX(PRECIOS!$L$6:$L$55,K43),I43*INDEX(PRECIOS!$M$6:$M$55,K43)))</f>
      </c>
      <c r="BH43" s="70">
        <f>IF(B43="","",BE43+BF43+BG43)</f>
      </c>
      <c r="BI43" s="37">
        <f>IF(B43="","",Q43*Pct_Reclamaciones)</f>
      </c>
      <c r="BJ43" s="37">
        <f>IF(B43="","",Q43*Pct_Banco)</f>
      </c>
      <c r="BK43" s="37">
        <f>IF(B43="","",N(ENTRADA!$V43))</f>
      </c>
      <c r="BL43" s="70">
        <f>IF(B43="","",Y43+AE43+BD43+BH43+BI43+BJ43+BK43)</f>
      </c>
      <c r="BM43" s="70">
        <f>IF(B43="","",Q43-BL43)</f>
      </c>
      <c r="BN43" s="72">
        <f>IF(B43="","",IF(Q43=0,0,BM43/Q43))</f>
      </c>
      <c r="BO43" s="73">
        <f>IF(B43="","",IF(J43=0,0,BM43/J43))</f>
      </c>
      <c r="BP43" s="60">
        <f>IF(B43="","",IFERROR(MATCH(D43,COSTOS_FIJOS!$G$5:$AD$5,0),0))</f>
      </c>
      <c r="BQ43" s="60">
        <f>IF(B43="","",COUNTIFS($D$6:$D$305,D43))</f>
      </c>
      <c r="BR43" s="67">
        <f>IF(B43="","",SUMIFS($J$6:$J$305,$D$6:$D$305,D43))</f>
      </c>
      <c r="BS43" s="72">
        <f>IF(B43="","",IF(Metodo_Prorrateo="KG",IF(BR43=0,0,J43/BR43),1/BQ43))</f>
      </c>
      <c r="BT43" s="37">
        <f>IF(B43="","",IF(BP43=0,0,INDEX(COSTOS_FIJOS!$G$38:$AD$38,BP43))*BS43)</f>
      </c>
      <c r="BU43" s="72">
        <f>IF(B43="","",IF(Metodo_Prorrateo="KG",IF(SUMIFS($G$6:$G$305,$D$6:$D$305,D43)=0,0,G43/SUMIFS($G$6:$G$305,$D$6:$D$305,D43)),IF(G43&gt;0,1/COUNTIFS($D$6:$D$305,D43,$G$6:$G$305,"&gt;0"),0)))</f>
      </c>
      <c r="BV43" s="37">
        <f>IF(B43="","",IF(BP43=0,0,INDEX(COSTOS_FIJOS!$G$39:$AD$39,BP43))*BU43)</f>
      </c>
      <c r="BW43" s="72">
        <f>IF(B43="","",IF(Metodo_Prorrateo="KG",IF(SUMIFS($H$6:$H$305,$D$6:$D$305,D43)=0,0,H43/SUMIFS($H$6:$H$305,$D$6:$D$305,D43)),IF(H43&gt;0,1/COUNTIFS($D$6:$D$305,D43,$H$6:$H$305,"&gt;0"),0)))</f>
      </c>
      <c r="BX43" s="37">
        <f>IF(B43="","",IF(BP43=0,0,INDEX(COSTOS_FIJOS!$G$40:$AD$40,BP43))*BW43)</f>
      </c>
      <c r="BY43" s="72">
        <f>IF(B43="","",IF(Metodo_Prorrateo="KG",IF(SUMIFS($I$6:$I$305,$D$6:$D$305,D43)=0,0,I43/SUMIFS($I$6:$I$305,$D$6:$D$305,D43)),IF(I43&gt;0,1/COUNTIFS($D$6:$D$305,D43,$I$6:$I$305,"&gt;0"),0)))</f>
      </c>
      <c r="BZ43" s="37">
        <f>IF(B43="","",IF(BP43=0,0,INDEX(COSTOS_FIJOS!$G$41:$AD$41,BP43))*BY43)</f>
      </c>
      <c r="CA43" s="70">
        <f>IF(B43="","",BT43+BV43+BX43+BZ43)</f>
      </c>
      <c r="CB43" s="37">
        <f>IF(B43="","",Q43*Imp_Ventas_Serv)</f>
      </c>
      <c r="CC43" s="37">
        <f>IF(B43="","",Q43*Contrib_Territorial)</f>
      </c>
      <c r="CD43" s="70">
        <f>IF(B43="","",BM43-CA43-CB43-CC43)</f>
      </c>
      <c r="CE43" s="37">
        <f>IF(B43="","",MAX(0,CD43)*Imp_Utilidades)</f>
      </c>
      <c r="CF43" s="70">
        <f>IF(B43="","",CD43-CE43)</f>
      </c>
      <c r="CG43" s="72">
        <f>IF(B43="","",IF(Q43=0,0,CF43/Q43))</f>
      </c>
      <c r="CH43" s="73">
        <f>IF(B43="","",IF(J43=0,0,(BL43+CA43+CB43+CC43)/J43))</f>
      </c>
      <c r="CI43" s="73">
        <f>IF(B43="","",IF(J43=0,0,Q43/J43))</f>
      </c>
      <c r="CJ43" s="73">
        <f>IF(B43="","",IF(J43=0,0,CD43/J43))</f>
      </c>
      <c r="CK43" s="37">
        <f>IF(B43="","",Y43+AE43+BK43+BT43)</f>
      </c>
      <c r="CL43" s="37">
        <f>IF(B43="","",IF(J43=0,0,(M43+P43*G43/J43)*(1-Pct_Reclamaciones-Pct_Banco-Imp_Ventas_Serv-Contrib_Territorial)-AI43-BE43-BV43-CK43*G43/J43))</f>
      </c>
      <c r="CM43" s="37">
        <f>IF(B43="","",IF(J43=0,0,(N43+P43*H43/J43)*(1-Pct_Reclamaciones-Pct_Banco-Imp_Ventas_Serv-Contrib_Territorial)-AS43-BF43-BX43-CK43*H43/J43))</f>
      </c>
      <c r="CN43" s="37">
        <f>IF(B43="","",IF(J43=0,0,(O43+P43*I43/J43)*(1-Pct_Reclamaciones-Pct_Banco-Imp_Ventas_Serv-Contrib_Territorial)-BC43-BG43-BZ43-CK43*I43/J43))</f>
      </c>
      <c r="CO43" s="37">
        <f>IF(B43="","",IF(J43=0,0,ROUND(CD43-CL43-CM43-CN43,4)))</f>
      </c>
      <c r="CP43" s="71">
        <f>IF(B43="","",T43+AG43+AK43+AM43+AU43+AW43)</f>
      </c>
      <c r="CQ43" s="71">
        <f>IF(B43="","",U43+AH43+AL43+AN43+AV43+AX43)</f>
      </c>
      <c r="CR43" s="72">
        <f>IF(B43="","",IF(CP43=0,0,CQ43/CP43-1))</f>
      </c>
      <c r="CS43" s="60">
        <f>IF(B43="","",IF(ENTRADA!$Y43="","",ENTRADA!$Y43-C43))</f>
      </c>
      <c r="CT43" s="66">
        <f>IF(B43="","",IF(ENTRADA!$C43="","Falta fecha. ","")&amp;IF(BP43=0,"Mes fuera del rango de COSTOS_FIJOS. ","")&amp;IF(J43=0,"Sin kg. ","")&amp;IF(E43="","Falta transitaria. ","")&amp;IF(AND(T43&gt;0,U43/T43-1&gt;Tolerancia_Comb),"Combustible al puerto "&amp;TEXT(U43/T43-1,"+0%")&amp;" sobre norma. ","")&amp;IF(AND(AG43&gt;0,AH43/AG43-1&gt;Tolerancia_Comb),"Combustible distribución Occidente "&amp;TEXT(AH43/AG43-1,"+0%")&amp;" sobre norma. ","")&amp;IF(AND(AK43&gt;0,AL43/AK43-1&gt;Tolerancia_Comb),"Combustible traslado Centro "&amp;TEXT(AL43/AK43-1,"+0%")&amp;" sobre norma. ","")&amp;IF(AND(AM43&gt;0,AN43/AM43-1&gt;Tolerancia_Comb),"Combustible distribución Centro "&amp;TEXT(AN43/AM43-1,"+0%")&amp;" sobre norma. ","")&amp;IF(AND(AU43&gt;0,AV43/AU43-1&gt;Tolerancia_Comb),"Combustible traslado Oriente "&amp;TEXT(AV43/AU43-1,"+0%")&amp;" sobre norma. ","")&amp;IF(AND(AW43&gt;0,AX43/AW43-1&gt;Tolerancia_Comb),"Combustible distribución Oriente "&amp;TEXT(AX43/AW43-1,"+0%")&amp;" sobre norma. ","")&amp;IF(AND(ENTRADA!$C43&lt;&gt;"",C43&lt;PRECIOS!$A$6),"Fecha anterior a la 1ª vigencia de precios. ","")&amp;IF(CD43&lt;0,"Contenedor con pérdida. ",""))</f>
      </c>
    </row>
    <row r="44">
      <c r="A44" s="60">
        <f>IF(B44="","",ROW()-5)</f>
      </c>
      <c r="B44" s="63">
        <f>IF(ENTRADA!$B44="","",ENTRADA!$B44)</f>
      </c>
      <c r="C44" s="64">
        <f>IF(B44="","",ENTRADA!$C44)</f>
      </c>
      <c r="D44" s="65">
        <f>IF(B44="","",DATE(YEAR(C44),MONTH(C44),1))</f>
      </c>
      <c r="E44" s="66">
        <f>IF(B44="","",ENTRADA!$D44&amp;"")</f>
      </c>
      <c r="F44" s="66">
        <f>IF(B44="","",ENTRADA!$Z44&amp;"")</f>
      </c>
      <c r="G44" s="67">
        <f>IF(B44="","",N(ENTRADA!$G44))</f>
      </c>
      <c r="H44" s="67">
        <f>IF(B44="","",N(ENTRADA!$H44))</f>
      </c>
      <c r="I44" s="67">
        <f>IF(B44="","",N(ENTRADA!$I44))</f>
      </c>
      <c r="J44" s="68">
        <f>IF(B44="","",G44+H44+I44)</f>
      </c>
      <c r="K44" s="60">
        <f>IF(B44="","",IFERROR(MATCH(SUMPRODUCT(MAX((PRECIOS!$A$6:$A$55&lt;=C44)*PRECIOS!$A$6:$A$55)),PRECIOS!$A$6:$A$55,0),1))</f>
      </c>
      <c r="L44" s="69">
        <f>IF(B44="","",INDEX(PRECIOS!$A$6:$A$55,K44))</f>
      </c>
      <c r="M44" s="37">
        <f>IF(B44="","",G44*INDEX(PRECIOS!$B$6:$B$55,K44))</f>
      </c>
      <c r="N44" s="37">
        <f>IF(B44="","",H44*INDEX(PRECIOS!$C$6:$C$55,K44))</f>
      </c>
      <c r="O44" s="37">
        <f>IF(B44="","",I44*INDEX(PRECIOS!$D$6:$D$55,K44))</f>
      </c>
      <c r="P44" s="37">
        <f>IF(B44="","",N(ENTRADA!$X44))</f>
      </c>
      <c r="Q44" s="70">
        <f>IF(B44="","",M44+N44+O44+P44)</f>
      </c>
      <c r="R44" s="71">
        <f>IF(B44="","",IF(ENTRADA!$J44="",Std_Viajes_Puerto,ENTRADA!$J44))</f>
      </c>
      <c r="S44" s="37">
        <f>IF(B44="","",R44*INDEX(PRECIOS!$F$6:$F$55,K44))</f>
      </c>
      <c r="T44" s="71">
        <f>IF(B44="","",R44*Litros_Puerto_Viaje)</f>
      </c>
      <c r="U44" s="71">
        <f>IF(B44="","",IF(ENTRADA!$K44="",T44,ENTRADA!$K44))</f>
      </c>
      <c r="V44" s="37">
        <f>IF(B44="","",U44*INDEX(PRECIOS!$E$6:$E$55,K44))</f>
      </c>
      <c r="W44" s="37">
        <f>IF(B44="","",IF(ENTRADA!$L44="",R44*INDEX(PRECIOS!$G$6:$G$55,K44),ENTRADA!$L44))</f>
      </c>
      <c r="X44" s="37">
        <f>IF(B44="","",R44*Km_Puerto_Viaje*INDEX(PRECIOS!$N$6:$N$55,K44))</f>
      </c>
      <c r="Y44" s="70">
        <f>IF(B44="","",S44+V44+W44+X44)</f>
      </c>
      <c r="Z44" s="71">
        <f>IF(B44="","",IF(J44=0,0,ROUNDUP(J44/Rend_Desagrupe,0)))</f>
      </c>
      <c r="AA44" s="71">
        <f>IF(B44="","",IF(ENTRADA!$M44="",Z44,ENTRADA!$M44))</f>
      </c>
      <c r="AB44" s="37">
        <f>IF(B44="","",AA44*INDEX(PRECIOS!$H$6:$H$55,K44))</f>
      </c>
      <c r="AC44" s="37">
        <f>IF(B44="","",IF(E44="ENCI",INDEX(PRECIOS!$J$6:$J$55,K44),IF(E44="A.V",INDEX(PRECIOS!$K$6:$K$55,K44),0)))</f>
      </c>
      <c r="AD44" s="37">
        <f>IF(B44="","",N(ENTRADA!$N44))</f>
      </c>
      <c r="AE44" s="70">
        <f>IF(B44="","",AB44+AC44+AD44)</f>
      </c>
      <c r="AF44" s="71">
        <f>IF(B44="","",IF(G44=0,0,ROUNDUP(G44/Cap_Camion_OCC,0)))</f>
      </c>
      <c r="AG44" s="71">
        <f>IF(B44="","",AF44*L_Dist_OCC)</f>
      </c>
      <c r="AH44" s="71">
        <f>IF(B44="","",IF(ENTRADA!$O44="",AG44,ENTRADA!$O44))</f>
      </c>
      <c r="AI44" s="37">
        <f>IF(B44="","",AH44*INDEX(PRECIOS!$E$6:$E$55,K44))</f>
      </c>
      <c r="AJ44" s="71">
        <f>IF(B44="","",IF(H44=0,0,ROUNDUP(H44/Cap_Camion_CEN,0)))</f>
      </c>
      <c r="AK44" s="71">
        <f>IF(B44="","",AJ44*L_Tras_CEN)</f>
      </c>
      <c r="AL44" s="71">
        <f>IF(B44="","",IF(ENTRADA!$P44="",AK44,ENTRADA!$P44))</f>
      </c>
      <c r="AM44" s="71">
        <f>IF(B44="","",AJ44*L_Dist_CEN)</f>
      </c>
      <c r="AN44" s="71">
        <f>IF(B44="","",IF(ENTRADA!$Q44="",AM44,ENTRADA!$Q44))</f>
      </c>
      <c r="AO44" s="37">
        <f>IF(B44="","",(AL44+AN44)*INDEX(PRECIOS!$E$6:$E$55,K44))</f>
      </c>
      <c r="AP44" s="71">
        <f>IF(B44="","",IF(H44=0,0,ROUNDUP(H44/Rend_Desagrupe_CT,0)))</f>
      </c>
      <c r="AQ44" s="71">
        <f>IF(B44="","",IF(ENTRADA!$R44="",AP44,ENTRADA!$R44))</f>
      </c>
      <c r="AR44" s="37">
        <f>IF(B44="","",AQ44*INDEX(PRECIOS!$I$6:$I$55,K44))</f>
      </c>
      <c r="AS44" s="37">
        <f>IF(B44="","",AO44+AR44)</f>
      </c>
      <c r="AT44" s="71">
        <f>IF(B44="","",IF(I44=0,0,ROUNDUP(I44/Cap_Camion_ORI,0)))</f>
      </c>
      <c r="AU44" s="71">
        <f>IF(B44="","",AT44*L_Tras_ORI)</f>
      </c>
      <c r="AV44" s="71">
        <f>IF(B44="","",IF(ENTRADA!$S44="",AU44,ENTRADA!$S44))</f>
      </c>
      <c r="AW44" s="71">
        <f>IF(B44="","",AT44*L_Dist_ORI)</f>
      </c>
      <c r="AX44" s="71">
        <f>IF(B44="","",IF(ENTRADA!$T44="",AW44,ENTRADA!$T44))</f>
      </c>
      <c r="AY44" s="37">
        <f>IF(B44="","",(AV44+AX44)*INDEX(PRECIOS!$E$6:$E$55,K44))</f>
      </c>
      <c r="AZ44" s="71">
        <f>IF(B44="","",IF(I44=0,0,ROUNDUP(I44/Rend_Desagrupe_CT,0)))</f>
      </c>
      <c r="BA44" s="71">
        <f>IF(B44="","",IF(ENTRADA!$U44="",AZ44,ENTRADA!$U44))</f>
      </c>
      <c r="BB44" s="37">
        <f>IF(B44="","",BA44*INDEX(PRECIOS!$I$6:$I$55,K44))</f>
      </c>
      <c r="BC44" s="37">
        <f>IF(B44="","",AY44+BB44)</f>
      </c>
      <c r="BD44" s="70">
        <f>IF(B44="","",AI44+AS44+BC44)</f>
      </c>
      <c r="BE44" s="37">
        <f>IF(B44="","",IF(Base_Comision="% DEL INGRESO",M44*INDEX(PRECIOS!$L$6:$L$55,K44),G44*INDEX(PRECIOS!$M$6:$M$55,K44)))</f>
      </c>
      <c r="BF44" s="37">
        <f>IF(B44="","",IF(Base_Comision="% DEL INGRESO",N44*INDEX(PRECIOS!$L$6:$L$55,K44),H44*INDEX(PRECIOS!$M$6:$M$55,K44)))</f>
      </c>
      <c r="BG44" s="37">
        <f>IF(B44="","",IF(Base_Comision="% DEL INGRESO",O44*INDEX(PRECIOS!$L$6:$L$55,K44),I44*INDEX(PRECIOS!$M$6:$M$55,K44)))</f>
      </c>
      <c r="BH44" s="70">
        <f>IF(B44="","",BE44+BF44+BG44)</f>
      </c>
      <c r="BI44" s="37">
        <f>IF(B44="","",Q44*Pct_Reclamaciones)</f>
      </c>
      <c r="BJ44" s="37">
        <f>IF(B44="","",Q44*Pct_Banco)</f>
      </c>
      <c r="BK44" s="37">
        <f>IF(B44="","",N(ENTRADA!$V44))</f>
      </c>
      <c r="BL44" s="70">
        <f>IF(B44="","",Y44+AE44+BD44+BH44+BI44+BJ44+BK44)</f>
      </c>
      <c r="BM44" s="70">
        <f>IF(B44="","",Q44-BL44)</f>
      </c>
      <c r="BN44" s="72">
        <f>IF(B44="","",IF(Q44=0,0,BM44/Q44))</f>
      </c>
      <c r="BO44" s="73">
        <f>IF(B44="","",IF(J44=0,0,BM44/J44))</f>
      </c>
      <c r="BP44" s="60">
        <f>IF(B44="","",IFERROR(MATCH(D44,COSTOS_FIJOS!$G$5:$AD$5,0),0))</f>
      </c>
      <c r="BQ44" s="60">
        <f>IF(B44="","",COUNTIFS($D$6:$D$305,D44))</f>
      </c>
      <c r="BR44" s="67">
        <f>IF(B44="","",SUMIFS($J$6:$J$305,$D$6:$D$305,D44))</f>
      </c>
      <c r="BS44" s="72">
        <f>IF(B44="","",IF(Metodo_Prorrateo="KG",IF(BR44=0,0,J44/BR44),1/BQ44))</f>
      </c>
      <c r="BT44" s="37">
        <f>IF(B44="","",IF(BP44=0,0,INDEX(COSTOS_FIJOS!$G$38:$AD$38,BP44))*BS44)</f>
      </c>
      <c r="BU44" s="72">
        <f>IF(B44="","",IF(Metodo_Prorrateo="KG",IF(SUMIFS($G$6:$G$305,$D$6:$D$305,D44)=0,0,G44/SUMIFS($G$6:$G$305,$D$6:$D$305,D44)),IF(G44&gt;0,1/COUNTIFS($D$6:$D$305,D44,$G$6:$G$305,"&gt;0"),0)))</f>
      </c>
      <c r="BV44" s="37">
        <f>IF(B44="","",IF(BP44=0,0,INDEX(COSTOS_FIJOS!$G$39:$AD$39,BP44))*BU44)</f>
      </c>
      <c r="BW44" s="72">
        <f>IF(B44="","",IF(Metodo_Prorrateo="KG",IF(SUMIFS($H$6:$H$305,$D$6:$D$305,D44)=0,0,H44/SUMIFS($H$6:$H$305,$D$6:$D$305,D44)),IF(H44&gt;0,1/COUNTIFS($D$6:$D$305,D44,$H$6:$H$305,"&gt;0"),0)))</f>
      </c>
      <c r="BX44" s="37">
        <f>IF(B44="","",IF(BP44=0,0,INDEX(COSTOS_FIJOS!$G$40:$AD$40,BP44))*BW44)</f>
      </c>
      <c r="BY44" s="72">
        <f>IF(B44="","",IF(Metodo_Prorrateo="KG",IF(SUMIFS($I$6:$I$305,$D$6:$D$305,D44)=0,0,I44/SUMIFS($I$6:$I$305,$D$6:$D$305,D44)),IF(I44&gt;0,1/COUNTIFS($D$6:$D$305,D44,$I$6:$I$305,"&gt;0"),0)))</f>
      </c>
      <c r="BZ44" s="37">
        <f>IF(B44="","",IF(BP44=0,0,INDEX(COSTOS_FIJOS!$G$41:$AD$41,BP44))*BY44)</f>
      </c>
      <c r="CA44" s="70">
        <f>IF(B44="","",BT44+BV44+BX44+BZ44)</f>
      </c>
      <c r="CB44" s="37">
        <f>IF(B44="","",Q44*Imp_Ventas_Serv)</f>
      </c>
      <c r="CC44" s="37">
        <f>IF(B44="","",Q44*Contrib_Territorial)</f>
      </c>
      <c r="CD44" s="70">
        <f>IF(B44="","",BM44-CA44-CB44-CC44)</f>
      </c>
      <c r="CE44" s="37">
        <f>IF(B44="","",MAX(0,CD44)*Imp_Utilidades)</f>
      </c>
      <c r="CF44" s="70">
        <f>IF(B44="","",CD44-CE44)</f>
      </c>
      <c r="CG44" s="72">
        <f>IF(B44="","",IF(Q44=0,0,CF44/Q44))</f>
      </c>
      <c r="CH44" s="73">
        <f>IF(B44="","",IF(J44=0,0,(BL44+CA44+CB44+CC44)/J44))</f>
      </c>
      <c r="CI44" s="73">
        <f>IF(B44="","",IF(J44=0,0,Q44/J44))</f>
      </c>
      <c r="CJ44" s="73">
        <f>IF(B44="","",IF(J44=0,0,CD44/J44))</f>
      </c>
      <c r="CK44" s="37">
        <f>IF(B44="","",Y44+AE44+BK44+BT44)</f>
      </c>
      <c r="CL44" s="37">
        <f>IF(B44="","",IF(J44=0,0,(M44+P44*G44/J44)*(1-Pct_Reclamaciones-Pct_Banco-Imp_Ventas_Serv-Contrib_Territorial)-AI44-BE44-BV44-CK44*G44/J44))</f>
      </c>
      <c r="CM44" s="37">
        <f>IF(B44="","",IF(J44=0,0,(N44+P44*H44/J44)*(1-Pct_Reclamaciones-Pct_Banco-Imp_Ventas_Serv-Contrib_Territorial)-AS44-BF44-BX44-CK44*H44/J44))</f>
      </c>
      <c r="CN44" s="37">
        <f>IF(B44="","",IF(J44=0,0,(O44+P44*I44/J44)*(1-Pct_Reclamaciones-Pct_Banco-Imp_Ventas_Serv-Contrib_Territorial)-BC44-BG44-BZ44-CK44*I44/J44))</f>
      </c>
      <c r="CO44" s="37">
        <f>IF(B44="","",IF(J44=0,0,ROUND(CD44-CL44-CM44-CN44,4)))</f>
      </c>
      <c r="CP44" s="71">
        <f>IF(B44="","",T44+AG44+AK44+AM44+AU44+AW44)</f>
      </c>
      <c r="CQ44" s="71">
        <f>IF(B44="","",U44+AH44+AL44+AN44+AV44+AX44)</f>
      </c>
      <c r="CR44" s="72">
        <f>IF(B44="","",IF(CP44=0,0,CQ44/CP44-1))</f>
      </c>
      <c r="CS44" s="60">
        <f>IF(B44="","",IF(ENTRADA!$Y44="","",ENTRADA!$Y44-C44))</f>
      </c>
      <c r="CT44" s="66">
        <f>IF(B44="","",IF(ENTRADA!$C44="","Falta fecha. ","")&amp;IF(BP44=0,"Mes fuera del rango de COSTOS_FIJOS. ","")&amp;IF(J44=0,"Sin kg. ","")&amp;IF(E44="","Falta transitaria. ","")&amp;IF(AND(T44&gt;0,U44/T44-1&gt;Tolerancia_Comb),"Combustible al puerto "&amp;TEXT(U44/T44-1,"+0%")&amp;" sobre norma. ","")&amp;IF(AND(AG44&gt;0,AH44/AG44-1&gt;Tolerancia_Comb),"Combustible distribución Occidente "&amp;TEXT(AH44/AG44-1,"+0%")&amp;" sobre norma. ","")&amp;IF(AND(AK44&gt;0,AL44/AK44-1&gt;Tolerancia_Comb),"Combustible traslado Centro "&amp;TEXT(AL44/AK44-1,"+0%")&amp;" sobre norma. ","")&amp;IF(AND(AM44&gt;0,AN44/AM44-1&gt;Tolerancia_Comb),"Combustible distribución Centro "&amp;TEXT(AN44/AM44-1,"+0%")&amp;" sobre norma. ","")&amp;IF(AND(AU44&gt;0,AV44/AU44-1&gt;Tolerancia_Comb),"Combustible traslado Oriente "&amp;TEXT(AV44/AU44-1,"+0%")&amp;" sobre norma. ","")&amp;IF(AND(AW44&gt;0,AX44/AW44-1&gt;Tolerancia_Comb),"Combustible distribución Oriente "&amp;TEXT(AX44/AW44-1,"+0%")&amp;" sobre norma. ","")&amp;IF(AND(ENTRADA!$C44&lt;&gt;"",C44&lt;PRECIOS!$A$6),"Fecha anterior a la 1ª vigencia de precios. ","")&amp;IF(CD44&lt;0,"Contenedor con pérdida. ",""))</f>
      </c>
    </row>
    <row r="45">
      <c r="A45" s="60">
        <f>IF(B45="","",ROW()-5)</f>
      </c>
      <c r="B45" s="63">
        <f>IF(ENTRADA!$B45="","",ENTRADA!$B45)</f>
      </c>
      <c r="C45" s="64">
        <f>IF(B45="","",ENTRADA!$C45)</f>
      </c>
      <c r="D45" s="65">
        <f>IF(B45="","",DATE(YEAR(C45),MONTH(C45),1))</f>
      </c>
      <c r="E45" s="66">
        <f>IF(B45="","",ENTRADA!$D45&amp;"")</f>
      </c>
      <c r="F45" s="66">
        <f>IF(B45="","",ENTRADA!$Z45&amp;"")</f>
      </c>
      <c r="G45" s="67">
        <f>IF(B45="","",N(ENTRADA!$G45))</f>
      </c>
      <c r="H45" s="67">
        <f>IF(B45="","",N(ENTRADA!$H45))</f>
      </c>
      <c r="I45" s="67">
        <f>IF(B45="","",N(ENTRADA!$I45))</f>
      </c>
      <c r="J45" s="68">
        <f>IF(B45="","",G45+H45+I45)</f>
      </c>
      <c r="K45" s="60">
        <f>IF(B45="","",IFERROR(MATCH(SUMPRODUCT(MAX((PRECIOS!$A$6:$A$55&lt;=C45)*PRECIOS!$A$6:$A$55)),PRECIOS!$A$6:$A$55,0),1))</f>
      </c>
      <c r="L45" s="69">
        <f>IF(B45="","",INDEX(PRECIOS!$A$6:$A$55,K45))</f>
      </c>
      <c r="M45" s="37">
        <f>IF(B45="","",G45*INDEX(PRECIOS!$B$6:$B$55,K45))</f>
      </c>
      <c r="N45" s="37">
        <f>IF(B45="","",H45*INDEX(PRECIOS!$C$6:$C$55,K45))</f>
      </c>
      <c r="O45" s="37">
        <f>IF(B45="","",I45*INDEX(PRECIOS!$D$6:$D$55,K45))</f>
      </c>
      <c r="P45" s="37">
        <f>IF(B45="","",N(ENTRADA!$X45))</f>
      </c>
      <c r="Q45" s="70">
        <f>IF(B45="","",M45+N45+O45+P45)</f>
      </c>
      <c r="R45" s="71">
        <f>IF(B45="","",IF(ENTRADA!$J45="",Std_Viajes_Puerto,ENTRADA!$J45))</f>
      </c>
      <c r="S45" s="37">
        <f>IF(B45="","",R45*INDEX(PRECIOS!$F$6:$F$55,K45))</f>
      </c>
      <c r="T45" s="71">
        <f>IF(B45="","",R45*Litros_Puerto_Viaje)</f>
      </c>
      <c r="U45" s="71">
        <f>IF(B45="","",IF(ENTRADA!$K45="",T45,ENTRADA!$K45))</f>
      </c>
      <c r="V45" s="37">
        <f>IF(B45="","",U45*INDEX(PRECIOS!$E$6:$E$55,K45))</f>
      </c>
      <c r="W45" s="37">
        <f>IF(B45="","",IF(ENTRADA!$L45="",R45*INDEX(PRECIOS!$G$6:$G$55,K45),ENTRADA!$L45))</f>
      </c>
      <c r="X45" s="37">
        <f>IF(B45="","",R45*Km_Puerto_Viaje*INDEX(PRECIOS!$N$6:$N$55,K45))</f>
      </c>
      <c r="Y45" s="70">
        <f>IF(B45="","",S45+V45+W45+X45)</f>
      </c>
      <c r="Z45" s="71">
        <f>IF(B45="","",IF(J45=0,0,ROUNDUP(J45/Rend_Desagrupe,0)))</f>
      </c>
      <c r="AA45" s="71">
        <f>IF(B45="","",IF(ENTRADA!$M45="",Z45,ENTRADA!$M45))</f>
      </c>
      <c r="AB45" s="37">
        <f>IF(B45="","",AA45*INDEX(PRECIOS!$H$6:$H$55,K45))</f>
      </c>
      <c r="AC45" s="37">
        <f>IF(B45="","",IF(E45="ENCI",INDEX(PRECIOS!$J$6:$J$55,K45),IF(E45="A.V",INDEX(PRECIOS!$K$6:$K$55,K45),0)))</f>
      </c>
      <c r="AD45" s="37">
        <f>IF(B45="","",N(ENTRADA!$N45))</f>
      </c>
      <c r="AE45" s="70">
        <f>IF(B45="","",AB45+AC45+AD45)</f>
      </c>
      <c r="AF45" s="71">
        <f>IF(B45="","",IF(G45=0,0,ROUNDUP(G45/Cap_Camion_OCC,0)))</f>
      </c>
      <c r="AG45" s="71">
        <f>IF(B45="","",AF45*L_Dist_OCC)</f>
      </c>
      <c r="AH45" s="71">
        <f>IF(B45="","",IF(ENTRADA!$O45="",AG45,ENTRADA!$O45))</f>
      </c>
      <c r="AI45" s="37">
        <f>IF(B45="","",AH45*INDEX(PRECIOS!$E$6:$E$55,K45))</f>
      </c>
      <c r="AJ45" s="71">
        <f>IF(B45="","",IF(H45=0,0,ROUNDUP(H45/Cap_Camion_CEN,0)))</f>
      </c>
      <c r="AK45" s="71">
        <f>IF(B45="","",AJ45*L_Tras_CEN)</f>
      </c>
      <c r="AL45" s="71">
        <f>IF(B45="","",IF(ENTRADA!$P45="",AK45,ENTRADA!$P45))</f>
      </c>
      <c r="AM45" s="71">
        <f>IF(B45="","",AJ45*L_Dist_CEN)</f>
      </c>
      <c r="AN45" s="71">
        <f>IF(B45="","",IF(ENTRADA!$Q45="",AM45,ENTRADA!$Q45))</f>
      </c>
      <c r="AO45" s="37">
        <f>IF(B45="","",(AL45+AN45)*INDEX(PRECIOS!$E$6:$E$55,K45))</f>
      </c>
      <c r="AP45" s="71">
        <f>IF(B45="","",IF(H45=0,0,ROUNDUP(H45/Rend_Desagrupe_CT,0)))</f>
      </c>
      <c r="AQ45" s="71">
        <f>IF(B45="","",IF(ENTRADA!$R45="",AP45,ENTRADA!$R45))</f>
      </c>
      <c r="AR45" s="37">
        <f>IF(B45="","",AQ45*INDEX(PRECIOS!$I$6:$I$55,K45))</f>
      </c>
      <c r="AS45" s="37">
        <f>IF(B45="","",AO45+AR45)</f>
      </c>
      <c r="AT45" s="71">
        <f>IF(B45="","",IF(I45=0,0,ROUNDUP(I45/Cap_Camion_ORI,0)))</f>
      </c>
      <c r="AU45" s="71">
        <f>IF(B45="","",AT45*L_Tras_ORI)</f>
      </c>
      <c r="AV45" s="71">
        <f>IF(B45="","",IF(ENTRADA!$S45="",AU45,ENTRADA!$S45))</f>
      </c>
      <c r="AW45" s="71">
        <f>IF(B45="","",AT45*L_Dist_ORI)</f>
      </c>
      <c r="AX45" s="71">
        <f>IF(B45="","",IF(ENTRADA!$T45="",AW45,ENTRADA!$T45))</f>
      </c>
      <c r="AY45" s="37">
        <f>IF(B45="","",(AV45+AX45)*INDEX(PRECIOS!$E$6:$E$55,K45))</f>
      </c>
      <c r="AZ45" s="71">
        <f>IF(B45="","",IF(I45=0,0,ROUNDUP(I45/Rend_Desagrupe_CT,0)))</f>
      </c>
      <c r="BA45" s="71">
        <f>IF(B45="","",IF(ENTRADA!$U45="",AZ45,ENTRADA!$U45))</f>
      </c>
      <c r="BB45" s="37">
        <f>IF(B45="","",BA45*INDEX(PRECIOS!$I$6:$I$55,K45))</f>
      </c>
      <c r="BC45" s="37">
        <f>IF(B45="","",AY45+BB45)</f>
      </c>
      <c r="BD45" s="70">
        <f>IF(B45="","",AI45+AS45+BC45)</f>
      </c>
      <c r="BE45" s="37">
        <f>IF(B45="","",IF(Base_Comision="% DEL INGRESO",M45*INDEX(PRECIOS!$L$6:$L$55,K45),G45*INDEX(PRECIOS!$M$6:$M$55,K45)))</f>
      </c>
      <c r="BF45" s="37">
        <f>IF(B45="","",IF(Base_Comision="% DEL INGRESO",N45*INDEX(PRECIOS!$L$6:$L$55,K45),H45*INDEX(PRECIOS!$M$6:$M$55,K45)))</f>
      </c>
      <c r="BG45" s="37">
        <f>IF(B45="","",IF(Base_Comision="% DEL INGRESO",O45*INDEX(PRECIOS!$L$6:$L$55,K45),I45*INDEX(PRECIOS!$M$6:$M$55,K45)))</f>
      </c>
      <c r="BH45" s="70">
        <f>IF(B45="","",BE45+BF45+BG45)</f>
      </c>
      <c r="BI45" s="37">
        <f>IF(B45="","",Q45*Pct_Reclamaciones)</f>
      </c>
      <c r="BJ45" s="37">
        <f>IF(B45="","",Q45*Pct_Banco)</f>
      </c>
      <c r="BK45" s="37">
        <f>IF(B45="","",N(ENTRADA!$V45))</f>
      </c>
      <c r="BL45" s="70">
        <f>IF(B45="","",Y45+AE45+BD45+BH45+BI45+BJ45+BK45)</f>
      </c>
      <c r="BM45" s="70">
        <f>IF(B45="","",Q45-BL45)</f>
      </c>
      <c r="BN45" s="72">
        <f>IF(B45="","",IF(Q45=0,0,BM45/Q45))</f>
      </c>
      <c r="BO45" s="73">
        <f>IF(B45="","",IF(J45=0,0,BM45/J45))</f>
      </c>
      <c r="BP45" s="60">
        <f>IF(B45="","",IFERROR(MATCH(D45,COSTOS_FIJOS!$G$5:$AD$5,0),0))</f>
      </c>
      <c r="BQ45" s="60">
        <f>IF(B45="","",COUNTIFS($D$6:$D$305,D45))</f>
      </c>
      <c r="BR45" s="67">
        <f>IF(B45="","",SUMIFS($J$6:$J$305,$D$6:$D$305,D45))</f>
      </c>
      <c r="BS45" s="72">
        <f>IF(B45="","",IF(Metodo_Prorrateo="KG",IF(BR45=0,0,J45/BR45),1/BQ45))</f>
      </c>
      <c r="BT45" s="37">
        <f>IF(B45="","",IF(BP45=0,0,INDEX(COSTOS_FIJOS!$G$38:$AD$38,BP45))*BS45)</f>
      </c>
      <c r="BU45" s="72">
        <f>IF(B45="","",IF(Metodo_Prorrateo="KG",IF(SUMIFS($G$6:$G$305,$D$6:$D$305,D45)=0,0,G45/SUMIFS($G$6:$G$305,$D$6:$D$305,D45)),IF(G45&gt;0,1/COUNTIFS($D$6:$D$305,D45,$G$6:$G$305,"&gt;0"),0)))</f>
      </c>
      <c r="BV45" s="37">
        <f>IF(B45="","",IF(BP45=0,0,INDEX(COSTOS_FIJOS!$G$39:$AD$39,BP45))*BU45)</f>
      </c>
      <c r="BW45" s="72">
        <f>IF(B45="","",IF(Metodo_Prorrateo="KG",IF(SUMIFS($H$6:$H$305,$D$6:$D$305,D45)=0,0,H45/SUMIFS($H$6:$H$305,$D$6:$D$305,D45)),IF(H45&gt;0,1/COUNTIFS($D$6:$D$305,D45,$H$6:$H$305,"&gt;0"),0)))</f>
      </c>
      <c r="BX45" s="37">
        <f>IF(B45="","",IF(BP45=0,0,INDEX(COSTOS_FIJOS!$G$40:$AD$40,BP45))*BW45)</f>
      </c>
      <c r="BY45" s="72">
        <f>IF(B45="","",IF(Metodo_Prorrateo="KG",IF(SUMIFS($I$6:$I$305,$D$6:$D$305,D45)=0,0,I45/SUMIFS($I$6:$I$305,$D$6:$D$305,D45)),IF(I45&gt;0,1/COUNTIFS($D$6:$D$305,D45,$I$6:$I$305,"&gt;0"),0)))</f>
      </c>
      <c r="BZ45" s="37">
        <f>IF(B45="","",IF(BP45=0,0,INDEX(COSTOS_FIJOS!$G$41:$AD$41,BP45))*BY45)</f>
      </c>
      <c r="CA45" s="70">
        <f>IF(B45="","",BT45+BV45+BX45+BZ45)</f>
      </c>
      <c r="CB45" s="37">
        <f>IF(B45="","",Q45*Imp_Ventas_Serv)</f>
      </c>
      <c r="CC45" s="37">
        <f>IF(B45="","",Q45*Contrib_Territorial)</f>
      </c>
      <c r="CD45" s="70">
        <f>IF(B45="","",BM45-CA45-CB45-CC45)</f>
      </c>
      <c r="CE45" s="37">
        <f>IF(B45="","",MAX(0,CD45)*Imp_Utilidades)</f>
      </c>
      <c r="CF45" s="70">
        <f>IF(B45="","",CD45-CE45)</f>
      </c>
      <c r="CG45" s="72">
        <f>IF(B45="","",IF(Q45=0,0,CF45/Q45))</f>
      </c>
      <c r="CH45" s="73">
        <f>IF(B45="","",IF(J45=0,0,(BL45+CA45+CB45+CC45)/J45))</f>
      </c>
      <c r="CI45" s="73">
        <f>IF(B45="","",IF(J45=0,0,Q45/J45))</f>
      </c>
      <c r="CJ45" s="73">
        <f>IF(B45="","",IF(J45=0,0,CD45/J45))</f>
      </c>
      <c r="CK45" s="37">
        <f>IF(B45="","",Y45+AE45+BK45+BT45)</f>
      </c>
      <c r="CL45" s="37">
        <f>IF(B45="","",IF(J45=0,0,(M45+P45*G45/J45)*(1-Pct_Reclamaciones-Pct_Banco-Imp_Ventas_Serv-Contrib_Territorial)-AI45-BE45-BV45-CK45*G45/J45))</f>
      </c>
      <c r="CM45" s="37">
        <f>IF(B45="","",IF(J45=0,0,(N45+P45*H45/J45)*(1-Pct_Reclamaciones-Pct_Banco-Imp_Ventas_Serv-Contrib_Territorial)-AS45-BF45-BX45-CK45*H45/J45))</f>
      </c>
      <c r="CN45" s="37">
        <f>IF(B45="","",IF(J45=0,0,(O45+P45*I45/J45)*(1-Pct_Reclamaciones-Pct_Banco-Imp_Ventas_Serv-Contrib_Territorial)-BC45-BG45-BZ45-CK45*I45/J45))</f>
      </c>
      <c r="CO45" s="37">
        <f>IF(B45="","",IF(J45=0,0,ROUND(CD45-CL45-CM45-CN45,4)))</f>
      </c>
      <c r="CP45" s="71">
        <f>IF(B45="","",T45+AG45+AK45+AM45+AU45+AW45)</f>
      </c>
      <c r="CQ45" s="71">
        <f>IF(B45="","",U45+AH45+AL45+AN45+AV45+AX45)</f>
      </c>
      <c r="CR45" s="72">
        <f>IF(B45="","",IF(CP45=0,0,CQ45/CP45-1))</f>
      </c>
      <c r="CS45" s="60">
        <f>IF(B45="","",IF(ENTRADA!$Y45="","",ENTRADA!$Y45-C45))</f>
      </c>
      <c r="CT45" s="66">
        <f>IF(B45="","",IF(ENTRADA!$C45="","Falta fecha. ","")&amp;IF(BP45=0,"Mes fuera del rango de COSTOS_FIJOS. ","")&amp;IF(J45=0,"Sin kg. ","")&amp;IF(E45="","Falta transitaria. ","")&amp;IF(AND(T45&gt;0,U45/T45-1&gt;Tolerancia_Comb),"Combustible al puerto "&amp;TEXT(U45/T45-1,"+0%")&amp;" sobre norma. ","")&amp;IF(AND(AG45&gt;0,AH45/AG45-1&gt;Tolerancia_Comb),"Combustible distribución Occidente "&amp;TEXT(AH45/AG45-1,"+0%")&amp;" sobre norma. ","")&amp;IF(AND(AK45&gt;0,AL45/AK45-1&gt;Tolerancia_Comb),"Combustible traslado Centro "&amp;TEXT(AL45/AK45-1,"+0%")&amp;" sobre norma. ","")&amp;IF(AND(AM45&gt;0,AN45/AM45-1&gt;Tolerancia_Comb),"Combustible distribución Centro "&amp;TEXT(AN45/AM45-1,"+0%")&amp;" sobre norma. ","")&amp;IF(AND(AU45&gt;0,AV45/AU45-1&gt;Tolerancia_Comb),"Combustible traslado Oriente "&amp;TEXT(AV45/AU45-1,"+0%")&amp;" sobre norma. ","")&amp;IF(AND(AW45&gt;0,AX45/AW45-1&gt;Tolerancia_Comb),"Combustible distribución Oriente "&amp;TEXT(AX45/AW45-1,"+0%")&amp;" sobre norma. ","")&amp;IF(AND(ENTRADA!$C45&lt;&gt;"",C45&lt;PRECIOS!$A$6),"Fecha anterior a la 1ª vigencia de precios. ","")&amp;IF(CD45&lt;0,"Contenedor con pérdida. ",""))</f>
      </c>
    </row>
    <row r="46">
      <c r="A46" s="60">
        <f>IF(B46="","",ROW()-5)</f>
      </c>
      <c r="B46" s="63">
        <f>IF(ENTRADA!$B46="","",ENTRADA!$B46)</f>
      </c>
      <c r="C46" s="64">
        <f>IF(B46="","",ENTRADA!$C46)</f>
      </c>
      <c r="D46" s="65">
        <f>IF(B46="","",DATE(YEAR(C46),MONTH(C46),1))</f>
      </c>
      <c r="E46" s="66">
        <f>IF(B46="","",ENTRADA!$D46&amp;"")</f>
      </c>
      <c r="F46" s="66">
        <f>IF(B46="","",ENTRADA!$Z46&amp;"")</f>
      </c>
      <c r="G46" s="67">
        <f>IF(B46="","",N(ENTRADA!$G46))</f>
      </c>
      <c r="H46" s="67">
        <f>IF(B46="","",N(ENTRADA!$H46))</f>
      </c>
      <c r="I46" s="67">
        <f>IF(B46="","",N(ENTRADA!$I46))</f>
      </c>
      <c r="J46" s="68">
        <f>IF(B46="","",G46+H46+I46)</f>
      </c>
      <c r="K46" s="60">
        <f>IF(B46="","",IFERROR(MATCH(SUMPRODUCT(MAX((PRECIOS!$A$6:$A$55&lt;=C46)*PRECIOS!$A$6:$A$55)),PRECIOS!$A$6:$A$55,0),1))</f>
      </c>
      <c r="L46" s="69">
        <f>IF(B46="","",INDEX(PRECIOS!$A$6:$A$55,K46))</f>
      </c>
      <c r="M46" s="37">
        <f>IF(B46="","",G46*INDEX(PRECIOS!$B$6:$B$55,K46))</f>
      </c>
      <c r="N46" s="37">
        <f>IF(B46="","",H46*INDEX(PRECIOS!$C$6:$C$55,K46))</f>
      </c>
      <c r="O46" s="37">
        <f>IF(B46="","",I46*INDEX(PRECIOS!$D$6:$D$55,K46))</f>
      </c>
      <c r="P46" s="37">
        <f>IF(B46="","",N(ENTRADA!$X46))</f>
      </c>
      <c r="Q46" s="70">
        <f>IF(B46="","",M46+N46+O46+P46)</f>
      </c>
      <c r="R46" s="71">
        <f>IF(B46="","",IF(ENTRADA!$J46="",Std_Viajes_Puerto,ENTRADA!$J46))</f>
      </c>
      <c r="S46" s="37">
        <f>IF(B46="","",R46*INDEX(PRECIOS!$F$6:$F$55,K46))</f>
      </c>
      <c r="T46" s="71">
        <f>IF(B46="","",R46*Litros_Puerto_Viaje)</f>
      </c>
      <c r="U46" s="71">
        <f>IF(B46="","",IF(ENTRADA!$K46="",T46,ENTRADA!$K46))</f>
      </c>
      <c r="V46" s="37">
        <f>IF(B46="","",U46*INDEX(PRECIOS!$E$6:$E$55,K46))</f>
      </c>
      <c r="W46" s="37">
        <f>IF(B46="","",IF(ENTRADA!$L46="",R46*INDEX(PRECIOS!$G$6:$G$55,K46),ENTRADA!$L46))</f>
      </c>
      <c r="X46" s="37">
        <f>IF(B46="","",R46*Km_Puerto_Viaje*INDEX(PRECIOS!$N$6:$N$55,K46))</f>
      </c>
      <c r="Y46" s="70">
        <f>IF(B46="","",S46+V46+W46+X46)</f>
      </c>
      <c r="Z46" s="71">
        <f>IF(B46="","",IF(J46=0,0,ROUNDUP(J46/Rend_Desagrupe,0)))</f>
      </c>
      <c r="AA46" s="71">
        <f>IF(B46="","",IF(ENTRADA!$M46="",Z46,ENTRADA!$M46))</f>
      </c>
      <c r="AB46" s="37">
        <f>IF(B46="","",AA46*INDEX(PRECIOS!$H$6:$H$55,K46))</f>
      </c>
      <c r="AC46" s="37">
        <f>IF(B46="","",IF(E46="ENCI",INDEX(PRECIOS!$J$6:$J$55,K46),IF(E46="A.V",INDEX(PRECIOS!$K$6:$K$55,K46),0)))</f>
      </c>
      <c r="AD46" s="37">
        <f>IF(B46="","",N(ENTRADA!$N46))</f>
      </c>
      <c r="AE46" s="70">
        <f>IF(B46="","",AB46+AC46+AD46)</f>
      </c>
      <c r="AF46" s="71">
        <f>IF(B46="","",IF(G46=0,0,ROUNDUP(G46/Cap_Camion_OCC,0)))</f>
      </c>
      <c r="AG46" s="71">
        <f>IF(B46="","",AF46*L_Dist_OCC)</f>
      </c>
      <c r="AH46" s="71">
        <f>IF(B46="","",IF(ENTRADA!$O46="",AG46,ENTRADA!$O46))</f>
      </c>
      <c r="AI46" s="37">
        <f>IF(B46="","",AH46*INDEX(PRECIOS!$E$6:$E$55,K46))</f>
      </c>
      <c r="AJ46" s="71">
        <f>IF(B46="","",IF(H46=0,0,ROUNDUP(H46/Cap_Camion_CEN,0)))</f>
      </c>
      <c r="AK46" s="71">
        <f>IF(B46="","",AJ46*L_Tras_CEN)</f>
      </c>
      <c r="AL46" s="71">
        <f>IF(B46="","",IF(ENTRADA!$P46="",AK46,ENTRADA!$P46))</f>
      </c>
      <c r="AM46" s="71">
        <f>IF(B46="","",AJ46*L_Dist_CEN)</f>
      </c>
      <c r="AN46" s="71">
        <f>IF(B46="","",IF(ENTRADA!$Q46="",AM46,ENTRADA!$Q46))</f>
      </c>
      <c r="AO46" s="37">
        <f>IF(B46="","",(AL46+AN46)*INDEX(PRECIOS!$E$6:$E$55,K46))</f>
      </c>
      <c r="AP46" s="71">
        <f>IF(B46="","",IF(H46=0,0,ROUNDUP(H46/Rend_Desagrupe_CT,0)))</f>
      </c>
      <c r="AQ46" s="71">
        <f>IF(B46="","",IF(ENTRADA!$R46="",AP46,ENTRADA!$R46))</f>
      </c>
      <c r="AR46" s="37">
        <f>IF(B46="","",AQ46*INDEX(PRECIOS!$I$6:$I$55,K46))</f>
      </c>
      <c r="AS46" s="37">
        <f>IF(B46="","",AO46+AR46)</f>
      </c>
      <c r="AT46" s="71">
        <f>IF(B46="","",IF(I46=0,0,ROUNDUP(I46/Cap_Camion_ORI,0)))</f>
      </c>
      <c r="AU46" s="71">
        <f>IF(B46="","",AT46*L_Tras_ORI)</f>
      </c>
      <c r="AV46" s="71">
        <f>IF(B46="","",IF(ENTRADA!$S46="",AU46,ENTRADA!$S46))</f>
      </c>
      <c r="AW46" s="71">
        <f>IF(B46="","",AT46*L_Dist_ORI)</f>
      </c>
      <c r="AX46" s="71">
        <f>IF(B46="","",IF(ENTRADA!$T46="",AW46,ENTRADA!$T46))</f>
      </c>
      <c r="AY46" s="37">
        <f>IF(B46="","",(AV46+AX46)*INDEX(PRECIOS!$E$6:$E$55,K46))</f>
      </c>
      <c r="AZ46" s="71">
        <f>IF(B46="","",IF(I46=0,0,ROUNDUP(I46/Rend_Desagrupe_CT,0)))</f>
      </c>
      <c r="BA46" s="71">
        <f>IF(B46="","",IF(ENTRADA!$U46="",AZ46,ENTRADA!$U46))</f>
      </c>
      <c r="BB46" s="37">
        <f>IF(B46="","",BA46*INDEX(PRECIOS!$I$6:$I$55,K46))</f>
      </c>
      <c r="BC46" s="37">
        <f>IF(B46="","",AY46+BB46)</f>
      </c>
      <c r="BD46" s="70">
        <f>IF(B46="","",AI46+AS46+BC46)</f>
      </c>
      <c r="BE46" s="37">
        <f>IF(B46="","",IF(Base_Comision="% DEL INGRESO",M46*INDEX(PRECIOS!$L$6:$L$55,K46),G46*INDEX(PRECIOS!$M$6:$M$55,K46)))</f>
      </c>
      <c r="BF46" s="37">
        <f>IF(B46="","",IF(Base_Comision="% DEL INGRESO",N46*INDEX(PRECIOS!$L$6:$L$55,K46),H46*INDEX(PRECIOS!$M$6:$M$55,K46)))</f>
      </c>
      <c r="BG46" s="37">
        <f>IF(B46="","",IF(Base_Comision="% DEL INGRESO",O46*INDEX(PRECIOS!$L$6:$L$55,K46),I46*INDEX(PRECIOS!$M$6:$M$55,K46)))</f>
      </c>
      <c r="BH46" s="70">
        <f>IF(B46="","",BE46+BF46+BG46)</f>
      </c>
      <c r="BI46" s="37">
        <f>IF(B46="","",Q46*Pct_Reclamaciones)</f>
      </c>
      <c r="BJ46" s="37">
        <f>IF(B46="","",Q46*Pct_Banco)</f>
      </c>
      <c r="BK46" s="37">
        <f>IF(B46="","",N(ENTRADA!$V46))</f>
      </c>
      <c r="BL46" s="70">
        <f>IF(B46="","",Y46+AE46+BD46+BH46+BI46+BJ46+BK46)</f>
      </c>
      <c r="BM46" s="70">
        <f>IF(B46="","",Q46-BL46)</f>
      </c>
      <c r="BN46" s="72">
        <f>IF(B46="","",IF(Q46=0,0,BM46/Q46))</f>
      </c>
      <c r="BO46" s="73">
        <f>IF(B46="","",IF(J46=0,0,BM46/J46))</f>
      </c>
      <c r="BP46" s="60">
        <f>IF(B46="","",IFERROR(MATCH(D46,COSTOS_FIJOS!$G$5:$AD$5,0),0))</f>
      </c>
      <c r="BQ46" s="60">
        <f>IF(B46="","",COUNTIFS($D$6:$D$305,D46))</f>
      </c>
      <c r="BR46" s="67">
        <f>IF(B46="","",SUMIFS($J$6:$J$305,$D$6:$D$305,D46))</f>
      </c>
      <c r="BS46" s="72">
        <f>IF(B46="","",IF(Metodo_Prorrateo="KG",IF(BR46=0,0,J46/BR46),1/BQ46))</f>
      </c>
      <c r="BT46" s="37">
        <f>IF(B46="","",IF(BP46=0,0,INDEX(COSTOS_FIJOS!$G$38:$AD$38,BP46))*BS46)</f>
      </c>
      <c r="BU46" s="72">
        <f>IF(B46="","",IF(Metodo_Prorrateo="KG",IF(SUMIFS($G$6:$G$305,$D$6:$D$305,D46)=0,0,G46/SUMIFS($G$6:$G$305,$D$6:$D$305,D46)),IF(G46&gt;0,1/COUNTIFS($D$6:$D$305,D46,$G$6:$G$305,"&gt;0"),0)))</f>
      </c>
      <c r="BV46" s="37">
        <f>IF(B46="","",IF(BP46=0,0,INDEX(COSTOS_FIJOS!$G$39:$AD$39,BP46))*BU46)</f>
      </c>
      <c r="BW46" s="72">
        <f>IF(B46="","",IF(Metodo_Prorrateo="KG",IF(SUMIFS($H$6:$H$305,$D$6:$D$305,D46)=0,0,H46/SUMIFS($H$6:$H$305,$D$6:$D$305,D46)),IF(H46&gt;0,1/COUNTIFS($D$6:$D$305,D46,$H$6:$H$305,"&gt;0"),0)))</f>
      </c>
      <c r="BX46" s="37">
        <f>IF(B46="","",IF(BP46=0,0,INDEX(COSTOS_FIJOS!$G$40:$AD$40,BP46))*BW46)</f>
      </c>
      <c r="BY46" s="72">
        <f>IF(B46="","",IF(Metodo_Prorrateo="KG",IF(SUMIFS($I$6:$I$305,$D$6:$D$305,D46)=0,0,I46/SUMIFS($I$6:$I$305,$D$6:$D$305,D46)),IF(I46&gt;0,1/COUNTIFS($D$6:$D$305,D46,$I$6:$I$305,"&gt;0"),0)))</f>
      </c>
      <c r="BZ46" s="37">
        <f>IF(B46="","",IF(BP46=0,0,INDEX(COSTOS_FIJOS!$G$41:$AD$41,BP46))*BY46)</f>
      </c>
      <c r="CA46" s="70">
        <f>IF(B46="","",BT46+BV46+BX46+BZ46)</f>
      </c>
      <c r="CB46" s="37">
        <f>IF(B46="","",Q46*Imp_Ventas_Serv)</f>
      </c>
      <c r="CC46" s="37">
        <f>IF(B46="","",Q46*Contrib_Territorial)</f>
      </c>
      <c r="CD46" s="70">
        <f>IF(B46="","",BM46-CA46-CB46-CC46)</f>
      </c>
      <c r="CE46" s="37">
        <f>IF(B46="","",MAX(0,CD46)*Imp_Utilidades)</f>
      </c>
      <c r="CF46" s="70">
        <f>IF(B46="","",CD46-CE46)</f>
      </c>
      <c r="CG46" s="72">
        <f>IF(B46="","",IF(Q46=0,0,CF46/Q46))</f>
      </c>
      <c r="CH46" s="73">
        <f>IF(B46="","",IF(J46=0,0,(BL46+CA46+CB46+CC46)/J46))</f>
      </c>
      <c r="CI46" s="73">
        <f>IF(B46="","",IF(J46=0,0,Q46/J46))</f>
      </c>
      <c r="CJ46" s="73">
        <f>IF(B46="","",IF(J46=0,0,CD46/J46))</f>
      </c>
      <c r="CK46" s="37">
        <f>IF(B46="","",Y46+AE46+BK46+BT46)</f>
      </c>
      <c r="CL46" s="37">
        <f>IF(B46="","",IF(J46=0,0,(M46+P46*G46/J46)*(1-Pct_Reclamaciones-Pct_Banco-Imp_Ventas_Serv-Contrib_Territorial)-AI46-BE46-BV46-CK46*G46/J46))</f>
      </c>
      <c r="CM46" s="37">
        <f>IF(B46="","",IF(J46=0,0,(N46+P46*H46/J46)*(1-Pct_Reclamaciones-Pct_Banco-Imp_Ventas_Serv-Contrib_Territorial)-AS46-BF46-BX46-CK46*H46/J46))</f>
      </c>
      <c r="CN46" s="37">
        <f>IF(B46="","",IF(J46=0,0,(O46+P46*I46/J46)*(1-Pct_Reclamaciones-Pct_Banco-Imp_Ventas_Serv-Contrib_Territorial)-BC46-BG46-BZ46-CK46*I46/J46))</f>
      </c>
      <c r="CO46" s="37">
        <f>IF(B46="","",IF(J46=0,0,ROUND(CD46-CL46-CM46-CN46,4)))</f>
      </c>
      <c r="CP46" s="71">
        <f>IF(B46="","",T46+AG46+AK46+AM46+AU46+AW46)</f>
      </c>
      <c r="CQ46" s="71">
        <f>IF(B46="","",U46+AH46+AL46+AN46+AV46+AX46)</f>
      </c>
      <c r="CR46" s="72">
        <f>IF(B46="","",IF(CP46=0,0,CQ46/CP46-1))</f>
      </c>
      <c r="CS46" s="60">
        <f>IF(B46="","",IF(ENTRADA!$Y46="","",ENTRADA!$Y46-C46))</f>
      </c>
      <c r="CT46" s="66">
        <f>IF(B46="","",IF(ENTRADA!$C46="","Falta fecha. ","")&amp;IF(BP46=0,"Mes fuera del rango de COSTOS_FIJOS. ","")&amp;IF(J46=0,"Sin kg. ","")&amp;IF(E46="","Falta transitaria. ","")&amp;IF(AND(T46&gt;0,U46/T46-1&gt;Tolerancia_Comb),"Combustible al puerto "&amp;TEXT(U46/T46-1,"+0%")&amp;" sobre norma. ","")&amp;IF(AND(AG46&gt;0,AH46/AG46-1&gt;Tolerancia_Comb),"Combustible distribución Occidente "&amp;TEXT(AH46/AG46-1,"+0%")&amp;" sobre norma. ","")&amp;IF(AND(AK46&gt;0,AL46/AK46-1&gt;Tolerancia_Comb),"Combustible traslado Centro "&amp;TEXT(AL46/AK46-1,"+0%")&amp;" sobre norma. ","")&amp;IF(AND(AM46&gt;0,AN46/AM46-1&gt;Tolerancia_Comb),"Combustible distribución Centro "&amp;TEXT(AN46/AM46-1,"+0%")&amp;" sobre norma. ","")&amp;IF(AND(AU46&gt;0,AV46/AU46-1&gt;Tolerancia_Comb),"Combustible traslado Oriente "&amp;TEXT(AV46/AU46-1,"+0%")&amp;" sobre norma. ","")&amp;IF(AND(AW46&gt;0,AX46/AW46-1&gt;Tolerancia_Comb),"Combustible distribución Oriente "&amp;TEXT(AX46/AW46-1,"+0%")&amp;" sobre norma. ","")&amp;IF(AND(ENTRADA!$C46&lt;&gt;"",C46&lt;PRECIOS!$A$6),"Fecha anterior a la 1ª vigencia de precios. ","")&amp;IF(CD46&lt;0,"Contenedor con pérdida. ",""))</f>
      </c>
    </row>
    <row r="47">
      <c r="A47" s="60">
        <f>IF(B47="","",ROW()-5)</f>
      </c>
      <c r="B47" s="63">
        <f>IF(ENTRADA!$B47="","",ENTRADA!$B47)</f>
      </c>
      <c r="C47" s="64">
        <f>IF(B47="","",ENTRADA!$C47)</f>
      </c>
      <c r="D47" s="65">
        <f>IF(B47="","",DATE(YEAR(C47),MONTH(C47),1))</f>
      </c>
      <c r="E47" s="66">
        <f>IF(B47="","",ENTRADA!$D47&amp;"")</f>
      </c>
      <c r="F47" s="66">
        <f>IF(B47="","",ENTRADA!$Z47&amp;"")</f>
      </c>
      <c r="G47" s="67">
        <f>IF(B47="","",N(ENTRADA!$G47))</f>
      </c>
      <c r="H47" s="67">
        <f>IF(B47="","",N(ENTRADA!$H47))</f>
      </c>
      <c r="I47" s="67">
        <f>IF(B47="","",N(ENTRADA!$I47))</f>
      </c>
      <c r="J47" s="68">
        <f>IF(B47="","",G47+H47+I47)</f>
      </c>
      <c r="K47" s="60">
        <f>IF(B47="","",IFERROR(MATCH(SUMPRODUCT(MAX((PRECIOS!$A$6:$A$55&lt;=C47)*PRECIOS!$A$6:$A$55)),PRECIOS!$A$6:$A$55,0),1))</f>
      </c>
      <c r="L47" s="69">
        <f>IF(B47="","",INDEX(PRECIOS!$A$6:$A$55,K47))</f>
      </c>
      <c r="M47" s="37">
        <f>IF(B47="","",G47*INDEX(PRECIOS!$B$6:$B$55,K47))</f>
      </c>
      <c r="N47" s="37">
        <f>IF(B47="","",H47*INDEX(PRECIOS!$C$6:$C$55,K47))</f>
      </c>
      <c r="O47" s="37">
        <f>IF(B47="","",I47*INDEX(PRECIOS!$D$6:$D$55,K47))</f>
      </c>
      <c r="P47" s="37">
        <f>IF(B47="","",N(ENTRADA!$X47))</f>
      </c>
      <c r="Q47" s="70">
        <f>IF(B47="","",M47+N47+O47+P47)</f>
      </c>
      <c r="R47" s="71">
        <f>IF(B47="","",IF(ENTRADA!$J47="",Std_Viajes_Puerto,ENTRADA!$J47))</f>
      </c>
      <c r="S47" s="37">
        <f>IF(B47="","",R47*INDEX(PRECIOS!$F$6:$F$55,K47))</f>
      </c>
      <c r="T47" s="71">
        <f>IF(B47="","",R47*Litros_Puerto_Viaje)</f>
      </c>
      <c r="U47" s="71">
        <f>IF(B47="","",IF(ENTRADA!$K47="",T47,ENTRADA!$K47))</f>
      </c>
      <c r="V47" s="37">
        <f>IF(B47="","",U47*INDEX(PRECIOS!$E$6:$E$55,K47))</f>
      </c>
      <c r="W47" s="37">
        <f>IF(B47="","",IF(ENTRADA!$L47="",R47*INDEX(PRECIOS!$G$6:$G$55,K47),ENTRADA!$L47))</f>
      </c>
      <c r="X47" s="37">
        <f>IF(B47="","",R47*Km_Puerto_Viaje*INDEX(PRECIOS!$N$6:$N$55,K47))</f>
      </c>
      <c r="Y47" s="70">
        <f>IF(B47="","",S47+V47+W47+X47)</f>
      </c>
      <c r="Z47" s="71">
        <f>IF(B47="","",IF(J47=0,0,ROUNDUP(J47/Rend_Desagrupe,0)))</f>
      </c>
      <c r="AA47" s="71">
        <f>IF(B47="","",IF(ENTRADA!$M47="",Z47,ENTRADA!$M47))</f>
      </c>
      <c r="AB47" s="37">
        <f>IF(B47="","",AA47*INDEX(PRECIOS!$H$6:$H$55,K47))</f>
      </c>
      <c r="AC47" s="37">
        <f>IF(B47="","",IF(E47="ENCI",INDEX(PRECIOS!$J$6:$J$55,K47),IF(E47="A.V",INDEX(PRECIOS!$K$6:$K$55,K47),0)))</f>
      </c>
      <c r="AD47" s="37">
        <f>IF(B47="","",N(ENTRADA!$N47))</f>
      </c>
      <c r="AE47" s="70">
        <f>IF(B47="","",AB47+AC47+AD47)</f>
      </c>
      <c r="AF47" s="71">
        <f>IF(B47="","",IF(G47=0,0,ROUNDUP(G47/Cap_Camion_OCC,0)))</f>
      </c>
      <c r="AG47" s="71">
        <f>IF(B47="","",AF47*L_Dist_OCC)</f>
      </c>
      <c r="AH47" s="71">
        <f>IF(B47="","",IF(ENTRADA!$O47="",AG47,ENTRADA!$O47))</f>
      </c>
      <c r="AI47" s="37">
        <f>IF(B47="","",AH47*INDEX(PRECIOS!$E$6:$E$55,K47))</f>
      </c>
      <c r="AJ47" s="71">
        <f>IF(B47="","",IF(H47=0,0,ROUNDUP(H47/Cap_Camion_CEN,0)))</f>
      </c>
      <c r="AK47" s="71">
        <f>IF(B47="","",AJ47*L_Tras_CEN)</f>
      </c>
      <c r="AL47" s="71">
        <f>IF(B47="","",IF(ENTRADA!$P47="",AK47,ENTRADA!$P47))</f>
      </c>
      <c r="AM47" s="71">
        <f>IF(B47="","",AJ47*L_Dist_CEN)</f>
      </c>
      <c r="AN47" s="71">
        <f>IF(B47="","",IF(ENTRADA!$Q47="",AM47,ENTRADA!$Q47))</f>
      </c>
      <c r="AO47" s="37">
        <f>IF(B47="","",(AL47+AN47)*INDEX(PRECIOS!$E$6:$E$55,K47))</f>
      </c>
      <c r="AP47" s="71">
        <f>IF(B47="","",IF(H47=0,0,ROUNDUP(H47/Rend_Desagrupe_CT,0)))</f>
      </c>
      <c r="AQ47" s="71">
        <f>IF(B47="","",IF(ENTRADA!$R47="",AP47,ENTRADA!$R47))</f>
      </c>
      <c r="AR47" s="37">
        <f>IF(B47="","",AQ47*INDEX(PRECIOS!$I$6:$I$55,K47))</f>
      </c>
      <c r="AS47" s="37">
        <f>IF(B47="","",AO47+AR47)</f>
      </c>
      <c r="AT47" s="71">
        <f>IF(B47="","",IF(I47=0,0,ROUNDUP(I47/Cap_Camion_ORI,0)))</f>
      </c>
      <c r="AU47" s="71">
        <f>IF(B47="","",AT47*L_Tras_ORI)</f>
      </c>
      <c r="AV47" s="71">
        <f>IF(B47="","",IF(ENTRADA!$S47="",AU47,ENTRADA!$S47))</f>
      </c>
      <c r="AW47" s="71">
        <f>IF(B47="","",AT47*L_Dist_ORI)</f>
      </c>
      <c r="AX47" s="71">
        <f>IF(B47="","",IF(ENTRADA!$T47="",AW47,ENTRADA!$T47))</f>
      </c>
      <c r="AY47" s="37">
        <f>IF(B47="","",(AV47+AX47)*INDEX(PRECIOS!$E$6:$E$55,K47))</f>
      </c>
      <c r="AZ47" s="71">
        <f>IF(B47="","",IF(I47=0,0,ROUNDUP(I47/Rend_Desagrupe_CT,0)))</f>
      </c>
      <c r="BA47" s="71">
        <f>IF(B47="","",IF(ENTRADA!$U47="",AZ47,ENTRADA!$U47))</f>
      </c>
      <c r="BB47" s="37">
        <f>IF(B47="","",BA47*INDEX(PRECIOS!$I$6:$I$55,K47))</f>
      </c>
      <c r="BC47" s="37">
        <f>IF(B47="","",AY47+BB47)</f>
      </c>
      <c r="BD47" s="70">
        <f>IF(B47="","",AI47+AS47+BC47)</f>
      </c>
      <c r="BE47" s="37">
        <f>IF(B47="","",IF(Base_Comision="% DEL INGRESO",M47*INDEX(PRECIOS!$L$6:$L$55,K47),G47*INDEX(PRECIOS!$M$6:$M$55,K47)))</f>
      </c>
      <c r="BF47" s="37">
        <f>IF(B47="","",IF(Base_Comision="% DEL INGRESO",N47*INDEX(PRECIOS!$L$6:$L$55,K47),H47*INDEX(PRECIOS!$M$6:$M$55,K47)))</f>
      </c>
      <c r="BG47" s="37">
        <f>IF(B47="","",IF(Base_Comision="% DEL INGRESO",O47*INDEX(PRECIOS!$L$6:$L$55,K47),I47*INDEX(PRECIOS!$M$6:$M$55,K47)))</f>
      </c>
      <c r="BH47" s="70">
        <f>IF(B47="","",BE47+BF47+BG47)</f>
      </c>
      <c r="BI47" s="37">
        <f>IF(B47="","",Q47*Pct_Reclamaciones)</f>
      </c>
      <c r="BJ47" s="37">
        <f>IF(B47="","",Q47*Pct_Banco)</f>
      </c>
      <c r="BK47" s="37">
        <f>IF(B47="","",N(ENTRADA!$V47))</f>
      </c>
      <c r="BL47" s="70">
        <f>IF(B47="","",Y47+AE47+BD47+BH47+BI47+BJ47+BK47)</f>
      </c>
      <c r="BM47" s="70">
        <f>IF(B47="","",Q47-BL47)</f>
      </c>
      <c r="BN47" s="72">
        <f>IF(B47="","",IF(Q47=0,0,BM47/Q47))</f>
      </c>
      <c r="BO47" s="73">
        <f>IF(B47="","",IF(J47=0,0,BM47/J47))</f>
      </c>
      <c r="BP47" s="60">
        <f>IF(B47="","",IFERROR(MATCH(D47,COSTOS_FIJOS!$G$5:$AD$5,0),0))</f>
      </c>
      <c r="BQ47" s="60">
        <f>IF(B47="","",COUNTIFS($D$6:$D$305,D47))</f>
      </c>
      <c r="BR47" s="67">
        <f>IF(B47="","",SUMIFS($J$6:$J$305,$D$6:$D$305,D47))</f>
      </c>
      <c r="BS47" s="72">
        <f>IF(B47="","",IF(Metodo_Prorrateo="KG",IF(BR47=0,0,J47/BR47),1/BQ47))</f>
      </c>
      <c r="BT47" s="37">
        <f>IF(B47="","",IF(BP47=0,0,INDEX(COSTOS_FIJOS!$G$38:$AD$38,BP47))*BS47)</f>
      </c>
      <c r="BU47" s="72">
        <f>IF(B47="","",IF(Metodo_Prorrateo="KG",IF(SUMIFS($G$6:$G$305,$D$6:$D$305,D47)=0,0,G47/SUMIFS($G$6:$G$305,$D$6:$D$305,D47)),IF(G47&gt;0,1/COUNTIFS($D$6:$D$305,D47,$G$6:$G$305,"&gt;0"),0)))</f>
      </c>
      <c r="BV47" s="37">
        <f>IF(B47="","",IF(BP47=0,0,INDEX(COSTOS_FIJOS!$G$39:$AD$39,BP47))*BU47)</f>
      </c>
      <c r="BW47" s="72">
        <f>IF(B47="","",IF(Metodo_Prorrateo="KG",IF(SUMIFS($H$6:$H$305,$D$6:$D$305,D47)=0,0,H47/SUMIFS($H$6:$H$305,$D$6:$D$305,D47)),IF(H47&gt;0,1/COUNTIFS($D$6:$D$305,D47,$H$6:$H$305,"&gt;0"),0)))</f>
      </c>
      <c r="BX47" s="37">
        <f>IF(B47="","",IF(BP47=0,0,INDEX(COSTOS_FIJOS!$G$40:$AD$40,BP47))*BW47)</f>
      </c>
      <c r="BY47" s="72">
        <f>IF(B47="","",IF(Metodo_Prorrateo="KG",IF(SUMIFS($I$6:$I$305,$D$6:$D$305,D47)=0,0,I47/SUMIFS($I$6:$I$305,$D$6:$D$305,D47)),IF(I47&gt;0,1/COUNTIFS($D$6:$D$305,D47,$I$6:$I$305,"&gt;0"),0)))</f>
      </c>
      <c r="BZ47" s="37">
        <f>IF(B47="","",IF(BP47=0,0,INDEX(COSTOS_FIJOS!$G$41:$AD$41,BP47))*BY47)</f>
      </c>
      <c r="CA47" s="70">
        <f>IF(B47="","",BT47+BV47+BX47+BZ47)</f>
      </c>
      <c r="CB47" s="37">
        <f>IF(B47="","",Q47*Imp_Ventas_Serv)</f>
      </c>
      <c r="CC47" s="37">
        <f>IF(B47="","",Q47*Contrib_Territorial)</f>
      </c>
      <c r="CD47" s="70">
        <f>IF(B47="","",BM47-CA47-CB47-CC47)</f>
      </c>
      <c r="CE47" s="37">
        <f>IF(B47="","",MAX(0,CD47)*Imp_Utilidades)</f>
      </c>
      <c r="CF47" s="70">
        <f>IF(B47="","",CD47-CE47)</f>
      </c>
      <c r="CG47" s="72">
        <f>IF(B47="","",IF(Q47=0,0,CF47/Q47))</f>
      </c>
      <c r="CH47" s="73">
        <f>IF(B47="","",IF(J47=0,0,(BL47+CA47+CB47+CC47)/J47))</f>
      </c>
      <c r="CI47" s="73">
        <f>IF(B47="","",IF(J47=0,0,Q47/J47))</f>
      </c>
      <c r="CJ47" s="73">
        <f>IF(B47="","",IF(J47=0,0,CD47/J47))</f>
      </c>
      <c r="CK47" s="37">
        <f>IF(B47="","",Y47+AE47+BK47+BT47)</f>
      </c>
      <c r="CL47" s="37">
        <f>IF(B47="","",IF(J47=0,0,(M47+P47*G47/J47)*(1-Pct_Reclamaciones-Pct_Banco-Imp_Ventas_Serv-Contrib_Territorial)-AI47-BE47-BV47-CK47*G47/J47))</f>
      </c>
      <c r="CM47" s="37">
        <f>IF(B47="","",IF(J47=0,0,(N47+P47*H47/J47)*(1-Pct_Reclamaciones-Pct_Banco-Imp_Ventas_Serv-Contrib_Territorial)-AS47-BF47-BX47-CK47*H47/J47))</f>
      </c>
      <c r="CN47" s="37">
        <f>IF(B47="","",IF(J47=0,0,(O47+P47*I47/J47)*(1-Pct_Reclamaciones-Pct_Banco-Imp_Ventas_Serv-Contrib_Territorial)-BC47-BG47-BZ47-CK47*I47/J47))</f>
      </c>
      <c r="CO47" s="37">
        <f>IF(B47="","",IF(J47=0,0,ROUND(CD47-CL47-CM47-CN47,4)))</f>
      </c>
      <c r="CP47" s="71">
        <f>IF(B47="","",T47+AG47+AK47+AM47+AU47+AW47)</f>
      </c>
      <c r="CQ47" s="71">
        <f>IF(B47="","",U47+AH47+AL47+AN47+AV47+AX47)</f>
      </c>
      <c r="CR47" s="72">
        <f>IF(B47="","",IF(CP47=0,0,CQ47/CP47-1))</f>
      </c>
      <c r="CS47" s="60">
        <f>IF(B47="","",IF(ENTRADA!$Y47="","",ENTRADA!$Y47-C47))</f>
      </c>
      <c r="CT47" s="66">
        <f>IF(B47="","",IF(ENTRADA!$C47="","Falta fecha. ","")&amp;IF(BP47=0,"Mes fuera del rango de COSTOS_FIJOS. ","")&amp;IF(J47=0,"Sin kg. ","")&amp;IF(E47="","Falta transitaria. ","")&amp;IF(AND(T47&gt;0,U47/T47-1&gt;Tolerancia_Comb),"Combustible al puerto "&amp;TEXT(U47/T47-1,"+0%")&amp;" sobre norma. ","")&amp;IF(AND(AG47&gt;0,AH47/AG47-1&gt;Tolerancia_Comb),"Combustible distribución Occidente "&amp;TEXT(AH47/AG47-1,"+0%")&amp;" sobre norma. ","")&amp;IF(AND(AK47&gt;0,AL47/AK47-1&gt;Tolerancia_Comb),"Combustible traslado Centro "&amp;TEXT(AL47/AK47-1,"+0%")&amp;" sobre norma. ","")&amp;IF(AND(AM47&gt;0,AN47/AM47-1&gt;Tolerancia_Comb),"Combustible distribución Centro "&amp;TEXT(AN47/AM47-1,"+0%")&amp;" sobre norma. ","")&amp;IF(AND(AU47&gt;0,AV47/AU47-1&gt;Tolerancia_Comb),"Combustible traslado Oriente "&amp;TEXT(AV47/AU47-1,"+0%")&amp;" sobre norma. ","")&amp;IF(AND(AW47&gt;0,AX47/AW47-1&gt;Tolerancia_Comb),"Combustible distribución Oriente "&amp;TEXT(AX47/AW47-1,"+0%")&amp;" sobre norma. ","")&amp;IF(AND(ENTRADA!$C47&lt;&gt;"",C47&lt;PRECIOS!$A$6),"Fecha anterior a la 1ª vigencia de precios. ","")&amp;IF(CD47&lt;0,"Contenedor con pérdida. ",""))</f>
      </c>
    </row>
    <row r="48">
      <c r="A48" s="60">
        <f>IF(B48="","",ROW()-5)</f>
      </c>
      <c r="B48" s="63">
        <f>IF(ENTRADA!$B48="","",ENTRADA!$B48)</f>
      </c>
      <c r="C48" s="64">
        <f>IF(B48="","",ENTRADA!$C48)</f>
      </c>
      <c r="D48" s="65">
        <f>IF(B48="","",DATE(YEAR(C48),MONTH(C48),1))</f>
      </c>
      <c r="E48" s="66">
        <f>IF(B48="","",ENTRADA!$D48&amp;"")</f>
      </c>
      <c r="F48" s="66">
        <f>IF(B48="","",ENTRADA!$Z48&amp;"")</f>
      </c>
      <c r="G48" s="67">
        <f>IF(B48="","",N(ENTRADA!$G48))</f>
      </c>
      <c r="H48" s="67">
        <f>IF(B48="","",N(ENTRADA!$H48))</f>
      </c>
      <c r="I48" s="67">
        <f>IF(B48="","",N(ENTRADA!$I48))</f>
      </c>
      <c r="J48" s="68">
        <f>IF(B48="","",G48+H48+I48)</f>
      </c>
      <c r="K48" s="60">
        <f>IF(B48="","",IFERROR(MATCH(SUMPRODUCT(MAX((PRECIOS!$A$6:$A$55&lt;=C48)*PRECIOS!$A$6:$A$55)),PRECIOS!$A$6:$A$55,0),1))</f>
      </c>
      <c r="L48" s="69">
        <f>IF(B48="","",INDEX(PRECIOS!$A$6:$A$55,K48))</f>
      </c>
      <c r="M48" s="37">
        <f>IF(B48="","",G48*INDEX(PRECIOS!$B$6:$B$55,K48))</f>
      </c>
      <c r="N48" s="37">
        <f>IF(B48="","",H48*INDEX(PRECIOS!$C$6:$C$55,K48))</f>
      </c>
      <c r="O48" s="37">
        <f>IF(B48="","",I48*INDEX(PRECIOS!$D$6:$D$55,K48))</f>
      </c>
      <c r="P48" s="37">
        <f>IF(B48="","",N(ENTRADA!$X48))</f>
      </c>
      <c r="Q48" s="70">
        <f>IF(B48="","",M48+N48+O48+P48)</f>
      </c>
      <c r="R48" s="71">
        <f>IF(B48="","",IF(ENTRADA!$J48="",Std_Viajes_Puerto,ENTRADA!$J48))</f>
      </c>
      <c r="S48" s="37">
        <f>IF(B48="","",R48*INDEX(PRECIOS!$F$6:$F$55,K48))</f>
      </c>
      <c r="T48" s="71">
        <f>IF(B48="","",R48*Litros_Puerto_Viaje)</f>
      </c>
      <c r="U48" s="71">
        <f>IF(B48="","",IF(ENTRADA!$K48="",T48,ENTRADA!$K48))</f>
      </c>
      <c r="V48" s="37">
        <f>IF(B48="","",U48*INDEX(PRECIOS!$E$6:$E$55,K48))</f>
      </c>
      <c r="W48" s="37">
        <f>IF(B48="","",IF(ENTRADA!$L48="",R48*INDEX(PRECIOS!$G$6:$G$55,K48),ENTRADA!$L48))</f>
      </c>
      <c r="X48" s="37">
        <f>IF(B48="","",R48*Km_Puerto_Viaje*INDEX(PRECIOS!$N$6:$N$55,K48))</f>
      </c>
      <c r="Y48" s="70">
        <f>IF(B48="","",S48+V48+W48+X48)</f>
      </c>
      <c r="Z48" s="71">
        <f>IF(B48="","",IF(J48=0,0,ROUNDUP(J48/Rend_Desagrupe,0)))</f>
      </c>
      <c r="AA48" s="71">
        <f>IF(B48="","",IF(ENTRADA!$M48="",Z48,ENTRADA!$M48))</f>
      </c>
      <c r="AB48" s="37">
        <f>IF(B48="","",AA48*INDEX(PRECIOS!$H$6:$H$55,K48))</f>
      </c>
      <c r="AC48" s="37">
        <f>IF(B48="","",IF(E48="ENCI",INDEX(PRECIOS!$J$6:$J$55,K48),IF(E48="A.V",INDEX(PRECIOS!$K$6:$K$55,K48),0)))</f>
      </c>
      <c r="AD48" s="37">
        <f>IF(B48="","",N(ENTRADA!$N48))</f>
      </c>
      <c r="AE48" s="70">
        <f>IF(B48="","",AB48+AC48+AD48)</f>
      </c>
      <c r="AF48" s="71">
        <f>IF(B48="","",IF(G48=0,0,ROUNDUP(G48/Cap_Camion_OCC,0)))</f>
      </c>
      <c r="AG48" s="71">
        <f>IF(B48="","",AF48*L_Dist_OCC)</f>
      </c>
      <c r="AH48" s="71">
        <f>IF(B48="","",IF(ENTRADA!$O48="",AG48,ENTRADA!$O48))</f>
      </c>
      <c r="AI48" s="37">
        <f>IF(B48="","",AH48*INDEX(PRECIOS!$E$6:$E$55,K48))</f>
      </c>
      <c r="AJ48" s="71">
        <f>IF(B48="","",IF(H48=0,0,ROUNDUP(H48/Cap_Camion_CEN,0)))</f>
      </c>
      <c r="AK48" s="71">
        <f>IF(B48="","",AJ48*L_Tras_CEN)</f>
      </c>
      <c r="AL48" s="71">
        <f>IF(B48="","",IF(ENTRADA!$P48="",AK48,ENTRADA!$P48))</f>
      </c>
      <c r="AM48" s="71">
        <f>IF(B48="","",AJ48*L_Dist_CEN)</f>
      </c>
      <c r="AN48" s="71">
        <f>IF(B48="","",IF(ENTRADA!$Q48="",AM48,ENTRADA!$Q48))</f>
      </c>
      <c r="AO48" s="37">
        <f>IF(B48="","",(AL48+AN48)*INDEX(PRECIOS!$E$6:$E$55,K48))</f>
      </c>
      <c r="AP48" s="71">
        <f>IF(B48="","",IF(H48=0,0,ROUNDUP(H48/Rend_Desagrupe_CT,0)))</f>
      </c>
      <c r="AQ48" s="71">
        <f>IF(B48="","",IF(ENTRADA!$R48="",AP48,ENTRADA!$R48))</f>
      </c>
      <c r="AR48" s="37">
        <f>IF(B48="","",AQ48*INDEX(PRECIOS!$I$6:$I$55,K48))</f>
      </c>
      <c r="AS48" s="37">
        <f>IF(B48="","",AO48+AR48)</f>
      </c>
      <c r="AT48" s="71">
        <f>IF(B48="","",IF(I48=0,0,ROUNDUP(I48/Cap_Camion_ORI,0)))</f>
      </c>
      <c r="AU48" s="71">
        <f>IF(B48="","",AT48*L_Tras_ORI)</f>
      </c>
      <c r="AV48" s="71">
        <f>IF(B48="","",IF(ENTRADA!$S48="",AU48,ENTRADA!$S48))</f>
      </c>
      <c r="AW48" s="71">
        <f>IF(B48="","",AT48*L_Dist_ORI)</f>
      </c>
      <c r="AX48" s="71">
        <f>IF(B48="","",IF(ENTRADA!$T48="",AW48,ENTRADA!$T48))</f>
      </c>
      <c r="AY48" s="37">
        <f>IF(B48="","",(AV48+AX48)*INDEX(PRECIOS!$E$6:$E$55,K48))</f>
      </c>
      <c r="AZ48" s="71">
        <f>IF(B48="","",IF(I48=0,0,ROUNDUP(I48/Rend_Desagrupe_CT,0)))</f>
      </c>
      <c r="BA48" s="71">
        <f>IF(B48="","",IF(ENTRADA!$U48="",AZ48,ENTRADA!$U48))</f>
      </c>
      <c r="BB48" s="37">
        <f>IF(B48="","",BA48*INDEX(PRECIOS!$I$6:$I$55,K48))</f>
      </c>
      <c r="BC48" s="37">
        <f>IF(B48="","",AY48+BB48)</f>
      </c>
      <c r="BD48" s="70">
        <f>IF(B48="","",AI48+AS48+BC48)</f>
      </c>
      <c r="BE48" s="37">
        <f>IF(B48="","",IF(Base_Comision="% DEL INGRESO",M48*INDEX(PRECIOS!$L$6:$L$55,K48),G48*INDEX(PRECIOS!$M$6:$M$55,K48)))</f>
      </c>
      <c r="BF48" s="37">
        <f>IF(B48="","",IF(Base_Comision="% DEL INGRESO",N48*INDEX(PRECIOS!$L$6:$L$55,K48),H48*INDEX(PRECIOS!$M$6:$M$55,K48)))</f>
      </c>
      <c r="BG48" s="37">
        <f>IF(B48="","",IF(Base_Comision="% DEL INGRESO",O48*INDEX(PRECIOS!$L$6:$L$55,K48),I48*INDEX(PRECIOS!$M$6:$M$55,K48)))</f>
      </c>
      <c r="BH48" s="70">
        <f>IF(B48="","",BE48+BF48+BG48)</f>
      </c>
      <c r="BI48" s="37">
        <f>IF(B48="","",Q48*Pct_Reclamaciones)</f>
      </c>
      <c r="BJ48" s="37">
        <f>IF(B48="","",Q48*Pct_Banco)</f>
      </c>
      <c r="BK48" s="37">
        <f>IF(B48="","",N(ENTRADA!$V48))</f>
      </c>
      <c r="BL48" s="70">
        <f>IF(B48="","",Y48+AE48+BD48+BH48+BI48+BJ48+BK48)</f>
      </c>
      <c r="BM48" s="70">
        <f>IF(B48="","",Q48-BL48)</f>
      </c>
      <c r="BN48" s="72">
        <f>IF(B48="","",IF(Q48=0,0,BM48/Q48))</f>
      </c>
      <c r="BO48" s="73">
        <f>IF(B48="","",IF(J48=0,0,BM48/J48))</f>
      </c>
      <c r="BP48" s="60">
        <f>IF(B48="","",IFERROR(MATCH(D48,COSTOS_FIJOS!$G$5:$AD$5,0),0))</f>
      </c>
      <c r="BQ48" s="60">
        <f>IF(B48="","",COUNTIFS($D$6:$D$305,D48))</f>
      </c>
      <c r="BR48" s="67">
        <f>IF(B48="","",SUMIFS($J$6:$J$305,$D$6:$D$305,D48))</f>
      </c>
      <c r="BS48" s="72">
        <f>IF(B48="","",IF(Metodo_Prorrateo="KG",IF(BR48=0,0,J48/BR48),1/BQ48))</f>
      </c>
      <c r="BT48" s="37">
        <f>IF(B48="","",IF(BP48=0,0,INDEX(COSTOS_FIJOS!$G$38:$AD$38,BP48))*BS48)</f>
      </c>
      <c r="BU48" s="72">
        <f>IF(B48="","",IF(Metodo_Prorrateo="KG",IF(SUMIFS($G$6:$G$305,$D$6:$D$305,D48)=0,0,G48/SUMIFS($G$6:$G$305,$D$6:$D$305,D48)),IF(G48&gt;0,1/COUNTIFS($D$6:$D$305,D48,$G$6:$G$305,"&gt;0"),0)))</f>
      </c>
      <c r="BV48" s="37">
        <f>IF(B48="","",IF(BP48=0,0,INDEX(COSTOS_FIJOS!$G$39:$AD$39,BP48))*BU48)</f>
      </c>
      <c r="BW48" s="72">
        <f>IF(B48="","",IF(Metodo_Prorrateo="KG",IF(SUMIFS($H$6:$H$305,$D$6:$D$305,D48)=0,0,H48/SUMIFS($H$6:$H$305,$D$6:$D$305,D48)),IF(H48&gt;0,1/COUNTIFS($D$6:$D$305,D48,$H$6:$H$305,"&gt;0"),0)))</f>
      </c>
      <c r="BX48" s="37">
        <f>IF(B48="","",IF(BP48=0,0,INDEX(COSTOS_FIJOS!$G$40:$AD$40,BP48))*BW48)</f>
      </c>
      <c r="BY48" s="72">
        <f>IF(B48="","",IF(Metodo_Prorrateo="KG",IF(SUMIFS($I$6:$I$305,$D$6:$D$305,D48)=0,0,I48/SUMIFS($I$6:$I$305,$D$6:$D$305,D48)),IF(I48&gt;0,1/COUNTIFS($D$6:$D$305,D48,$I$6:$I$305,"&gt;0"),0)))</f>
      </c>
      <c r="BZ48" s="37">
        <f>IF(B48="","",IF(BP48=0,0,INDEX(COSTOS_FIJOS!$G$41:$AD$41,BP48))*BY48)</f>
      </c>
      <c r="CA48" s="70">
        <f>IF(B48="","",BT48+BV48+BX48+BZ48)</f>
      </c>
      <c r="CB48" s="37">
        <f>IF(B48="","",Q48*Imp_Ventas_Serv)</f>
      </c>
      <c r="CC48" s="37">
        <f>IF(B48="","",Q48*Contrib_Territorial)</f>
      </c>
      <c r="CD48" s="70">
        <f>IF(B48="","",BM48-CA48-CB48-CC48)</f>
      </c>
      <c r="CE48" s="37">
        <f>IF(B48="","",MAX(0,CD48)*Imp_Utilidades)</f>
      </c>
      <c r="CF48" s="70">
        <f>IF(B48="","",CD48-CE48)</f>
      </c>
      <c r="CG48" s="72">
        <f>IF(B48="","",IF(Q48=0,0,CF48/Q48))</f>
      </c>
      <c r="CH48" s="73">
        <f>IF(B48="","",IF(J48=0,0,(BL48+CA48+CB48+CC48)/J48))</f>
      </c>
      <c r="CI48" s="73">
        <f>IF(B48="","",IF(J48=0,0,Q48/J48))</f>
      </c>
      <c r="CJ48" s="73">
        <f>IF(B48="","",IF(J48=0,0,CD48/J48))</f>
      </c>
      <c r="CK48" s="37">
        <f>IF(B48="","",Y48+AE48+BK48+BT48)</f>
      </c>
      <c r="CL48" s="37">
        <f>IF(B48="","",IF(J48=0,0,(M48+P48*G48/J48)*(1-Pct_Reclamaciones-Pct_Banco-Imp_Ventas_Serv-Contrib_Territorial)-AI48-BE48-BV48-CK48*G48/J48))</f>
      </c>
      <c r="CM48" s="37">
        <f>IF(B48="","",IF(J48=0,0,(N48+P48*H48/J48)*(1-Pct_Reclamaciones-Pct_Banco-Imp_Ventas_Serv-Contrib_Territorial)-AS48-BF48-BX48-CK48*H48/J48))</f>
      </c>
      <c r="CN48" s="37">
        <f>IF(B48="","",IF(J48=0,0,(O48+P48*I48/J48)*(1-Pct_Reclamaciones-Pct_Banco-Imp_Ventas_Serv-Contrib_Territorial)-BC48-BG48-BZ48-CK48*I48/J48))</f>
      </c>
      <c r="CO48" s="37">
        <f>IF(B48="","",IF(J48=0,0,ROUND(CD48-CL48-CM48-CN48,4)))</f>
      </c>
      <c r="CP48" s="71">
        <f>IF(B48="","",T48+AG48+AK48+AM48+AU48+AW48)</f>
      </c>
      <c r="CQ48" s="71">
        <f>IF(B48="","",U48+AH48+AL48+AN48+AV48+AX48)</f>
      </c>
      <c r="CR48" s="72">
        <f>IF(B48="","",IF(CP48=0,0,CQ48/CP48-1))</f>
      </c>
      <c r="CS48" s="60">
        <f>IF(B48="","",IF(ENTRADA!$Y48="","",ENTRADA!$Y48-C48))</f>
      </c>
      <c r="CT48" s="66">
        <f>IF(B48="","",IF(ENTRADA!$C48="","Falta fecha. ","")&amp;IF(BP48=0,"Mes fuera del rango de COSTOS_FIJOS. ","")&amp;IF(J48=0,"Sin kg. ","")&amp;IF(E48="","Falta transitaria. ","")&amp;IF(AND(T48&gt;0,U48/T48-1&gt;Tolerancia_Comb),"Combustible al puerto "&amp;TEXT(U48/T48-1,"+0%")&amp;" sobre norma. ","")&amp;IF(AND(AG48&gt;0,AH48/AG48-1&gt;Tolerancia_Comb),"Combustible distribución Occidente "&amp;TEXT(AH48/AG48-1,"+0%")&amp;" sobre norma. ","")&amp;IF(AND(AK48&gt;0,AL48/AK48-1&gt;Tolerancia_Comb),"Combustible traslado Centro "&amp;TEXT(AL48/AK48-1,"+0%")&amp;" sobre norma. ","")&amp;IF(AND(AM48&gt;0,AN48/AM48-1&gt;Tolerancia_Comb),"Combustible distribución Centro "&amp;TEXT(AN48/AM48-1,"+0%")&amp;" sobre norma. ","")&amp;IF(AND(AU48&gt;0,AV48/AU48-1&gt;Tolerancia_Comb),"Combustible traslado Oriente "&amp;TEXT(AV48/AU48-1,"+0%")&amp;" sobre norma. ","")&amp;IF(AND(AW48&gt;0,AX48/AW48-1&gt;Tolerancia_Comb),"Combustible distribución Oriente "&amp;TEXT(AX48/AW48-1,"+0%")&amp;" sobre norma. ","")&amp;IF(AND(ENTRADA!$C48&lt;&gt;"",C48&lt;PRECIOS!$A$6),"Fecha anterior a la 1ª vigencia de precios. ","")&amp;IF(CD48&lt;0,"Contenedor con pérdida. ",""))</f>
      </c>
    </row>
    <row r="49">
      <c r="A49" s="60">
        <f>IF(B49="","",ROW()-5)</f>
      </c>
      <c r="B49" s="63">
        <f>IF(ENTRADA!$B49="","",ENTRADA!$B49)</f>
      </c>
      <c r="C49" s="64">
        <f>IF(B49="","",ENTRADA!$C49)</f>
      </c>
      <c r="D49" s="65">
        <f>IF(B49="","",DATE(YEAR(C49),MONTH(C49),1))</f>
      </c>
      <c r="E49" s="66">
        <f>IF(B49="","",ENTRADA!$D49&amp;"")</f>
      </c>
      <c r="F49" s="66">
        <f>IF(B49="","",ENTRADA!$Z49&amp;"")</f>
      </c>
      <c r="G49" s="67">
        <f>IF(B49="","",N(ENTRADA!$G49))</f>
      </c>
      <c r="H49" s="67">
        <f>IF(B49="","",N(ENTRADA!$H49))</f>
      </c>
      <c r="I49" s="67">
        <f>IF(B49="","",N(ENTRADA!$I49))</f>
      </c>
      <c r="J49" s="68">
        <f>IF(B49="","",G49+H49+I49)</f>
      </c>
      <c r="K49" s="60">
        <f>IF(B49="","",IFERROR(MATCH(SUMPRODUCT(MAX((PRECIOS!$A$6:$A$55&lt;=C49)*PRECIOS!$A$6:$A$55)),PRECIOS!$A$6:$A$55,0),1))</f>
      </c>
      <c r="L49" s="69">
        <f>IF(B49="","",INDEX(PRECIOS!$A$6:$A$55,K49))</f>
      </c>
      <c r="M49" s="37">
        <f>IF(B49="","",G49*INDEX(PRECIOS!$B$6:$B$55,K49))</f>
      </c>
      <c r="N49" s="37">
        <f>IF(B49="","",H49*INDEX(PRECIOS!$C$6:$C$55,K49))</f>
      </c>
      <c r="O49" s="37">
        <f>IF(B49="","",I49*INDEX(PRECIOS!$D$6:$D$55,K49))</f>
      </c>
      <c r="P49" s="37">
        <f>IF(B49="","",N(ENTRADA!$X49))</f>
      </c>
      <c r="Q49" s="70">
        <f>IF(B49="","",M49+N49+O49+P49)</f>
      </c>
      <c r="R49" s="71">
        <f>IF(B49="","",IF(ENTRADA!$J49="",Std_Viajes_Puerto,ENTRADA!$J49))</f>
      </c>
      <c r="S49" s="37">
        <f>IF(B49="","",R49*INDEX(PRECIOS!$F$6:$F$55,K49))</f>
      </c>
      <c r="T49" s="71">
        <f>IF(B49="","",R49*Litros_Puerto_Viaje)</f>
      </c>
      <c r="U49" s="71">
        <f>IF(B49="","",IF(ENTRADA!$K49="",T49,ENTRADA!$K49))</f>
      </c>
      <c r="V49" s="37">
        <f>IF(B49="","",U49*INDEX(PRECIOS!$E$6:$E$55,K49))</f>
      </c>
      <c r="W49" s="37">
        <f>IF(B49="","",IF(ENTRADA!$L49="",R49*INDEX(PRECIOS!$G$6:$G$55,K49),ENTRADA!$L49))</f>
      </c>
      <c r="X49" s="37">
        <f>IF(B49="","",R49*Km_Puerto_Viaje*INDEX(PRECIOS!$N$6:$N$55,K49))</f>
      </c>
      <c r="Y49" s="70">
        <f>IF(B49="","",S49+V49+W49+X49)</f>
      </c>
      <c r="Z49" s="71">
        <f>IF(B49="","",IF(J49=0,0,ROUNDUP(J49/Rend_Desagrupe,0)))</f>
      </c>
      <c r="AA49" s="71">
        <f>IF(B49="","",IF(ENTRADA!$M49="",Z49,ENTRADA!$M49))</f>
      </c>
      <c r="AB49" s="37">
        <f>IF(B49="","",AA49*INDEX(PRECIOS!$H$6:$H$55,K49))</f>
      </c>
      <c r="AC49" s="37">
        <f>IF(B49="","",IF(E49="ENCI",INDEX(PRECIOS!$J$6:$J$55,K49),IF(E49="A.V",INDEX(PRECIOS!$K$6:$K$55,K49),0)))</f>
      </c>
      <c r="AD49" s="37">
        <f>IF(B49="","",N(ENTRADA!$N49))</f>
      </c>
      <c r="AE49" s="70">
        <f>IF(B49="","",AB49+AC49+AD49)</f>
      </c>
      <c r="AF49" s="71">
        <f>IF(B49="","",IF(G49=0,0,ROUNDUP(G49/Cap_Camion_OCC,0)))</f>
      </c>
      <c r="AG49" s="71">
        <f>IF(B49="","",AF49*L_Dist_OCC)</f>
      </c>
      <c r="AH49" s="71">
        <f>IF(B49="","",IF(ENTRADA!$O49="",AG49,ENTRADA!$O49))</f>
      </c>
      <c r="AI49" s="37">
        <f>IF(B49="","",AH49*INDEX(PRECIOS!$E$6:$E$55,K49))</f>
      </c>
      <c r="AJ49" s="71">
        <f>IF(B49="","",IF(H49=0,0,ROUNDUP(H49/Cap_Camion_CEN,0)))</f>
      </c>
      <c r="AK49" s="71">
        <f>IF(B49="","",AJ49*L_Tras_CEN)</f>
      </c>
      <c r="AL49" s="71">
        <f>IF(B49="","",IF(ENTRADA!$P49="",AK49,ENTRADA!$P49))</f>
      </c>
      <c r="AM49" s="71">
        <f>IF(B49="","",AJ49*L_Dist_CEN)</f>
      </c>
      <c r="AN49" s="71">
        <f>IF(B49="","",IF(ENTRADA!$Q49="",AM49,ENTRADA!$Q49))</f>
      </c>
      <c r="AO49" s="37">
        <f>IF(B49="","",(AL49+AN49)*INDEX(PRECIOS!$E$6:$E$55,K49))</f>
      </c>
      <c r="AP49" s="71">
        <f>IF(B49="","",IF(H49=0,0,ROUNDUP(H49/Rend_Desagrupe_CT,0)))</f>
      </c>
      <c r="AQ49" s="71">
        <f>IF(B49="","",IF(ENTRADA!$R49="",AP49,ENTRADA!$R49))</f>
      </c>
      <c r="AR49" s="37">
        <f>IF(B49="","",AQ49*INDEX(PRECIOS!$I$6:$I$55,K49))</f>
      </c>
      <c r="AS49" s="37">
        <f>IF(B49="","",AO49+AR49)</f>
      </c>
      <c r="AT49" s="71">
        <f>IF(B49="","",IF(I49=0,0,ROUNDUP(I49/Cap_Camion_ORI,0)))</f>
      </c>
      <c r="AU49" s="71">
        <f>IF(B49="","",AT49*L_Tras_ORI)</f>
      </c>
      <c r="AV49" s="71">
        <f>IF(B49="","",IF(ENTRADA!$S49="",AU49,ENTRADA!$S49))</f>
      </c>
      <c r="AW49" s="71">
        <f>IF(B49="","",AT49*L_Dist_ORI)</f>
      </c>
      <c r="AX49" s="71">
        <f>IF(B49="","",IF(ENTRADA!$T49="",AW49,ENTRADA!$T49))</f>
      </c>
      <c r="AY49" s="37">
        <f>IF(B49="","",(AV49+AX49)*INDEX(PRECIOS!$E$6:$E$55,K49))</f>
      </c>
      <c r="AZ49" s="71">
        <f>IF(B49="","",IF(I49=0,0,ROUNDUP(I49/Rend_Desagrupe_CT,0)))</f>
      </c>
      <c r="BA49" s="71">
        <f>IF(B49="","",IF(ENTRADA!$U49="",AZ49,ENTRADA!$U49))</f>
      </c>
      <c r="BB49" s="37">
        <f>IF(B49="","",BA49*INDEX(PRECIOS!$I$6:$I$55,K49))</f>
      </c>
      <c r="BC49" s="37">
        <f>IF(B49="","",AY49+BB49)</f>
      </c>
      <c r="BD49" s="70">
        <f>IF(B49="","",AI49+AS49+BC49)</f>
      </c>
      <c r="BE49" s="37">
        <f>IF(B49="","",IF(Base_Comision="% DEL INGRESO",M49*INDEX(PRECIOS!$L$6:$L$55,K49),G49*INDEX(PRECIOS!$M$6:$M$55,K49)))</f>
      </c>
      <c r="BF49" s="37">
        <f>IF(B49="","",IF(Base_Comision="% DEL INGRESO",N49*INDEX(PRECIOS!$L$6:$L$55,K49),H49*INDEX(PRECIOS!$M$6:$M$55,K49)))</f>
      </c>
      <c r="BG49" s="37">
        <f>IF(B49="","",IF(Base_Comision="% DEL INGRESO",O49*INDEX(PRECIOS!$L$6:$L$55,K49),I49*INDEX(PRECIOS!$M$6:$M$55,K49)))</f>
      </c>
      <c r="BH49" s="70">
        <f>IF(B49="","",BE49+BF49+BG49)</f>
      </c>
      <c r="BI49" s="37">
        <f>IF(B49="","",Q49*Pct_Reclamaciones)</f>
      </c>
      <c r="BJ49" s="37">
        <f>IF(B49="","",Q49*Pct_Banco)</f>
      </c>
      <c r="BK49" s="37">
        <f>IF(B49="","",N(ENTRADA!$V49))</f>
      </c>
      <c r="BL49" s="70">
        <f>IF(B49="","",Y49+AE49+BD49+BH49+BI49+BJ49+BK49)</f>
      </c>
      <c r="BM49" s="70">
        <f>IF(B49="","",Q49-BL49)</f>
      </c>
      <c r="BN49" s="72">
        <f>IF(B49="","",IF(Q49=0,0,BM49/Q49))</f>
      </c>
      <c r="BO49" s="73">
        <f>IF(B49="","",IF(J49=0,0,BM49/J49))</f>
      </c>
      <c r="BP49" s="60">
        <f>IF(B49="","",IFERROR(MATCH(D49,COSTOS_FIJOS!$G$5:$AD$5,0),0))</f>
      </c>
      <c r="BQ49" s="60">
        <f>IF(B49="","",COUNTIFS($D$6:$D$305,D49))</f>
      </c>
      <c r="BR49" s="67">
        <f>IF(B49="","",SUMIFS($J$6:$J$305,$D$6:$D$305,D49))</f>
      </c>
      <c r="BS49" s="72">
        <f>IF(B49="","",IF(Metodo_Prorrateo="KG",IF(BR49=0,0,J49/BR49),1/BQ49))</f>
      </c>
      <c r="BT49" s="37">
        <f>IF(B49="","",IF(BP49=0,0,INDEX(COSTOS_FIJOS!$G$38:$AD$38,BP49))*BS49)</f>
      </c>
      <c r="BU49" s="72">
        <f>IF(B49="","",IF(Metodo_Prorrateo="KG",IF(SUMIFS($G$6:$G$305,$D$6:$D$305,D49)=0,0,G49/SUMIFS($G$6:$G$305,$D$6:$D$305,D49)),IF(G49&gt;0,1/COUNTIFS($D$6:$D$305,D49,$G$6:$G$305,"&gt;0"),0)))</f>
      </c>
      <c r="BV49" s="37">
        <f>IF(B49="","",IF(BP49=0,0,INDEX(COSTOS_FIJOS!$G$39:$AD$39,BP49))*BU49)</f>
      </c>
      <c r="BW49" s="72">
        <f>IF(B49="","",IF(Metodo_Prorrateo="KG",IF(SUMIFS($H$6:$H$305,$D$6:$D$305,D49)=0,0,H49/SUMIFS($H$6:$H$305,$D$6:$D$305,D49)),IF(H49&gt;0,1/COUNTIFS($D$6:$D$305,D49,$H$6:$H$305,"&gt;0"),0)))</f>
      </c>
      <c r="BX49" s="37">
        <f>IF(B49="","",IF(BP49=0,0,INDEX(COSTOS_FIJOS!$G$40:$AD$40,BP49))*BW49)</f>
      </c>
      <c r="BY49" s="72">
        <f>IF(B49="","",IF(Metodo_Prorrateo="KG",IF(SUMIFS($I$6:$I$305,$D$6:$D$305,D49)=0,0,I49/SUMIFS($I$6:$I$305,$D$6:$D$305,D49)),IF(I49&gt;0,1/COUNTIFS($D$6:$D$305,D49,$I$6:$I$305,"&gt;0"),0)))</f>
      </c>
      <c r="BZ49" s="37">
        <f>IF(B49="","",IF(BP49=0,0,INDEX(COSTOS_FIJOS!$G$41:$AD$41,BP49))*BY49)</f>
      </c>
      <c r="CA49" s="70">
        <f>IF(B49="","",BT49+BV49+BX49+BZ49)</f>
      </c>
      <c r="CB49" s="37">
        <f>IF(B49="","",Q49*Imp_Ventas_Serv)</f>
      </c>
      <c r="CC49" s="37">
        <f>IF(B49="","",Q49*Contrib_Territorial)</f>
      </c>
      <c r="CD49" s="70">
        <f>IF(B49="","",BM49-CA49-CB49-CC49)</f>
      </c>
      <c r="CE49" s="37">
        <f>IF(B49="","",MAX(0,CD49)*Imp_Utilidades)</f>
      </c>
      <c r="CF49" s="70">
        <f>IF(B49="","",CD49-CE49)</f>
      </c>
      <c r="CG49" s="72">
        <f>IF(B49="","",IF(Q49=0,0,CF49/Q49))</f>
      </c>
      <c r="CH49" s="73">
        <f>IF(B49="","",IF(J49=0,0,(BL49+CA49+CB49+CC49)/J49))</f>
      </c>
      <c r="CI49" s="73">
        <f>IF(B49="","",IF(J49=0,0,Q49/J49))</f>
      </c>
      <c r="CJ49" s="73">
        <f>IF(B49="","",IF(J49=0,0,CD49/J49))</f>
      </c>
      <c r="CK49" s="37">
        <f>IF(B49="","",Y49+AE49+BK49+BT49)</f>
      </c>
      <c r="CL49" s="37">
        <f>IF(B49="","",IF(J49=0,0,(M49+P49*G49/J49)*(1-Pct_Reclamaciones-Pct_Banco-Imp_Ventas_Serv-Contrib_Territorial)-AI49-BE49-BV49-CK49*G49/J49))</f>
      </c>
      <c r="CM49" s="37">
        <f>IF(B49="","",IF(J49=0,0,(N49+P49*H49/J49)*(1-Pct_Reclamaciones-Pct_Banco-Imp_Ventas_Serv-Contrib_Territorial)-AS49-BF49-BX49-CK49*H49/J49))</f>
      </c>
      <c r="CN49" s="37">
        <f>IF(B49="","",IF(J49=0,0,(O49+P49*I49/J49)*(1-Pct_Reclamaciones-Pct_Banco-Imp_Ventas_Serv-Contrib_Territorial)-BC49-BG49-BZ49-CK49*I49/J49))</f>
      </c>
      <c r="CO49" s="37">
        <f>IF(B49="","",IF(J49=0,0,ROUND(CD49-CL49-CM49-CN49,4)))</f>
      </c>
      <c r="CP49" s="71">
        <f>IF(B49="","",T49+AG49+AK49+AM49+AU49+AW49)</f>
      </c>
      <c r="CQ49" s="71">
        <f>IF(B49="","",U49+AH49+AL49+AN49+AV49+AX49)</f>
      </c>
      <c r="CR49" s="72">
        <f>IF(B49="","",IF(CP49=0,0,CQ49/CP49-1))</f>
      </c>
      <c r="CS49" s="60">
        <f>IF(B49="","",IF(ENTRADA!$Y49="","",ENTRADA!$Y49-C49))</f>
      </c>
      <c r="CT49" s="66">
        <f>IF(B49="","",IF(ENTRADA!$C49="","Falta fecha. ","")&amp;IF(BP49=0,"Mes fuera del rango de COSTOS_FIJOS. ","")&amp;IF(J49=0,"Sin kg. ","")&amp;IF(E49="","Falta transitaria. ","")&amp;IF(AND(T49&gt;0,U49/T49-1&gt;Tolerancia_Comb),"Combustible al puerto "&amp;TEXT(U49/T49-1,"+0%")&amp;" sobre norma. ","")&amp;IF(AND(AG49&gt;0,AH49/AG49-1&gt;Tolerancia_Comb),"Combustible distribución Occidente "&amp;TEXT(AH49/AG49-1,"+0%")&amp;" sobre norma. ","")&amp;IF(AND(AK49&gt;0,AL49/AK49-1&gt;Tolerancia_Comb),"Combustible traslado Centro "&amp;TEXT(AL49/AK49-1,"+0%")&amp;" sobre norma. ","")&amp;IF(AND(AM49&gt;0,AN49/AM49-1&gt;Tolerancia_Comb),"Combustible distribución Centro "&amp;TEXT(AN49/AM49-1,"+0%")&amp;" sobre norma. ","")&amp;IF(AND(AU49&gt;0,AV49/AU49-1&gt;Tolerancia_Comb),"Combustible traslado Oriente "&amp;TEXT(AV49/AU49-1,"+0%")&amp;" sobre norma. ","")&amp;IF(AND(AW49&gt;0,AX49/AW49-1&gt;Tolerancia_Comb),"Combustible distribución Oriente "&amp;TEXT(AX49/AW49-1,"+0%")&amp;" sobre norma. ","")&amp;IF(AND(ENTRADA!$C49&lt;&gt;"",C49&lt;PRECIOS!$A$6),"Fecha anterior a la 1ª vigencia de precios. ","")&amp;IF(CD49&lt;0,"Contenedor con pérdida. ",""))</f>
      </c>
    </row>
    <row r="50">
      <c r="A50" s="60">
        <f>IF(B50="","",ROW()-5)</f>
      </c>
      <c r="B50" s="63">
        <f>IF(ENTRADA!$B50="","",ENTRADA!$B50)</f>
      </c>
      <c r="C50" s="64">
        <f>IF(B50="","",ENTRADA!$C50)</f>
      </c>
      <c r="D50" s="65">
        <f>IF(B50="","",DATE(YEAR(C50),MONTH(C50),1))</f>
      </c>
      <c r="E50" s="66">
        <f>IF(B50="","",ENTRADA!$D50&amp;"")</f>
      </c>
      <c r="F50" s="66">
        <f>IF(B50="","",ENTRADA!$Z50&amp;"")</f>
      </c>
      <c r="G50" s="67">
        <f>IF(B50="","",N(ENTRADA!$G50))</f>
      </c>
      <c r="H50" s="67">
        <f>IF(B50="","",N(ENTRADA!$H50))</f>
      </c>
      <c r="I50" s="67">
        <f>IF(B50="","",N(ENTRADA!$I50))</f>
      </c>
      <c r="J50" s="68">
        <f>IF(B50="","",G50+H50+I50)</f>
      </c>
      <c r="K50" s="60">
        <f>IF(B50="","",IFERROR(MATCH(SUMPRODUCT(MAX((PRECIOS!$A$6:$A$55&lt;=C50)*PRECIOS!$A$6:$A$55)),PRECIOS!$A$6:$A$55,0),1))</f>
      </c>
      <c r="L50" s="69">
        <f>IF(B50="","",INDEX(PRECIOS!$A$6:$A$55,K50))</f>
      </c>
      <c r="M50" s="37">
        <f>IF(B50="","",G50*INDEX(PRECIOS!$B$6:$B$55,K50))</f>
      </c>
      <c r="N50" s="37">
        <f>IF(B50="","",H50*INDEX(PRECIOS!$C$6:$C$55,K50))</f>
      </c>
      <c r="O50" s="37">
        <f>IF(B50="","",I50*INDEX(PRECIOS!$D$6:$D$55,K50))</f>
      </c>
      <c r="P50" s="37">
        <f>IF(B50="","",N(ENTRADA!$X50))</f>
      </c>
      <c r="Q50" s="70">
        <f>IF(B50="","",M50+N50+O50+P50)</f>
      </c>
      <c r="R50" s="71">
        <f>IF(B50="","",IF(ENTRADA!$J50="",Std_Viajes_Puerto,ENTRADA!$J50))</f>
      </c>
      <c r="S50" s="37">
        <f>IF(B50="","",R50*INDEX(PRECIOS!$F$6:$F$55,K50))</f>
      </c>
      <c r="T50" s="71">
        <f>IF(B50="","",R50*Litros_Puerto_Viaje)</f>
      </c>
      <c r="U50" s="71">
        <f>IF(B50="","",IF(ENTRADA!$K50="",T50,ENTRADA!$K50))</f>
      </c>
      <c r="V50" s="37">
        <f>IF(B50="","",U50*INDEX(PRECIOS!$E$6:$E$55,K50))</f>
      </c>
      <c r="W50" s="37">
        <f>IF(B50="","",IF(ENTRADA!$L50="",R50*INDEX(PRECIOS!$G$6:$G$55,K50),ENTRADA!$L50))</f>
      </c>
      <c r="X50" s="37">
        <f>IF(B50="","",R50*Km_Puerto_Viaje*INDEX(PRECIOS!$N$6:$N$55,K50))</f>
      </c>
      <c r="Y50" s="70">
        <f>IF(B50="","",S50+V50+W50+X50)</f>
      </c>
      <c r="Z50" s="71">
        <f>IF(B50="","",IF(J50=0,0,ROUNDUP(J50/Rend_Desagrupe,0)))</f>
      </c>
      <c r="AA50" s="71">
        <f>IF(B50="","",IF(ENTRADA!$M50="",Z50,ENTRADA!$M50))</f>
      </c>
      <c r="AB50" s="37">
        <f>IF(B50="","",AA50*INDEX(PRECIOS!$H$6:$H$55,K50))</f>
      </c>
      <c r="AC50" s="37">
        <f>IF(B50="","",IF(E50="ENCI",INDEX(PRECIOS!$J$6:$J$55,K50),IF(E50="A.V",INDEX(PRECIOS!$K$6:$K$55,K50),0)))</f>
      </c>
      <c r="AD50" s="37">
        <f>IF(B50="","",N(ENTRADA!$N50))</f>
      </c>
      <c r="AE50" s="70">
        <f>IF(B50="","",AB50+AC50+AD50)</f>
      </c>
      <c r="AF50" s="71">
        <f>IF(B50="","",IF(G50=0,0,ROUNDUP(G50/Cap_Camion_OCC,0)))</f>
      </c>
      <c r="AG50" s="71">
        <f>IF(B50="","",AF50*L_Dist_OCC)</f>
      </c>
      <c r="AH50" s="71">
        <f>IF(B50="","",IF(ENTRADA!$O50="",AG50,ENTRADA!$O50))</f>
      </c>
      <c r="AI50" s="37">
        <f>IF(B50="","",AH50*INDEX(PRECIOS!$E$6:$E$55,K50))</f>
      </c>
      <c r="AJ50" s="71">
        <f>IF(B50="","",IF(H50=0,0,ROUNDUP(H50/Cap_Camion_CEN,0)))</f>
      </c>
      <c r="AK50" s="71">
        <f>IF(B50="","",AJ50*L_Tras_CEN)</f>
      </c>
      <c r="AL50" s="71">
        <f>IF(B50="","",IF(ENTRADA!$P50="",AK50,ENTRADA!$P50))</f>
      </c>
      <c r="AM50" s="71">
        <f>IF(B50="","",AJ50*L_Dist_CEN)</f>
      </c>
      <c r="AN50" s="71">
        <f>IF(B50="","",IF(ENTRADA!$Q50="",AM50,ENTRADA!$Q50))</f>
      </c>
      <c r="AO50" s="37">
        <f>IF(B50="","",(AL50+AN50)*INDEX(PRECIOS!$E$6:$E$55,K50))</f>
      </c>
      <c r="AP50" s="71">
        <f>IF(B50="","",IF(H50=0,0,ROUNDUP(H50/Rend_Desagrupe_CT,0)))</f>
      </c>
      <c r="AQ50" s="71">
        <f>IF(B50="","",IF(ENTRADA!$R50="",AP50,ENTRADA!$R50))</f>
      </c>
      <c r="AR50" s="37">
        <f>IF(B50="","",AQ50*INDEX(PRECIOS!$I$6:$I$55,K50))</f>
      </c>
      <c r="AS50" s="37">
        <f>IF(B50="","",AO50+AR50)</f>
      </c>
      <c r="AT50" s="71">
        <f>IF(B50="","",IF(I50=0,0,ROUNDUP(I50/Cap_Camion_ORI,0)))</f>
      </c>
      <c r="AU50" s="71">
        <f>IF(B50="","",AT50*L_Tras_ORI)</f>
      </c>
      <c r="AV50" s="71">
        <f>IF(B50="","",IF(ENTRADA!$S50="",AU50,ENTRADA!$S50))</f>
      </c>
      <c r="AW50" s="71">
        <f>IF(B50="","",AT50*L_Dist_ORI)</f>
      </c>
      <c r="AX50" s="71">
        <f>IF(B50="","",IF(ENTRADA!$T50="",AW50,ENTRADA!$T50))</f>
      </c>
      <c r="AY50" s="37">
        <f>IF(B50="","",(AV50+AX50)*INDEX(PRECIOS!$E$6:$E$55,K50))</f>
      </c>
      <c r="AZ50" s="71">
        <f>IF(B50="","",IF(I50=0,0,ROUNDUP(I50/Rend_Desagrupe_CT,0)))</f>
      </c>
      <c r="BA50" s="71">
        <f>IF(B50="","",IF(ENTRADA!$U50="",AZ50,ENTRADA!$U50))</f>
      </c>
      <c r="BB50" s="37">
        <f>IF(B50="","",BA50*INDEX(PRECIOS!$I$6:$I$55,K50))</f>
      </c>
      <c r="BC50" s="37">
        <f>IF(B50="","",AY50+BB50)</f>
      </c>
      <c r="BD50" s="70">
        <f>IF(B50="","",AI50+AS50+BC50)</f>
      </c>
      <c r="BE50" s="37">
        <f>IF(B50="","",IF(Base_Comision="% DEL INGRESO",M50*INDEX(PRECIOS!$L$6:$L$55,K50),G50*INDEX(PRECIOS!$M$6:$M$55,K50)))</f>
      </c>
      <c r="BF50" s="37">
        <f>IF(B50="","",IF(Base_Comision="% DEL INGRESO",N50*INDEX(PRECIOS!$L$6:$L$55,K50),H50*INDEX(PRECIOS!$M$6:$M$55,K50)))</f>
      </c>
      <c r="BG50" s="37">
        <f>IF(B50="","",IF(Base_Comision="% DEL INGRESO",O50*INDEX(PRECIOS!$L$6:$L$55,K50),I50*INDEX(PRECIOS!$M$6:$M$55,K50)))</f>
      </c>
      <c r="BH50" s="70">
        <f>IF(B50="","",BE50+BF50+BG50)</f>
      </c>
      <c r="BI50" s="37">
        <f>IF(B50="","",Q50*Pct_Reclamaciones)</f>
      </c>
      <c r="BJ50" s="37">
        <f>IF(B50="","",Q50*Pct_Banco)</f>
      </c>
      <c r="BK50" s="37">
        <f>IF(B50="","",N(ENTRADA!$V50))</f>
      </c>
      <c r="BL50" s="70">
        <f>IF(B50="","",Y50+AE50+BD50+BH50+BI50+BJ50+BK50)</f>
      </c>
      <c r="BM50" s="70">
        <f>IF(B50="","",Q50-BL50)</f>
      </c>
      <c r="BN50" s="72">
        <f>IF(B50="","",IF(Q50=0,0,BM50/Q50))</f>
      </c>
      <c r="BO50" s="73">
        <f>IF(B50="","",IF(J50=0,0,BM50/J50))</f>
      </c>
      <c r="BP50" s="60">
        <f>IF(B50="","",IFERROR(MATCH(D50,COSTOS_FIJOS!$G$5:$AD$5,0),0))</f>
      </c>
      <c r="BQ50" s="60">
        <f>IF(B50="","",COUNTIFS($D$6:$D$305,D50))</f>
      </c>
      <c r="BR50" s="67">
        <f>IF(B50="","",SUMIFS($J$6:$J$305,$D$6:$D$305,D50))</f>
      </c>
      <c r="BS50" s="72">
        <f>IF(B50="","",IF(Metodo_Prorrateo="KG",IF(BR50=0,0,J50/BR50),1/BQ50))</f>
      </c>
      <c r="BT50" s="37">
        <f>IF(B50="","",IF(BP50=0,0,INDEX(COSTOS_FIJOS!$G$38:$AD$38,BP50))*BS50)</f>
      </c>
      <c r="BU50" s="72">
        <f>IF(B50="","",IF(Metodo_Prorrateo="KG",IF(SUMIFS($G$6:$G$305,$D$6:$D$305,D50)=0,0,G50/SUMIFS($G$6:$G$305,$D$6:$D$305,D50)),IF(G50&gt;0,1/COUNTIFS($D$6:$D$305,D50,$G$6:$G$305,"&gt;0"),0)))</f>
      </c>
      <c r="BV50" s="37">
        <f>IF(B50="","",IF(BP50=0,0,INDEX(COSTOS_FIJOS!$G$39:$AD$39,BP50))*BU50)</f>
      </c>
      <c r="BW50" s="72">
        <f>IF(B50="","",IF(Metodo_Prorrateo="KG",IF(SUMIFS($H$6:$H$305,$D$6:$D$305,D50)=0,0,H50/SUMIFS($H$6:$H$305,$D$6:$D$305,D50)),IF(H50&gt;0,1/COUNTIFS($D$6:$D$305,D50,$H$6:$H$305,"&gt;0"),0)))</f>
      </c>
      <c r="BX50" s="37">
        <f>IF(B50="","",IF(BP50=0,0,INDEX(COSTOS_FIJOS!$G$40:$AD$40,BP50))*BW50)</f>
      </c>
      <c r="BY50" s="72">
        <f>IF(B50="","",IF(Metodo_Prorrateo="KG",IF(SUMIFS($I$6:$I$305,$D$6:$D$305,D50)=0,0,I50/SUMIFS($I$6:$I$305,$D$6:$D$305,D50)),IF(I50&gt;0,1/COUNTIFS($D$6:$D$305,D50,$I$6:$I$305,"&gt;0"),0)))</f>
      </c>
      <c r="BZ50" s="37">
        <f>IF(B50="","",IF(BP50=0,0,INDEX(COSTOS_FIJOS!$G$41:$AD$41,BP50))*BY50)</f>
      </c>
      <c r="CA50" s="70">
        <f>IF(B50="","",BT50+BV50+BX50+BZ50)</f>
      </c>
      <c r="CB50" s="37">
        <f>IF(B50="","",Q50*Imp_Ventas_Serv)</f>
      </c>
      <c r="CC50" s="37">
        <f>IF(B50="","",Q50*Contrib_Territorial)</f>
      </c>
      <c r="CD50" s="70">
        <f>IF(B50="","",BM50-CA50-CB50-CC50)</f>
      </c>
      <c r="CE50" s="37">
        <f>IF(B50="","",MAX(0,CD50)*Imp_Utilidades)</f>
      </c>
      <c r="CF50" s="70">
        <f>IF(B50="","",CD50-CE50)</f>
      </c>
      <c r="CG50" s="72">
        <f>IF(B50="","",IF(Q50=0,0,CF50/Q50))</f>
      </c>
      <c r="CH50" s="73">
        <f>IF(B50="","",IF(J50=0,0,(BL50+CA50+CB50+CC50)/J50))</f>
      </c>
      <c r="CI50" s="73">
        <f>IF(B50="","",IF(J50=0,0,Q50/J50))</f>
      </c>
      <c r="CJ50" s="73">
        <f>IF(B50="","",IF(J50=0,0,CD50/J50))</f>
      </c>
      <c r="CK50" s="37">
        <f>IF(B50="","",Y50+AE50+BK50+BT50)</f>
      </c>
      <c r="CL50" s="37">
        <f>IF(B50="","",IF(J50=0,0,(M50+P50*G50/J50)*(1-Pct_Reclamaciones-Pct_Banco-Imp_Ventas_Serv-Contrib_Territorial)-AI50-BE50-BV50-CK50*G50/J50))</f>
      </c>
      <c r="CM50" s="37">
        <f>IF(B50="","",IF(J50=0,0,(N50+P50*H50/J50)*(1-Pct_Reclamaciones-Pct_Banco-Imp_Ventas_Serv-Contrib_Territorial)-AS50-BF50-BX50-CK50*H50/J50))</f>
      </c>
      <c r="CN50" s="37">
        <f>IF(B50="","",IF(J50=0,0,(O50+P50*I50/J50)*(1-Pct_Reclamaciones-Pct_Banco-Imp_Ventas_Serv-Contrib_Territorial)-BC50-BG50-BZ50-CK50*I50/J50))</f>
      </c>
      <c r="CO50" s="37">
        <f>IF(B50="","",IF(J50=0,0,ROUND(CD50-CL50-CM50-CN50,4)))</f>
      </c>
      <c r="CP50" s="71">
        <f>IF(B50="","",T50+AG50+AK50+AM50+AU50+AW50)</f>
      </c>
      <c r="CQ50" s="71">
        <f>IF(B50="","",U50+AH50+AL50+AN50+AV50+AX50)</f>
      </c>
      <c r="CR50" s="72">
        <f>IF(B50="","",IF(CP50=0,0,CQ50/CP50-1))</f>
      </c>
      <c r="CS50" s="60">
        <f>IF(B50="","",IF(ENTRADA!$Y50="","",ENTRADA!$Y50-C50))</f>
      </c>
      <c r="CT50" s="66">
        <f>IF(B50="","",IF(ENTRADA!$C50="","Falta fecha. ","")&amp;IF(BP50=0,"Mes fuera del rango de COSTOS_FIJOS. ","")&amp;IF(J50=0,"Sin kg. ","")&amp;IF(E50="","Falta transitaria. ","")&amp;IF(AND(T50&gt;0,U50/T50-1&gt;Tolerancia_Comb),"Combustible al puerto "&amp;TEXT(U50/T50-1,"+0%")&amp;" sobre norma. ","")&amp;IF(AND(AG50&gt;0,AH50/AG50-1&gt;Tolerancia_Comb),"Combustible distribución Occidente "&amp;TEXT(AH50/AG50-1,"+0%")&amp;" sobre norma. ","")&amp;IF(AND(AK50&gt;0,AL50/AK50-1&gt;Tolerancia_Comb),"Combustible traslado Centro "&amp;TEXT(AL50/AK50-1,"+0%")&amp;" sobre norma. ","")&amp;IF(AND(AM50&gt;0,AN50/AM50-1&gt;Tolerancia_Comb),"Combustible distribución Centro "&amp;TEXT(AN50/AM50-1,"+0%")&amp;" sobre norma. ","")&amp;IF(AND(AU50&gt;0,AV50/AU50-1&gt;Tolerancia_Comb),"Combustible traslado Oriente "&amp;TEXT(AV50/AU50-1,"+0%")&amp;" sobre norma. ","")&amp;IF(AND(AW50&gt;0,AX50/AW50-1&gt;Tolerancia_Comb),"Combustible distribución Oriente "&amp;TEXT(AX50/AW50-1,"+0%")&amp;" sobre norma. ","")&amp;IF(AND(ENTRADA!$C50&lt;&gt;"",C50&lt;PRECIOS!$A$6),"Fecha anterior a la 1ª vigencia de precios. ","")&amp;IF(CD50&lt;0,"Contenedor con pérdida. ",""))</f>
      </c>
    </row>
    <row r="51">
      <c r="A51" s="60">
        <f>IF(B51="","",ROW()-5)</f>
      </c>
      <c r="B51" s="63">
        <f>IF(ENTRADA!$B51="","",ENTRADA!$B51)</f>
      </c>
      <c r="C51" s="64">
        <f>IF(B51="","",ENTRADA!$C51)</f>
      </c>
      <c r="D51" s="65">
        <f>IF(B51="","",DATE(YEAR(C51),MONTH(C51),1))</f>
      </c>
      <c r="E51" s="66">
        <f>IF(B51="","",ENTRADA!$D51&amp;"")</f>
      </c>
      <c r="F51" s="66">
        <f>IF(B51="","",ENTRADA!$Z51&amp;"")</f>
      </c>
      <c r="G51" s="67">
        <f>IF(B51="","",N(ENTRADA!$G51))</f>
      </c>
      <c r="H51" s="67">
        <f>IF(B51="","",N(ENTRADA!$H51))</f>
      </c>
      <c r="I51" s="67">
        <f>IF(B51="","",N(ENTRADA!$I51))</f>
      </c>
      <c r="J51" s="68">
        <f>IF(B51="","",G51+H51+I51)</f>
      </c>
      <c r="K51" s="60">
        <f>IF(B51="","",IFERROR(MATCH(SUMPRODUCT(MAX((PRECIOS!$A$6:$A$55&lt;=C51)*PRECIOS!$A$6:$A$55)),PRECIOS!$A$6:$A$55,0),1))</f>
      </c>
      <c r="L51" s="69">
        <f>IF(B51="","",INDEX(PRECIOS!$A$6:$A$55,K51))</f>
      </c>
      <c r="M51" s="37">
        <f>IF(B51="","",G51*INDEX(PRECIOS!$B$6:$B$55,K51))</f>
      </c>
      <c r="N51" s="37">
        <f>IF(B51="","",H51*INDEX(PRECIOS!$C$6:$C$55,K51))</f>
      </c>
      <c r="O51" s="37">
        <f>IF(B51="","",I51*INDEX(PRECIOS!$D$6:$D$55,K51))</f>
      </c>
      <c r="P51" s="37">
        <f>IF(B51="","",N(ENTRADA!$X51))</f>
      </c>
      <c r="Q51" s="70">
        <f>IF(B51="","",M51+N51+O51+P51)</f>
      </c>
      <c r="R51" s="71">
        <f>IF(B51="","",IF(ENTRADA!$J51="",Std_Viajes_Puerto,ENTRADA!$J51))</f>
      </c>
      <c r="S51" s="37">
        <f>IF(B51="","",R51*INDEX(PRECIOS!$F$6:$F$55,K51))</f>
      </c>
      <c r="T51" s="71">
        <f>IF(B51="","",R51*Litros_Puerto_Viaje)</f>
      </c>
      <c r="U51" s="71">
        <f>IF(B51="","",IF(ENTRADA!$K51="",T51,ENTRADA!$K51))</f>
      </c>
      <c r="V51" s="37">
        <f>IF(B51="","",U51*INDEX(PRECIOS!$E$6:$E$55,K51))</f>
      </c>
      <c r="W51" s="37">
        <f>IF(B51="","",IF(ENTRADA!$L51="",R51*INDEX(PRECIOS!$G$6:$G$55,K51),ENTRADA!$L51))</f>
      </c>
      <c r="X51" s="37">
        <f>IF(B51="","",R51*Km_Puerto_Viaje*INDEX(PRECIOS!$N$6:$N$55,K51))</f>
      </c>
      <c r="Y51" s="70">
        <f>IF(B51="","",S51+V51+W51+X51)</f>
      </c>
      <c r="Z51" s="71">
        <f>IF(B51="","",IF(J51=0,0,ROUNDUP(J51/Rend_Desagrupe,0)))</f>
      </c>
      <c r="AA51" s="71">
        <f>IF(B51="","",IF(ENTRADA!$M51="",Z51,ENTRADA!$M51))</f>
      </c>
      <c r="AB51" s="37">
        <f>IF(B51="","",AA51*INDEX(PRECIOS!$H$6:$H$55,K51))</f>
      </c>
      <c r="AC51" s="37">
        <f>IF(B51="","",IF(E51="ENCI",INDEX(PRECIOS!$J$6:$J$55,K51),IF(E51="A.V",INDEX(PRECIOS!$K$6:$K$55,K51),0)))</f>
      </c>
      <c r="AD51" s="37">
        <f>IF(B51="","",N(ENTRADA!$N51))</f>
      </c>
      <c r="AE51" s="70">
        <f>IF(B51="","",AB51+AC51+AD51)</f>
      </c>
      <c r="AF51" s="71">
        <f>IF(B51="","",IF(G51=0,0,ROUNDUP(G51/Cap_Camion_OCC,0)))</f>
      </c>
      <c r="AG51" s="71">
        <f>IF(B51="","",AF51*L_Dist_OCC)</f>
      </c>
      <c r="AH51" s="71">
        <f>IF(B51="","",IF(ENTRADA!$O51="",AG51,ENTRADA!$O51))</f>
      </c>
      <c r="AI51" s="37">
        <f>IF(B51="","",AH51*INDEX(PRECIOS!$E$6:$E$55,K51))</f>
      </c>
      <c r="AJ51" s="71">
        <f>IF(B51="","",IF(H51=0,0,ROUNDUP(H51/Cap_Camion_CEN,0)))</f>
      </c>
      <c r="AK51" s="71">
        <f>IF(B51="","",AJ51*L_Tras_CEN)</f>
      </c>
      <c r="AL51" s="71">
        <f>IF(B51="","",IF(ENTRADA!$P51="",AK51,ENTRADA!$P51))</f>
      </c>
      <c r="AM51" s="71">
        <f>IF(B51="","",AJ51*L_Dist_CEN)</f>
      </c>
      <c r="AN51" s="71">
        <f>IF(B51="","",IF(ENTRADA!$Q51="",AM51,ENTRADA!$Q51))</f>
      </c>
      <c r="AO51" s="37">
        <f>IF(B51="","",(AL51+AN51)*INDEX(PRECIOS!$E$6:$E$55,K51))</f>
      </c>
      <c r="AP51" s="71">
        <f>IF(B51="","",IF(H51=0,0,ROUNDUP(H51/Rend_Desagrupe_CT,0)))</f>
      </c>
      <c r="AQ51" s="71">
        <f>IF(B51="","",IF(ENTRADA!$R51="",AP51,ENTRADA!$R51))</f>
      </c>
      <c r="AR51" s="37">
        <f>IF(B51="","",AQ51*INDEX(PRECIOS!$I$6:$I$55,K51))</f>
      </c>
      <c r="AS51" s="37">
        <f>IF(B51="","",AO51+AR51)</f>
      </c>
      <c r="AT51" s="71">
        <f>IF(B51="","",IF(I51=0,0,ROUNDUP(I51/Cap_Camion_ORI,0)))</f>
      </c>
      <c r="AU51" s="71">
        <f>IF(B51="","",AT51*L_Tras_ORI)</f>
      </c>
      <c r="AV51" s="71">
        <f>IF(B51="","",IF(ENTRADA!$S51="",AU51,ENTRADA!$S51))</f>
      </c>
      <c r="AW51" s="71">
        <f>IF(B51="","",AT51*L_Dist_ORI)</f>
      </c>
      <c r="AX51" s="71">
        <f>IF(B51="","",IF(ENTRADA!$T51="",AW51,ENTRADA!$T51))</f>
      </c>
      <c r="AY51" s="37">
        <f>IF(B51="","",(AV51+AX51)*INDEX(PRECIOS!$E$6:$E$55,K51))</f>
      </c>
      <c r="AZ51" s="71">
        <f>IF(B51="","",IF(I51=0,0,ROUNDUP(I51/Rend_Desagrupe_CT,0)))</f>
      </c>
      <c r="BA51" s="71">
        <f>IF(B51="","",IF(ENTRADA!$U51="",AZ51,ENTRADA!$U51))</f>
      </c>
      <c r="BB51" s="37">
        <f>IF(B51="","",BA51*INDEX(PRECIOS!$I$6:$I$55,K51))</f>
      </c>
      <c r="BC51" s="37">
        <f>IF(B51="","",AY51+BB51)</f>
      </c>
      <c r="BD51" s="70">
        <f>IF(B51="","",AI51+AS51+BC51)</f>
      </c>
      <c r="BE51" s="37">
        <f>IF(B51="","",IF(Base_Comision="% DEL INGRESO",M51*INDEX(PRECIOS!$L$6:$L$55,K51),G51*INDEX(PRECIOS!$M$6:$M$55,K51)))</f>
      </c>
      <c r="BF51" s="37">
        <f>IF(B51="","",IF(Base_Comision="% DEL INGRESO",N51*INDEX(PRECIOS!$L$6:$L$55,K51),H51*INDEX(PRECIOS!$M$6:$M$55,K51)))</f>
      </c>
      <c r="BG51" s="37">
        <f>IF(B51="","",IF(Base_Comision="% DEL INGRESO",O51*INDEX(PRECIOS!$L$6:$L$55,K51),I51*INDEX(PRECIOS!$M$6:$M$55,K51)))</f>
      </c>
      <c r="BH51" s="70">
        <f>IF(B51="","",BE51+BF51+BG51)</f>
      </c>
      <c r="BI51" s="37">
        <f>IF(B51="","",Q51*Pct_Reclamaciones)</f>
      </c>
      <c r="BJ51" s="37">
        <f>IF(B51="","",Q51*Pct_Banco)</f>
      </c>
      <c r="BK51" s="37">
        <f>IF(B51="","",N(ENTRADA!$V51))</f>
      </c>
      <c r="BL51" s="70">
        <f>IF(B51="","",Y51+AE51+BD51+BH51+BI51+BJ51+BK51)</f>
      </c>
      <c r="BM51" s="70">
        <f>IF(B51="","",Q51-BL51)</f>
      </c>
      <c r="BN51" s="72">
        <f>IF(B51="","",IF(Q51=0,0,BM51/Q51))</f>
      </c>
      <c r="BO51" s="73">
        <f>IF(B51="","",IF(J51=0,0,BM51/J51))</f>
      </c>
      <c r="BP51" s="60">
        <f>IF(B51="","",IFERROR(MATCH(D51,COSTOS_FIJOS!$G$5:$AD$5,0),0))</f>
      </c>
      <c r="BQ51" s="60">
        <f>IF(B51="","",COUNTIFS($D$6:$D$305,D51))</f>
      </c>
      <c r="BR51" s="67">
        <f>IF(B51="","",SUMIFS($J$6:$J$305,$D$6:$D$305,D51))</f>
      </c>
      <c r="BS51" s="72">
        <f>IF(B51="","",IF(Metodo_Prorrateo="KG",IF(BR51=0,0,J51/BR51),1/BQ51))</f>
      </c>
      <c r="BT51" s="37">
        <f>IF(B51="","",IF(BP51=0,0,INDEX(COSTOS_FIJOS!$G$38:$AD$38,BP51))*BS51)</f>
      </c>
      <c r="BU51" s="72">
        <f>IF(B51="","",IF(Metodo_Prorrateo="KG",IF(SUMIFS($G$6:$G$305,$D$6:$D$305,D51)=0,0,G51/SUMIFS($G$6:$G$305,$D$6:$D$305,D51)),IF(G51&gt;0,1/COUNTIFS($D$6:$D$305,D51,$G$6:$G$305,"&gt;0"),0)))</f>
      </c>
      <c r="BV51" s="37">
        <f>IF(B51="","",IF(BP51=0,0,INDEX(COSTOS_FIJOS!$G$39:$AD$39,BP51))*BU51)</f>
      </c>
      <c r="BW51" s="72">
        <f>IF(B51="","",IF(Metodo_Prorrateo="KG",IF(SUMIFS($H$6:$H$305,$D$6:$D$305,D51)=0,0,H51/SUMIFS($H$6:$H$305,$D$6:$D$305,D51)),IF(H51&gt;0,1/COUNTIFS($D$6:$D$305,D51,$H$6:$H$305,"&gt;0"),0)))</f>
      </c>
      <c r="BX51" s="37">
        <f>IF(B51="","",IF(BP51=0,0,INDEX(COSTOS_FIJOS!$G$40:$AD$40,BP51))*BW51)</f>
      </c>
      <c r="BY51" s="72">
        <f>IF(B51="","",IF(Metodo_Prorrateo="KG",IF(SUMIFS($I$6:$I$305,$D$6:$D$305,D51)=0,0,I51/SUMIFS($I$6:$I$305,$D$6:$D$305,D51)),IF(I51&gt;0,1/COUNTIFS($D$6:$D$305,D51,$I$6:$I$305,"&gt;0"),0)))</f>
      </c>
      <c r="BZ51" s="37">
        <f>IF(B51="","",IF(BP51=0,0,INDEX(COSTOS_FIJOS!$G$41:$AD$41,BP51))*BY51)</f>
      </c>
      <c r="CA51" s="70">
        <f>IF(B51="","",BT51+BV51+BX51+BZ51)</f>
      </c>
      <c r="CB51" s="37">
        <f>IF(B51="","",Q51*Imp_Ventas_Serv)</f>
      </c>
      <c r="CC51" s="37">
        <f>IF(B51="","",Q51*Contrib_Territorial)</f>
      </c>
      <c r="CD51" s="70">
        <f>IF(B51="","",BM51-CA51-CB51-CC51)</f>
      </c>
      <c r="CE51" s="37">
        <f>IF(B51="","",MAX(0,CD51)*Imp_Utilidades)</f>
      </c>
      <c r="CF51" s="70">
        <f>IF(B51="","",CD51-CE51)</f>
      </c>
      <c r="CG51" s="72">
        <f>IF(B51="","",IF(Q51=0,0,CF51/Q51))</f>
      </c>
      <c r="CH51" s="73">
        <f>IF(B51="","",IF(J51=0,0,(BL51+CA51+CB51+CC51)/J51))</f>
      </c>
      <c r="CI51" s="73">
        <f>IF(B51="","",IF(J51=0,0,Q51/J51))</f>
      </c>
      <c r="CJ51" s="73">
        <f>IF(B51="","",IF(J51=0,0,CD51/J51))</f>
      </c>
      <c r="CK51" s="37">
        <f>IF(B51="","",Y51+AE51+BK51+BT51)</f>
      </c>
      <c r="CL51" s="37">
        <f>IF(B51="","",IF(J51=0,0,(M51+P51*G51/J51)*(1-Pct_Reclamaciones-Pct_Banco-Imp_Ventas_Serv-Contrib_Territorial)-AI51-BE51-BV51-CK51*G51/J51))</f>
      </c>
      <c r="CM51" s="37">
        <f>IF(B51="","",IF(J51=0,0,(N51+P51*H51/J51)*(1-Pct_Reclamaciones-Pct_Banco-Imp_Ventas_Serv-Contrib_Territorial)-AS51-BF51-BX51-CK51*H51/J51))</f>
      </c>
      <c r="CN51" s="37">
        <f>IF(B51="","",IF(J51=0,0,(O51+P51*I51/J51)*(1-Pct_Reclamaciones-Pct_Banco-Imp_Ventas_Serv-Contrib_Territorial)-BC51-BG51-BZ51-CK51*I51/J51))</f>
      </c>
      <c r="CO51" s="37">
        <f>IF(B51="","",IF(J51=0,0,ROUND(CD51-CL51-CM51-CN51,4)))</f>
      </c>
      <c r="CP51" s="71">
        <f>IF(B51="","",T51+AG51+AK51+AM51+AU51+AW51)</f>
      </c>
      <c r="CQ51" s="71">
        <f>IF(B51="","",U51+AH51+AL51+AN51+AV51+AX51)</f>
      </c>
      <c r="CR51" s="72">
        <f>IF(B51="","",IF(CP51=0,0,CQ51/CP51-1))</f>
      </c>
      <c r="CS51" s="60">
        <f>IF(B51="","",IF(ENTRADA!$Y51="","",ENTRADA!$Y51-C51))</f>
      </c>
      <c r="CT51" s="66">
        <f>IF(B51="","",IF(ENTRADA!$C51="","Falta fecha. ","")&amp;IF(BP51=0,"Mes fuera del rango de COSTOS_FIJOS. ","")&amp;IF(J51=0,"Sin kg. ","")&amp;IF(E51="","Falta transitaria. ","")&amp;IF(AND(T51&gt;0,U51/T51-1&gt;Tolerancia_Comb),"Combustible al puerto "&amp;TEXT(U51/T51-1,"+0%")&amp;" sobre norma. ","")&amp;IF(AND(AG51&gt;0,AH51/AG51-1&gt;Tolerancia_Comb),"Combustible distribución Occidente "&amp;TEXT(AH51/AG51-1,"+0%")&amp;" sobre norma. ","")&amp;IF(AND(AK51&gt;0,AL51/AK51-1&gt;Tolerancia_Comb),"Combustible traslado Centro "&amp;TEXT(AL51/AK51-1,"+0%")&amp;" sobre norma. ","")&amp;IF(AND(AM51&gt;0,AN51/AM51-1&gt;Tolerancia_Comb),"Combustible distribución Centro "&amp;TEXT(AN51/AM51-1,"+0%")&amp;" sobre norma. ","")&amp;IF(AND(AU51&gt;0,AV51/AU51-1&gt;Tolerancia_Comb),"Combustible traslado Oriente "&amp;TEXT(AV51/AU51-1,"+0%")&amp;" sobre norma. ","")&amp;IF(AND(AW51&gt;0,AX51/AW51-1&gt;Tolerancia_Comb),"Combustible distribución Oriente "&amp;TEXT(AX51/AW51-1,"+0%")&amp;" sobre norma. ","")&amp;IF(AND(ENTRADA!$C51&lt;&gt;"",C51&lt;PRECIOS!$A$6),"Fecha anterior a la 1ª vigencia de precios. ","")&amp;IF(CD51&lt;0,"Contenedor con pérdida. ",""))</f>
      </c>
    </row>
    <row r="52">
      <c r="A52" s="60">
        <f>IF(B52="","",ROW()-5)</f>
      </c>
      <c r="B52" s="63">
        <f>IF(ENTRADA!$B52="","",ENTRADA!$B52)</f>
      </c>
      <c r="C52" s="64">
        <f>IF(B52="","",ENTRADA!$C52)</f>
      </c>
      <c r="D52" s="65">
        <f>IF(B52="","",DATE(YEAR(C52),MONTH(C52),1))</f>
      </c>
      <c r="E52" s="66">
        <f>IF(B52="","",ENTRADA!$D52&amp;"")</f>
      </c>
      <c r="F52" s="66">
        <f>IF(B52="","",ENTRADA!$Z52&amp;"")</f>
      </c>
      <c r="G52" s="67">
        <f>IF(B52="","",N(ENTRADA!$G52))</f>
      </c>
      <c r="H52" s="67">
        <f>IF(B52="","",N(ENTRADA!$H52))</f>
      </c>
      <c r="I52" s="67">
        <f>IF(B52="","",N(ENTRADA!$I52))</f>
      </c>
      <c r="J52" s="68">
        <f>IF(B52="","",G52+H52+I52)</f>
      </c>
      <c r="K52" s="60">
        <f>IF(B52="","",IFERROR(MATCH(SUMPRODUCT(MAX((PRECIOS!$A$6:$A$55&lt;=C52)*PRECIOS!$A$6:$A$55)),PRECIOS!$A$6:$A$55,0),1))</f>
      </c>
      <c r="L52" s="69">
        <f>IF(B52="","",INDEX(PRECIOS!$A$6:$A$55,K52))</f>
      </c>
      <c r="M52" s="37">
        <f>IF(B52="","",G52*INDEX(PRECIOS!$B$6:$B$55,K52))</f>
      </c>
      <c r="N52" s="37">
        <f>IF(B52="","",H52*INDEX(PRECIOS!$C$6:$C$55,K52))</f>
      </c>
      <c r="O52" s="37">
        <f>IF(B52="","",I52*INDEX(PRECIOS!$D$6:$D$55,K52))</f>
      </c>
      <c r="P52" s="37">
        <f>IF(B52="","",N(ENTRADA!$X52))</f>
      </c>
      <c r="Q52" s="70">
        <f>IF(B52="","",M52+N52+O52+P52)</f>
      </c>
      <c r="R52" s="71">
        <f>IF(B52="","",IF(ENTRADA!$J52="",Std_Viajes_Puerto,ENTRADA!$J52))</f>
      </c>
      <c r="S52" s="37">
        <f>IF(B52="","",R52*INDEX(PRECIOS!$F$6:$F$55,K52))</f>
      </c>
      <c r="T52" s="71">
        <f>IF(B52="","",R52*Litros_Puerto_Viaje)</f>
      </c>
      <c r="U52" s="71">
        <f>IF(B52="","",IF(ENTRADA!$K52="",T52,ENTRADA!$K52))</f>
      </c>
      <c r="V52" s="37">
        <f>IF(B52="","",U52*INDEX(PRECIOS!$E$6:$E$55,K52))</f>
      </c>
      <c r="W52" s="37">
        <f>IF(B52="","",IF(ENTRADA!$L52="",R52*INDEX(PRECIOS!$G$6:$G$55,K52),ENTRADA!$L52))</f>
      </c>
      <c r="X52" s="37">
        <f>IF(B52="","",R52*Km_Puerto_Viaje*INDEX(PRECIOS!$N$6:$N$55,K52))</f>
      </c>
      <c r="Y52" s="70">
        <f>IF(B52="","",S52+V52+W52+X52)</f>
      </c>
      <c r="Z52" s="71">
        <f>IF(B52="","",IF(J52=0,0,ROUNDUP(J52/Rend_Desagrupe,0)))</f>
      </c>
      <c r="AA52" s="71">
        <f>IF(B52="","",IF(ENTRADA!$M52="",Z52,ENTRADA!$M52))</f>
      </c>
      <c r="AB52" s="37">
        <f>IF(B52="","",AA52*INDEX(PRECIOS!$H$6:$H$55,K52))</f>
      </c>
      <c r="AC52" s="37">
        <f>IF(B52="","",IF(E52="ENCI",INDEX(PRECIOS!$J$6:$J$55,K52),IF(E52="A.V",INDEX(PRECIOS!$K$6:$K$55,K52),0)))</f>
      </c>
      <c r="AD52" s="37">
        <f>IF(B52="","",N(ENTRADA!$N52))</f>
      </c>
      <c r="AE52" s="70">
        <f>IF(B52="","",AB52+AC52+AD52)</f>
      </c>
      <c r="AF52" s="71">
        <f>IF(B52="","",IF(G52=0,0,ROUNDUP(G52/Cap_Camion_OCC,0)))</f>
      </c>
      <c r="AG52" s="71">
        <f>IF(B52="","",AF52*L_Dist_OCC)</f>
      </c>
      <c r="AH52" s="71">
        <f>IF(B52="","",IF(ENTRADA!$O52="",AG52,ENTRADA!$O52))</f>
      </c>
      <c r="AI52" s="37">
        <f>IF(B52="","",AH52*INDEX(PRECIOS!$E$6:$E$55,K52))</f>
      </c>
      <c r="AJ52" s="71">
        <f>IF(B52="","",IF(H52=0,0,ROUNDUP(H52/Cap_Camion_CEN,0)))</f>
      </c>
      <c r="AK52" s="71">
        <f>IF(B52="","",AJ52*L_Tras_CEN)</f>
      </c>
      <c r="AL52" s="71">
        <f>IF(B52="","",IF(ENTRADA!$P52="",AK52,ENTRADA!$P52))</f>
      </c>
      <c r="AM52" s="71">
        <f>IF(B52="","",AJ52*L_Dist_CEN)</f>
      </c>
      <c r="AN52" s="71">
        <f>IF(B52="","",IF(ENTRADA!$Q52="",AM52,ENTRADA!$Q52))</f>
      </c>
      <c r="AO52" s="37">
        <f>IF(B52="","",(AL52+AN52)*INDEX(PRECIOS!$E$6:$E$55,K52))</f>
      </c>
      <c r="AP52" s="71">
        <f>IF(B52="","",IF(H52=0,0,ROUNDUP(H52/Rend_Desagrupe_CT,0)))</f>
      </c>
      <c r="AQ52" s="71">
        <f>IF(B52="","",IF(ENTRADA!$R52="",AP52,ENTRADA!$R52))</f>
      </c>
      <c r="AR52" s="37">
        <f>IF(B52="","",AQ52*INDEX(PRECIOS!$I$6:$I$55,K52))</f>
      </c>
      <c r="AS52" s="37">
        <f>IF(B52="","",AO52+AR52)</f>
      </c>
      <c r="AT52" s="71">
        <f>IF(B52="","",IF(I52=0,0,ROUNDUP(I52/Cap_Camion_ORI,0)))</f>
      </c>
      <c r="AU52" s="71">
        <f>IF(B52="","",AT52*L_Tras_ORI)</f>
      </c>
      <c r="AV52" s="71">
        <f>IF(B52="","",IF(ENTRADA!$S52="",AU52,ENTRADA!$S52))</f>
      </c>
      <c r="AW52" s="71">
        <f>IF(B52="","",AT52*L_Dist_ORI)</f>
      </c>
      <c r="AX52" s="71">
        <f>IF(B52="","",IF(ENTRADA!$T52="",AW52,ENTRADA!$T52))</f>
      </c>
      <c r="AY52" s="37">
        <f>IF(B52="","",(AV52+AX52)*INDEX(PRECIOS!$E$6:$E$55,K52))</f>
      </c>
      <c r="AZ52" s="71">
        <f>IF(B52="","",IF(I52=0,0,ROUNDUP(I52/Rend_Desagrupe_CT,0)))</f>
      </c>
      <c r="BA52" s="71">
        <f>IF(B52="","",IF(ENTRADA!$U52="",AZ52,ENTRADA!$U52))</f>
      </c>
      <c r="BB52" s="37">
        <f>IF(B52="","",BA52*INDEX(PRECIOS!$I$6:$I$55,K52))</f>
      </c>
      <c r="BC52" s="37">
        <f>IF(B52="","",AY52+BB52)</f>
      </c>
      <c r="BD52" s="70">
        <f>IF(B52="","",AI52+AS52+BC52)</f>
      </c>
      <c r="BE52" s="37">
        <f>IF(B52="","",IF(Base_Comision="% DEL INGRESO",M52*INDEX(PRECIOS!$L$6:$L$55,K52),G52*INDEX(PRECIOS!$M$6:$M$55,K52)))</f>
      </c>
      <c r="BF52" s="37">
        <f>IF(B52="","",IF(Base_Comision="% DEL INGRESO",N52*INDEX(PRECIOS!$L$6:$L$55,K52),H52*INDEX(PRECIOS!$M$6:$M$55,K52)))</f>
      </c>
      <c r="BG52" s="37">
        <f>IF(B52="","",IF(Base_Comision="% DEL INGRESO",O52*INDEX(PRECIOS!$L$6:$L$55,K52),I52*INDEX(PRECIOS!$M$6:$M$55,K52)))</f>
      </c>
      <c r="BH52" s="70">
        <f>IF(B52="","",BE52+BF52+BG52)</f>
      </c>
      <c r="BI52" s="37">
        <f>IF(B52="","",Q52*Pct_Reclamaciones)</f>
      </c>
      <c r="BJ52" s="37">
        <f>IF(B52="","",Q52*Pct_Banco)</f>
      </c>
      <c r="BK52" s="37">
        <f>IF(B52="","",N(ENTRADA!$V52))</f>
      </c>
      <c r="BL52" s="70">
        <f>IF(B52="","",Y52+AE52+BD52+BH52+BI52+BJ52+BK52)</f>
      </c>
      <c r="BM52" s="70">
        <f>IF(B52="","",Q52-BL52)</f>
      </c>
      <c r="BN52" s="72">
        <f>IF(B52="","",IF(Q52=0,0,BM52/Q52))</f>
      </c>
      <c r="BO52" s="73">
        <f>IF(B52="","",IF(J52=0,0,BM52/J52))</f>
      </c>
      <c r="BP52" s="60">
        <f>IF(B52="","",IFERROR(MATCH(D52,COSTOS_FIJOS!$G$5:$AD$5,0),0))</f>
      </c>
      <c r="BQ52" s="60">
        <f>IF(B52="","",COUNTIFS($D$6:$D$305,D52))</f>
      </c>
      <c r="BR52" s="67">
        <f>IF(B52="","",SUMIFS($J$6:$J$305,$D$6:$D$305,D52))</f>
      </c>
      <c r="BS52" s="72">
        <f>IF(B52="","",IF(Metodo_Prorrateo="KG",IF(BR52=0,0,J52/BR52),1/BQ52))</f>
      </c>
      <c r="BT52" s="37">
        <f>IF(B52="","",IF(BP52=0,0,INDEX(COSTOS_FIJOS!$G$38:$AD$38,BP52))*BS52)</f>
      </c>
      <c r="BU52" s="72">
        <f>IF(B52="","",IF(Metodo_Prorrateo="KG",IF(SUMIFS($G$6:$G$305,$D$6:$D$305,D52)=0,0,G52/SUMIFS($G$6:$G$305,$D$6:$D$305,D52)),IF(G52&gt;0,1/COUNTIFS($D$6:$D$305,D52,$G$6:$G$305,"&gt;0"),0)))</f>
      </c>
      <c r="BV52" s="37">
        <f>IF(B52="","",IF(BP52=0,0,INDEX(COSTOS_FIJOS!$G$39:$AD$39,BP52))*BU52)</f>
      </c>
      <c r="BW52" s="72">
        <f>IF(B52="","",IF(Metodo_Prorrateo="KG",IF(SUMIFS($H$6:$H$305,$D$6:$D$305,D52)=0,0,H52/SUMIFS($H$6:$H$305,$D$6:$D$305,D52)),IF(H52&gt;0,1/COUNTIFS($D$6:$D$305,D52,$H$6:$H$305,"&gt;0"),0)))</f>
      </c>
      <c r="BX52" s="37">
        <f>IF(B52="","",IF(BP52=0,0,INDEX(COSTOS_FIJOS!$G$40:$AD$40,BP52))*BW52)</f>
      </c>
      <c r="BY52" s="72">
        <f>IF(B52="","",IF(Metodo_Prorrateo="KG",IF(SUMIFS($I$6:$I$305,$D$6:$D$305,D52)=0,0,I52/SUMIFS($I$6:$I$305,$D$6:$D$305,D52)),IF(I52&gt;0,1/COUNTIFS($D$6:$D$305,D52,$I$6:$I$305,"&gt;0"),0)))</f>
      </c>
      <c r="BZ52" s="37">
        <f>IF(B52="","",IF(BP52=0,0,INDEX(COSTOS_FIJOS!$G$41:$AD$41,BP52))*BY52)</f>
      </c>
      <c r="CA52" s="70">
        <f>IF(B52="","",BT52+BV52+BX52+BZ52)</f>
      </c>
      <c r="CB52" s="37">
        <f>IF(B52="","",Q52*Imp_Ventas_Serv)</f>
      </c>
      <c r="CC52" s="37">
        <f>IF(B52="","",Q52*Contrib_Territorial)</f>
      </c>
      <c r="CD52" s="70">
        <f>IF(B52="","",BM52-CA52-CB52-CC52)</f>
      </c>
      <c r="CE52" s="37">
        <f>IF(B52="","",MAX(0,CD52)*Imp_Utilidades)</f>
      </c>
      <c r="CF52" s="70">
        <f>IF(B52="","",CD52-CE52)</f>
      </c>
      <c r="CG52" s="72">
        <f>IF(B52="","",IF(Q52=0,0,CF52/Q52))</f>
      </c>
      <c r="CH52" s="73">
        <f>IF(B52="","",IF(J52=0,0,(BL52+CA52+CB52+CC52)/J52))</f>
      </c>
      <c r="CI52" s="73">
        <f>IF(B52="","",IF(J52=0,0,Q52/J52))</f>
      </c>
      <c r="CJ52" s="73">
        <f>IF(B52="","",IF(J52=0,0,CD52/J52))</f>
      </c>
      <c r="CK52" s="37">
        <f>IF(B52="","",Y52+AE52+BK52+BT52)</f>
      </c>
      <c r="CL52" s="37">
        <f>IF(B52="","",IF(J52=0,0,(M52+P52*G52/J52)*(1-Pct_Reclamaciones-Pct_Banco-Imp_Ventas_Serv-Contrib_Territorial)-AI52-BE52-BV52-CK52*G52/J52))</f>
      </c>
      <c r="CM52" s="37">
        <f>IF(B52="","",IF(J52=0,0,(N52+P52*H52/J52)*(1-Pct_Reclamaciones-Pct_Banco-Imp_Ventas_Serv-Contrib_Territorial)-AS52-BF52-BX52-CK52*H52/J52))</f>
      </c>
      <c r="CN52" s="37">
        <f>IF(B52="","",IF(J52=0,0,(O52+P52*I52/J52)*(1-Pct_Reclamaciones-Pct_Banco-Imp_Ventas_Serv-Contrib_Territorial)-BC52-BG52-BZ52-CK52*I52/J52))</f>
      </c>
      <c r="CO52" s="37">
        <f>IF(B52="","",IF(J52=0,0,ROUND(CD52-CL52-CM52-CN52,4)))</f>
      </c>
      <c r="CP52" s="71">
        <f>IF(B52="","",T52+AG52+AK52+AM52+AU52+AW52)</f>
      </c>
      <c r="CQ52" s="71">
        <f>IF(B52="","",U52+AH52+AL52+AN52+AV52+AX52)</f>
      </c>
      <c r="CR52" s="72">
        <f>IF(B52="","",IF(CP52=0,0,CQ52/CP52-1))</f>
      </c>
      <c r="CS52" s="60">
        <f>IF(B52="","",IF(ENTRADA!$Y52="","",ENTRADA!$Y52-C52))</f>
      </c>
      <c r="CT52" s="66">
        <f>IF(B52="","",IF(ENTRADA!$C52="","Falta fecha. ","")&amp;IF(BP52=0,"Mes fuera del rango de COSTOS_FIJOS. ","")&amp;IF(J52=0,"Sin kg. ","")&amp;IF(E52="","Falta transitaria. ","")&amp;IF(AND(T52&gt;0,U52/T52-1&gt;Tolerancia_Comb),"Combustible al puerto "&amp;TEXT(U52/T52-1,"+0%")&amp;" sobre norma. ","")&amp;IF(AND(AG52&gt;0,AH52/AG52-1&gt;Tolerancia_Comb),"Combustible distribución Occidente "&amp;TEXT(AH52/AG52-1,"+0%")&amp;" sobre norma. ","")&amp;IF(AND(AK52&gt;0,AL52/AK52-1&gt;Tolerancia_Comb),"Combustible traslado Centro "&amp;TEXT(AL52/AK52-1,"+0%")&amp;" sobre norma. ","")&amp;IF(AND(AM52&gt;0,AN52/AM52-1&gt;Tolerancia_Comb),"Combustible distribución Centro "&amp;TEXT(AN52/AM52-1,"+0%")&amp;" sobre norma. ","")&amp;IF(AND(AU52&gt;0,AV52/AU52-1&gt;Tolerancia_Comb),"Combustible traslado Oriente "&amp;TEXT(AV52/AU52-1,"+0%")&amp;" sobre norma. ","")&amp;IF(AND(AW52&gt;0,AX52/AW52-1&gt;Tolerancia_Comb),"Combustible distribución Oriente "&amp;TEXT(AX52/AW52-1,"+0%")&amp;" sobre norma. ","")&amp;IF(AND(ENTRADA!$C52&lt;&gt;"",C52&lt;PRECIOS!$A$6),"Fecha anterior a la 1ª vigencia de precios. ","")&amp;IF(CD52&lt;0,"Contenedor con pérdida. ",""))</f>
      </c>
    </row>
    <row r="53">
      <c r="A53" s="60">
        <f>IF(B53="","",ROW()-5)</f>
      </c>
      <c r="B53" s="63">
        <f>IF(ENTRADA!$B53="","",ENTRADA!$B53)</f>
      </c>
      <c r="C53" s="64">
        <f>IF(B53="","",ENTRADA!$C53)</f>
      </c>
      <c r="D53" s="65">
        <f>IF(B53="","",DATE(YEAR(C53),MONTH(C53),1))</f>
      </c>
      <c r="E53" s="66">
        <f>IF(B53="","",ENTRADA!$D53&amp;"")</f>
      </c>
      <c r="F53" s="66">
        <f>IF(B53="","",ENTRADA!$Z53&amp;"")</f>
      </c>
      <c r="G53" s="67">
        <f>IF(B53="","",N(ENTRADA!$G53))</f>
      </c>
      <c r="H53" s="67">
        <f>IF(B53="","",N(ENTRADA!$H53))</f>
      </c>
      <c r="I53" s="67">
        <f>IF(B53="","",N(ENTRADA!$I53))</f>
      </c>
      <c r="J53" s="68">
        <f>IF(B53="","",G53+H53+I53)</f>
      </c>
      <c r="K53" s="60">
        <f>IF(B53="","",IFERROR(MATCH(SUMPRODUCT(MAX((PRECIOS!$A$6:$A$55&lt;=C53)*PRECIOS!$A$6:$A$55)),PRECIOS!$A$6:$A$55,0),1))</f>
      </c>
      <c r="L53" s="69">
        <f>IF(B53="","",INDEX(PRECIOS!$A$6:$A$55,K53))</f>
      </c>
      <c r="M53" s="37">
        <f>IF(B53="","",G53*INDEX(PRECIOS!$B$6:$B$55,K53))</f>
      </c>
      <c r="N53" s="37">
        <f>IF(B53="","",H53*INDEX(PRECIOS!$C$6:$C$55,K53))</f>
      </c>
      <c r="O53" s="37">
        <f>IF(B53="","",I53*INDEX(PRECIOS!$D$6:$D$55,K53))</f>
      </c>
      <c r="P53" s="37">
        <f>IF(B53="","",N(ENTRADA!$X53))</f>
      </c>
      <c r="Q53" s="70">
        <f>IF(B53="","",M53+N53+O53+P53)</f>
      </c>
      <c r="R53" s="71">
        <f>IF(B53="","",IF(ENTRADA!$J53="",Std_Viajes_Puerto,ENTRADA!$J53))</f>
      </c>
      <c r="S53" s="37">
        <f>IF(B53="","",R53*INDEX(PRECIOS!$F$6:$F$55,K53))</f>
      </c>
      <c r="T53" s="71">
        <f>IF(B53="","",R53*Litros_Puerto_Viaje)</f>
      </c>
      <c r="U53" s="71">
        <f>IF(B53="","",IF(ENTRADA!$K53="",T53,ENTRADA!$K53))</f>
      </c>
      <c r="V53" s="37">
        <f>IF(B53="","",U53*INDEX(PRECIOS!$E$6:$E$55,K53))</f>
      </c>
      <c r="W53" s="37">
        <f>IF(B53="","",IF(ENTRADA!$L53="",R53*INDEX(PRECIOS!$G$6:$G$55,K53),ENTRADA!$L53))</f>
      </c>
      <c r="X53" s="37">
        <f>IF(B53="","",R53*Km_Puerto_Viaje*INDEX(PRECIOS!$N$6:$N$55,K53))</f>
      </c>
      <c r="Y53" s="70">
        <f>IF(B53="","",S53+V53+W53+X53)</f>
      </c>
      <c r="Z53" s="71">
        <f>IF(B53="","",IF(J53=0,0,ROUNDUP(J53/Rend_Desagrupe,0)))</f>
      </c>
      <c r="AA53" s="71">
        <f>IF(B53="","",IF(ENTRADA!$M53="",Z53,ENTRADA!$M53))</f>
      </c>
      <c r="AB53" s="37">
        <f>IF(B53="","",AA53*INDEX(PRECIOS!$H$6:$H$55,K53))</f>
      </c>
      <c r="AC53" s="37">
        <f>IF(B53="","",IF(E53="ENCI",INDEX(PRECIOS!$J$6:$J$55,K53),IF(E53="A.V",INDEX(PRECIOS!$K$6:$K$55,K53),0)))</f>
      </c>
      <c r="AD53" s="37">
        <f>IF(B53="","",N(ENTRADA!$N53))</f>
      </c>
      <c r="AE53" s="70">
        <f>IF(B53="","",AB53+AC53+AD53)</f>
      </c>
      <c r="AF53" s="71">
        <f>IF(B53="","",IF(G53=0,0,ROUNDUP(G53/Cap_Camion_OCC,0)))</f>
      </c>
      <c r="AG53" s="71">
        <f>IF(B53="","",AF53*L_Dist_OCC)</f>
      </c>
      <c r="AH53" s="71">
        <f>IF(B53="","",IF(ENTRADA!$O53="",AG53,ENTRADA!$O53))</f>
      </c>
      <c r="AI53" s="37">
        <f>IF(B53="","",AH53*INDEX(PRECIOS!$E$6:$E$55,K53))</f>
      </c>
      <c r="AJ53" s="71">
        <f>IF(B53="","",IF(H53=0,0,ROUNDUP(H53/Cap_Camion_CEN,0)))</f>
      </c>
      <c r="AK53" s="71">
        <f>IF(B53="","",AJ53*L_Tras_CEN)</f>
      </c>
      <c r="AL53" s="71">
        <f>IF(B53="","",IF(ENTRADA!$P53="",AK53,ENTRADA!$P53))</f>
      </c>
      <c r="AM53" s="71">
        <f>IF(B53="","",AJ53*L_Dist_CEN)</f>
      </c>
      <c r="AN53" s="71">
        <f>IF(B53="","",IF(ENTRADA!$Q53="",AM53,ENTRADA!$Q53))</f>
      </c>
      <c r="AO53" s="37">
        <f>IF(B53="","",(AL53+AN53)*INDEX(PRECIOS!$E$6:$E$55,K53))</f>
      </c>
      <c r="AP53" s="71">
        <f>IF(B53="","",IF(H53=0,0,ROUNDUP(H53/Rend_Desagrupe_CT,0)))</f>
      </c>
      <c r="AQ53" s="71">
        <f>IF(B53="","",IF(ENTRADA!$R53="",AP53,ENTRADA!$R53))</f>
      </c>
      <c r="AR53" s="37">
        <f>IF(B53="","",AQ53*INDEX(PRECIOS!$I$6:$I$55,K53))</f>
      </c>
      <c r="AS53" s="37">
        <f>IF(B53="","",AO53+AR53)</f>
      </c>
      <c r="AT53" s="71">
        <f>IF(B53="","",IF(I53=0,0,ROUNDUP(I53/Cap_Camion_ORI,0)))</f>
      </c>
      <c r="AU53" s="71">
        <f>IF(B53="","",AT53*L_Tras_ORI)</f>
      </c>
      <c r="AV53" s="71">
        <f>IF(B53="","",IF(ENTRADA!$S53="",AU53,ENTRADA!$S53))</f>
      </c>
      <c r="AW53" s="71">
        <f>IF(B53="","",AT53*L_Dist_ORI)</f>
      </c>
      <c r="AX53" s="71">
        <f>IF(B53="","",IF(ENTRADA!$T53="",AW53,ENTRADA!$T53))</f>
      </c>
      <c r="AY53" s="37">
        <f>IF(B53="","",(AV53+AX53)*INDEX(PRECIOS!$E$6:$E$55,K53))</f>
      </c>
      <c r="AZ53" s="71">
        <f>IF(B53="","",IF(I53=0,0,ROUNDUP(I53/Rend_Desagrupe_CT,0)))</f>
      </c>
      <c r="BA53" s="71">
        <f>IF(B53="","",IF(ENTRADA!$U53="",AZ53,ENTRADA!$U53))</f>
      </c>
      <c r="BB53" s="37">
        <f>IF(B53="","",BA53*INDEX(PRECIOS!$I$6:$I$55,K53))</f>
      </c>
      <c r="BC53" s="37">
        <f>IF(B53="","",AY53+BB53)</f>
      </c>
      <c r="BD53" s="70">
        <f>IF(B53="","",AI53+AS53+BC53)</f>
      </c>
      <c r="BE53" s="37">
        <f>IF(B53="","",IF(Base_Comision="% DEL INGRESO",M53*INDEX(PRECIOS!$L$6:$L$55,K53),G53*INDEX(PRECIOS!$M$6:$M$55,K53)))</f>
      </c>
      <c r="BF53" s="37">
        <f>IF(B53="","",IF(Base_Comision="% DEL INGRESO",N53*INDEX(PRECIOS!$L$6:$L$55,K53),H53*INDEX(PRECIOS!$M$6:$M$55,K53)))</f>
      </c>
      <c r="BG53" s="37">
        <f>IF(B53="","",IF(Base_Comision="% DEL INGRESO",O53*INDEX(PRECIOS!$L$6:$L$55,K53),I53*INDEX(PRECIOS!$M$6:$M$55,K53)))</f>
      </c>
      <c r="BH53" s="70">
        <f>IF(B53="","",BE53+BF53+BG53)</f>
      </c>
      <c r="BI53" s="37">
        <f>IF(B53="","",Q53*Pct_Reclamaciones)</f>
      </c>
      <c r="BJ53" s="37">
        <f>IF(B53="","",Q53*Pct_Banco)</f>
      </c>
      <c r="BK53" s="37">
        <f>IF(B53="","",N(ENTRADA!$V53))</f>
      </c>
      <c r="BL53" s="70">
        <f>IF(B53="","",Y53+AE53+BD53+BH53+BI53+BJ53+BK53)</f>
      </c>
      <c r="BM53" s="70">
        <f>IF(B53="","",Q53-BL53)</f>
      </c>
      <c r="BN53" s="72">
        <f>IF(B53="","",IF(Q53=0,0,BM53/Q53))</f>
      </c>
      <c r="BO53" s="73">
        <f>IF(B53="","",IF(J53=0,0,BM53/J53))</f>
      </c>
      <c r="BP53" s="60">
        <f>IF(B53="","",IFERROR(MATCH(D53,COSTOS_FIJOS!$G$5:$AD$5,0),0))</f>
      </c>
      <c r="BQ53" s="60">
        <f>IF(B53="","",COUNTIFS($D$6:$D$305,D53))</f>
      </c>
      <c r="BR53" s="67">
        <f>IF(B53="","",SUMIFS($J$6:$J$305,$D$6:$D$305,D53))</f>
      </c>
      <c r="BS53" s="72">
        <f>IF(B53="","",IF(Metodo_Prorrateo="KG",IF(BR53=0,0,J53/BR53),1/BQ53))</f>
      </c>
      <c r="BT53" s="37">
        <f>IF(B53="","",IF(BP53=0,0,INDEX(COSTOS_FIJOS!$G$38:$AD$38,BP53))*BS53)</f>
      </c>
      <c r="BU53" s="72">
        <f>IF(B53="","",IF(Metodo_Prorrateo="KG",IF(SUMIFS($G$6:$G$305,$D$6:$D$305,D53)=0,0,G53/SUMIFS($G$6:$G$305,$D$6:$D$305,D53)),IF(G53&gt;0,1/COUNTIFS($D$6:$D$305,D53,$G$6:$G$305,"&gt;0"),0)))</f>
      </c>
      <c r="BV53" s="37">
        <f>IF(B53="","",IF(BP53=0,0,INDEX(COSTOS_FIJOS!$G$39:$AD$39,BP53))*BU53)</f>
      </c>
      <c r="BW53" s="72">
        <f>IF(B53="","",IF(Metodo_Prorrateo="KG",IF(SUMIFS($H$6:$H$305,$D$6:$D$305,D53)=0,0,H53/SUMIFS($H$6:$H$305,$D$6:$D$305,D53)),IF(H53&gt;0,1/COUNTIFS($D$6:$D$305,D53,$H$6:$H$305,"&gt;0"),0)))</f>
      </c>
      <c r="BX53" s="37">
        <f>IF(B53="","",IF(BP53=0,0,INDEX(COSTOS_FIJOS!$G$40:$AD$40,BP53))*BW53)</f>
      </c>
      <c r="BY53" s="72">
        <f>IF(B53="","",IF(Metodo_Prorrateo="KG",IF(SUMIFS($I$6:$I$305,$D$6:$D$305,D53)=0,0,I53/SUMIFS($I$6:$I$305,$D$6:$D$305,D53)),IF(I53&gt;0,1/COUNTIFS($D$6:$D$305,D53,$I$6:$I$305,"&gt;0"),0)))</f>
      </c>
      <c r="BZ53" s="37">
        <f>IF(B53="","",IF(BP53=0,0,INDEX(COSTOS_FIJOS!$G$41:$AD$41,BP53))*BY53)</f>
      </c>
      <c r="CA53" s="70">
        <f>IF(B53="","",BT53+BV53+BX53+BZ53)</f>
      </c>
      <c r="CB53" s="37">
        <f>IF(B53="","",Q53*Imp_Ventas_Serv)</f>
      </c>
      <c r="CC53" s="37">
        <f>IF(B53="","",Q53*Contrib_Territorial)</f>
      </c>
      <c r="CD53" s="70">
        <f>IF(B53="","",BM53-CA53-CB53-CC53)</f>
      </c>
      <c r="CE53" s="37">
        <f>IF(B53="","",MAX(0,CD53)*Imp_Utilidades)</f>
      </c>
      <c r="CF53" s="70">
        <f>IF(B53="","",CD53-CE53)</f>
      </c>
      <c r="CG53" s="72">
        <f>IF(B53="","",IF(Q53=0,0,CF53/Q53))</f>
      </c>
      <c r="CH53" s="73">
        <f>IF(B53="","",IF(J53=0,0,(BL53+CA53+CB53+CC53)/J53))</f>
      </c>
      <c r="CI53" s="73">
        <f>IF(B53="","",IF(J53=0,0,Q53/J53))</f>
      </c>
      <c r="CJ53" s="73">
        <f>IF(B53="","",IF(J53=0,0,CD53/J53))</f>
      </c>
      <c r="CK53" s="37">
        <f>IF(B53="","",Y53+AE53+BK53+BT53)</f>
      </c>
      <c r="CL53" s="37">
        <f>IF(B53="","",IF(J53=0,0,(M53+P53*G53/J53)*(1-Pct_Reclamaciones-Pct_Banco-Imp_Ventas_Serv-Contrib_Territorial)-AI53-BE53-BV53-CK53*G53/J53))</f>
      </c>
      <c r="CM53" s="37">
        <f>IF(B53="","",IF(J53=0,0,(N53+P53*H53/J53)*(1-Pct_Reclamaciones-Pct_Banco-Imp_Ventas_Serv-Contrib_Territorial)-AS53-BF53-BX53-CK53*H53/J53))</f>
      </c>
      <c r="CN53" s="37">
        <f>IF(B53="","",IF(J53=0,0,(O53+P53*I53/J53)*(1-Pct_Reclamaciones-Pct_Banco-Imp_Ventas_Serv-Contrib_Territorial)-BC53-BG53-BZ53-CK53*I53/J53))</f>
      </c>
      <c r="CO53" s="37">
        <f>IF(B53="","",IF(J53=0,0,ROUND(CD53-CL53-CM53-CN53,4)))</f>
      </c>
      <c r="CP53" s="71">
        <f>IF(B53="","",T53+AG53+AK53+AM53+AU53+AW53)</f>
      </c>
      <c r="CQ53" s="71">
        <f>IF(B53="","",U53+AH53+AL53+AN53+AV53+AX53)</f>
      </c>
      <c r="CR53" s="72">
        <f>IF(B53="","",IF(CP53=0,0,CQ53/CP53-1))</f>
      </c>
      <c r="CS53" s="60">
        <f>IF(B53="","",IF(ENTRADA!$Y53="","",ENTRADA!$Y53-C53))</f>
      </c>
      <c r="CT53" s="66">
        <f>IF(B53="","",IF(ENTRADA!$C53="","Falta fecha. ","")&amp;IF(BP53=0,"Mes fuera del rango de COSTOS_FIJOS. ","")&amp;IF(J53=0,"Sin kg. ","")&amp;IF(E53="","Falta transitaria. ","")&amp;IF(AND(T53&gt;0,U53/T53-1&gt;Tolerancia_Comb),"Combustible al puerto "&amp;TEXT(U53/T53-1,"+0%")&amp;" sobre norma. ","")&amp;IF(AND(AG53&gt;0,AH53/AG53-1&gt;Tolerancia_Comb),"Combustible distribución Occidente "&amp;TEXT(AH53/AG53-1,"+0%")&amp;" sobre norma. ","")&amp;IF(AND(AK53&gt;0,AL53/AK53-1&gt;Tolerancia_Comb),"Combustible traslado Centro "&amp;TEXT(AL53/AK53-1,"+0%")&amp;" sobre norma. ","")&amp;IF(AND(AM53&gt;0,AN53/AM53-1&gt;Tolerancia_Comb),"Combustible distribución Centro "&amp;TEXT(AN53/AM53-1,"+0%")&amp;" sobre norma. ","")&amp;IF(AND(AU53&gt;0,AV53/AU53-1&gt;Tolerancia_Comb),"Combustible traslado Oriente "&amp;TEXT(AV53/AU53-1,"+0%")&amp;" sobre norma. ","")&amp;IF(AND(AW53&gt;0,AX53/AW53-1&gt;Tolerancia_Comb),"Combustible distribución Oriente "&amp;TEXT(AX53/AW53-1,"+0%")&amp;" sobre norma. ","")&amp;IF(AND(ENTRADA!$C53&lt;&gt;"",C53&lt;PRECIOS!$A$6),"Fecha anterior a la 1ª vigencia de precios. ","")&amp;IF(CD53&lt;0,"Contenedor con pérdida. ",""))</f>
      </c>
    </row>
    <row r="54">
      <c r="A54" s="60">
        <f>IF(B54="","",ROW()-5)</f>
      </c>
      <c r="B54" s="63">
        <f>IF(ENTRADA!$B54="","",ENTRADA!$B54)</f>
      </c>
      <c r="C54" s="64">
        <f>IF(B54="","",ENTRADA!$C54)</f>
      </c>
      <c r="D54" s="65">
        <f>IF(B54="","",DATE(YEAR(C54),MONTH(C54),1))</f>
      </c>
      <c r="E54" s="66">
        <f>IF(B54="","",ENTRADA!$D54&amp;"")</f>
      </c>
      <c r="F54" s="66">
        <f>IF(B54="","",ENTRADA!$Z54&amp;"")</f>
      </c>
      <c r="G54" s="67">
        <f>IF(B54="","",N(ENTRADA!$G54))</f>
      </c>
      <c r="H54" s="67">
        <f>IF(B54="","",N(ENTRADA!$H54))</f>
      </c>
      <c r="I54" s="67">
        <f>IF(B54="","",N(ENTRADA!$I54))</f>
      </c>
      <c r="J54" s="68">
        <f>IF(B54="","",G54+H54+I54)</f>
      </c>
      <c r="K54" s="60">
        <f>IF(B54="","",IFERROR(MATCH(SUMPRODUCT(MAX((PRECIOS!$A$6:$A$55&lt;=C54)*PRECIOS!$A$6:$A$55)),PRECIOS!$A$6:$A$55,0),1))</f>
      </c>
      <c r="L54" s="69">
        <f>IF(B54="","",INDEX(PRECIOS!$A$6:$A$55,K54))</f>
      </c>
      <c r="M54" s="37">
        <f>IF(B54="","",G54*INDEX(PRECIOS!$B$6:$B$55,K54))</f>
      </c>
      <c r="N54" s="37">
        <f>IF(B54="","",H54*INDEX(PRECIOS!$C$6:$C$55,K54))</f>
      </c>
      <c r="O54" s="37">
        <f>IF(B54="","",I54*INDEX(PRECIOS!$D$6:$D$55,K54))</f>
      </c>
      <c r="P54" s="37">
        <f>IF(B54="","",N(ENTRADA!$X54))</f>
      </c>
      <c r="Q54" s="70">
        <f>IF(B54="","",M54+N54+O54+P54)</f>
      </c>
      <c r="R54" s="71">
        <f>IF(B54="","",IF(ENTRADA!$J54="",Std_Viajes_Puerto,ENTRADA!$J54))</f>
      </c>
      <c r="S54" s="37">
        <f>IF(B54="","",R54*INDEX(PRECIOS!$F$6:$F$55,K54))</f>
      </c>
      <c r="T54" s="71">
        <f>IF(B54="","",R54*Litros_Puerto_Viaje)</f>
      </c>
      <c r="U54" s="71">
        <f>IF(B54="","",IF(ENTRADA!$K54="",T54,ENTRADA!$K54))</f>
      </c>
      <c r="V54" s="37">
        <f>IF(B54="","",U54*INDEX(PRECIOS!$E$6:$E$55,K54))</f>
      </c>
      <c r="W54" s="37">
        <f>IF(B54="","",IF(ENTRADA!$L54="",R54*INDEX(PRECIOS!$G$6:$G$55,K54),ENTRADA!$L54))</f>
      </c>
      <c r="X54" s="37">
        <f>IF(B54="","",R54*Km_Puerto_Viaje*INDEX(PRECIOS!$N$6:$N$55,K54))</f>
      </c>
      <c r="Y54" s="70">
        <f>IF(B54="","",S54+V54+W54+X54)</f>
      </c>
      <c r="Z54" s="71">
        <f>IF(B54="","",IF(J54=0,0,ROUNDUP(J54/Rend_Desagrupe,0)))</f>
      </c>
      <c r="AA54" s="71">
        <f>IF(B54="","",IF(ENTRADA!$M54="",Z54,ENTRADA!$M54))</f>
      </c>
      <c r="AB54" s="37">
        <f>IF(B54="","",AA54*INDEX(PRECIOS!$H$6:$H$55,K54))</f>
      </c>
      <c r="AC54" s="37">
        <f>IF(B54="","",IF(E54="ENCI",INDEX(PRECIOS!$J$6:$J$55,K54),IF(E54="A.V",INDEX(PRECIOS!$K$6:$K$55,K54),0)))</f>
      </c>
      <c r="AD54" s="37">
        <f>IF(B54="","",N(ENTRADA!$N54))</f>
      </c>
      <c r="AE54" s="70">
        <f>IF(B54="","",AB54+AC54+AD54)</f>
      </c>
      <c r="AF54" s="71">
        <f>IF(B54="","",IF(G54=0,0,ROUNDUP(G54/Cap_Camion_OCC,0)))</f>
      </c>
      <c r="AG54" s="71">
        <f>IF(B54="","",AF54*L_Dist_OCC)</f>
      </c>
      <c r="AH54" s="71">
        <f>IF(B54="","",IF(ENTRADA!$O54="",AG54,ENTRADA!$O54))</f>
      </c>
      <c r="AI54" s="37">
        <f>IF(B54="","",AH54*INDEX(PRECIOS!$E$6:$E$55,K54))</f>
      </c>
      <c r="AJ54" s="71">
        <f>IF(B54="","",IF(H54=0,0,ROUNDUP(H54/Cap_Camion_CEN,0)))</f>
      </c>
      <c r="AK54" s="71">
        <f>IF(B54="","",AJ54*L_Tras_CEN)</f>
      </c>
      <c r="AL54" s="71">
        <f>IF(B54="","",IF(ENTRADA!$P54="",AK54,ENTRADA!$P54))</f>
      </c>
      <c r="AM54" s="71">
        <f>IF(B54="","",AJ54*L_Dist_CEN)</f>
      </c>
      <c r="AN54" s="71">
        <f>IF(B54="","",IF(ENTRADA!$Q54="",AM54,ENTRADA!$Q54))</f>
      </c>
      <c r="AO54" s="37">
        <f>IF(B54="","",(AL54+AN54)*INDEX(PRECIOS!$E$6:$E$55,K54))</f>
      </c>
      <c r="AP54" s="71">
        <f>IF(B54="","",IF(H54=0,0,ROUNDUP(H54/Rend_Desagrupe_CT,0)))</f>
      </c>
      <c r="AQ54" s="71">
        <f>IF(B54="","",IF(ENTRADA!$R54="",AP54,ENTRADA!$R54))</f>
      </c>
      <c r="AR54" s="37">
        <f>IF(B54="","",AQ54*INDEX(PRECIOS!$I$6:$I$55,K54))</f>
      </c>
      <c r="AS54" s="37">
        <f>IF(B54="","",AO54+AR54)</f>
      </c>
      <c r="AT54" s="71">
        <f>IF(B54="","",IF(I54=0,0,ROUNDUP(I54/Cap_Camion_ORI,0)))</f>
      </c>
      <c r="AU54" s="71">
        <f>IF(B54="","",AT54*L_Tras_ORI)</f>
      </c>
      <c r="AV54" s="71">
        <f>IF(B54="","",IF(ENTRADA!$S54="",AU54,ENTRADA!$S54))</f>
      </c>
      <c r="AW54" s="71">
        <f>IF(B54="","",AT54*L_Dist_ORI)</f>
      </c>
      <c r="AX54" s="71">
        <f>IF(B54="","",IF(ENTRADA!$T54="",AW54,ENTRADA!$T54))</f>
      </c>
      <c r="AY54" s="37">
        <f>IF(B54="","",(AV54+AX54)*INDEX(PRECIOS!$E$6:$E$55,K54))</f>
      </c>
      <c r="AZ54" s="71">
        <f>IF(B54="","",IF(I54=0,0,ROUNDUP(I54/Rend_Desagrupe_CT,0)))</f>
      </c>
      <c r="BA54" s="71">
        <f>IF(B54="","",IF(ENTRADA!$U54="",AZ54,ENTRADA!$U54))</f>
      </c>
      <c r="BB54" s="37">
        <f>IF(B54="","",BA54*INDEX(PRECIOS!$I$6:$I$55,K54))</f>
      </c>
      <c r="BC54" s="37">
        <f>IF(B54="","",AY54+BB54)</f>
      </c>
      <c r="BD54" s="70">
        <f>IF(B54="","",AI54+AS54+BC54)</f>
      </c>
      <c r="BE54" s="37">
        <f>IF(B54="","",IF(Base_Comision="% DEL INGRESO",M54*INDEX(PRECIOS!$L$6:$L$55,K54),G54*INDEX(PRECIOS!$M$6:$M$55,K54)))</f>
      </c>
      <c r="BF54" s="37">
        <f>IF(B54="","",IF(Base_Comision="% DEL INGRESO",N54*INDEX(PRECIOS!$L$6:$L$55,K54),H54*INDEX(PRECIOS!$M$6:$M$55,K54)))</f>
      </c>
      <c r="BG54" s="37">
        <f>IF(B54="","",IF(Base_Comision="% DEL INGRESO",O54*INDEX(PRECIOS!$L$6:$L$55,K54),I54*INDEX(PRECIOS!$M$6:$M$55,K54)))</f>
      </c>
      <c r="BH54" s="70">
        <f>IF(B54="","",BE54+BF54+BG54)</f>
      </c>
      <c r="BI54" s="37">
        <f>IF(B54="","",Q54*Pct_Reclamaciones)</f>
      </c>
      <c r="BJ54" s="37">
        <f>IF(B54="","",Q54*Pct_Banco)</f>
      </c>
      <c r="BK54" s="37">
        <f>IF(B54="","",N(ENTRADA!$V54))</f>
      </c>
      <c r="BL54" s="70">
        <f>IF(B54="","",Y54+AE54+BD54+BH54+BI54+BJ54+BK54)</f>
      </c>
      <c r="BM54" s="70">
        <f>IF(B54="","",Q54-BL54)</f>
      </c>
      <c r="BN54" s="72">
        <f>IF(B54="","",IF(Q54=0,0,BM54/Q54))</f>
      </c>
      <c r="BO54" s="73">
        <f>IF(B54="","",IF(J54=0,0,BM54/J54))</f>
      </c>
      <c r="BP54" s="60">
        <f>IF(B54="","",IFERROR(MATCH(D54,COSTOS_FIJOS!$G$5:$AD$5,0),0))</f>
      </c>
      <c r="BQ54" s="60">
        <f>IF(B54="","",COUNTIFS($D$6:$D$305,D54))</f>
      </c>
      <c r="BR54" s="67">
        <f>IF(B54="","",SUMIFS($J$6:$J$305,$D$6:$D$305,D54))</f>
      </c>
      <c r="BS54" s="72">
        <f>IF(B54="","",IF(Metodo_Prorrateo="KG",IF(BR54=0,0,J54/BR54),1/BQ54))</f>
      </c>
      <c r="BT54" s="37">
        <f>IF(B54="","",IF(BP54=0,0,INDEX(COSTOS_FIJOS!$G$38:$AD$38,BP54))*BS54)</f>
      </c>
      <c r="BU54" s="72">
        <f>IF(B54="","",IF(Metodo_Prorrateo="KG",IF(SUMIFS($G$6:$G$305,$D$6:$D$305,D54)=0,0,G54/SUMIFS($G$6:$G$305,$D$6:$D$305,D54)),IF(G54&gt;0,1/COUNTIFS($D$6:$D$305,D54,$G$6:$G$305,"&gt;0"),0)))</f>
      </c>
      <c r="BV54" s="37">
        <f>IF(B54="","",IF(BP54=0,0,INDEX(COSTOS_FIJOS!$G$39:$AD$39,BP54))*BU54)</f>
      </c>
      <c r="BW54" s="72">
        <f>IF(B54="","",IF(Metodo_Prorrateo="KG",IF(SUMIFS($H$6:$H$305,$D$6:$D$305,D54)=0,0,H54/SUMIFS($H$6:$H$305,$D$6:$D$305,D54)),IF(H54&gt;0,1/COUNTIFS($D$6:$D$305,D54,$H$6:$H$305,"&gt;0"),0)))</f>
      </c>
      <c r="BX54" s="37">
        <f>IF(B54="","",IF(BP54=0,0,INDEX(COSTOS_FIJOS!$G$40:$AD$40,BP54))*BW54)</f>
      </c>
      <c r="BY54" s="72">
        <f>IF(B54="","",IF(Metodo_Prorrateo="KG",IF(SUMIFS($I$6:$I$305,$D$6:$D$305,D54)=0,0,I54/SUMIFS($I$6:$I$305,$D$6:$D$305,D54)),IF(I54&gt;0,1/COUNTIFS($D$6:$D$305,D54,$I$6:$I$305,"&gt;0"),0)))</f>
      </c>
      <c r="BZ54" s="37">
        <f>IF(B54="","",IF(BP54=0,0,INDEX(COSTOS_FIJOS!$G$41:$AD$41,BP54))*BY54)</f>
      </c>
      <c r="CA54" s="70">
        <f>IF(B54="","",BT54+BV54+BX54+BZ54)</f>
      </c>
      <c r="CB54" s="37">
        <f>IF(B54="","",Q54*Imp_Ventas_Serv)</f>
      </c>
      <c r="CC54" s="37">
        <f>IF(B54="","",Q54*Contrib_Territorial)</f>
      </c>
      <c r="CD54" s="70">
        <f>IF(B54="","",BM54-CA54-CB54-CC54)</f>
      </c>
      <c r="CE54" s="37">
        <f>IF(B54="","",MAX(0,CD54)*Imp_Utilidades)</f>
      </c>
      <c r="CF54" s="70">
        <f>IF(B54="","",CD54-CE54)</f>
      </c>
      <c r="CG54" s="72">
        <f>IF(B54="","",IF(Q54=0,0,CF54/Q54))</f>
      </c>
      <c r="CH54" s="73">
        <f>IF(B54="","",IF(J54=0,0,(BL54+CA54+CB54+CC54)/J54))</f>
      </c>
      <c r="CI54" s="73">
        <f>IF(B54="","",IF(J54=0,0,Q54/J54))</f>
      </c>
      <c r="CJ54" s="73">
        <f>IF(B54="","",IF(J54=0,0,CD54/J54))</f>
      </c>
      <c r="CK54" s="37">
        <f>IF(B54="","",Y54+AE54+BK54+BT54)</f>
      </c>
      <c r="CL54" s="37">
        <f>IF(B54="","",IF(J54=0,0,(M54+P54*G54/J54)*(1-Pct_Reclamaciones-Pct_Banco-Imp_Ventas_Serv-Contrib_Territorial)-AI54-BE54-BV54-CK54*G54/J54))</f>
      </c>
      <c r="CM54" s="37">
        <f>IF(B54="","",IF(J54=0,0,(N54+P54*H54/J54)*(1-Pct_Reclamaciones-Pct_Banco-Imp_Ventas_Serv-Contrib_Territorial)-AS54-BF54-BX54-CK54*H54/J54))</f>
      </c>
      <c r="CN54" s="37">
        <f>IF(B54="","",IF(J54=0,0,(O54+P54*I54/J54)*(1-Pct_Reclamaciones-Pct_Banco-Imp_Ventas_Serv-Contrib_Territorial)-BC54-BG54-BZ54-CK54*I54/J54))</f>
      </c>
      <c r="CO54" s="37">
        <f>IF(B54="","",IF(J54=0,0,ROUND(CD54-CL54-CM54-CN54,4)))</f>
      </c>
      <c r="CP54" s="71">
        <f>IF(B54="","",T54+AG54+AK54+AM54+AU54+AW54)</f>
      </c>
      <c r="CQ54" s="71">
        <f>IF(B54="","",U54+AH54+AL54+AN54+AV54+AX54)</f>
      </c>
      <c r="CR54" s="72">
        <f>IF(B54="","",IF(CP54=0,0,CQ54/CP54-1))</f>
      </c>
      <c r="CS54" s="60">
        <f>IF(B54="","",IF(ENTRADA!$Y54="","",ENTRADA!$Y54-C54))</f>
      </c>
      <c r="CT54" s="66">
        <f>IF(B54="","",IF(ENTRADA!$C54="","Falta fecha. ","")&amp;IF(BP54=0,"Mes fuera del rango de COSTOS_FIJOS. ","")&amp;IF(J54=0,"Sin kg. ","")&amp;IF(E54="","Falta transitaria. ","")&amp;IF(AND(T54&gt;0,U54/T54-1&gt;Tolerancia_Comb),"Combustible al puerto "&amp;TEXT(U54/T54-1,"+0%")&amp;" sobre norma. ","")&amp;IF(AND(AG54&gt;0,AH54/AG54-1&gt;Tolerancia_Comb),"Combustible distribución Occidente "&amp;TEXT(AH54/AG54-1,"+0%")&amp;" sobre norma. ","")&amp;IF(AND(AK54&gt;0,AL54/AK54-1&gt;Tolerancia_Comb),"Combustible traslado Centro "&amp;TEXT(AL54/AK54-1,"+0%")&amp;" sobre norma. ","")&amp;IF(AND(AM54&gt;0,AN54/AM54-1&gt;Tolerancia_Comb),"Combustible distribución Centro "&amp;TEXT(AN54/AM54-1,"+0%")&amp;" sobre norma. ","")&amp;IF(AND(AU54&gt;0,AV54/AU54-1&gt;Tolerancia_Comb),"Combustible traslado Oriente "&amp;TEXT(AV54/AU54-1,"+0%")&amp;" sobre norma. ","")&amp;IF(AND(AW54&gt;0,AX54/AW54-1&gt;Tolerancia_Comb),"Combustible distribución Oriente "&amp;TEXT(AX54/AW54-1,"+0%")&amp;" sobre norma. ","")&amp;IF(AND(ENTRADA!$C54&lt;&gt;"",C54&lt;PRECIOS!$A$6),"Fecha anterior a la 1ª vigencia de precios. ","")&amp;IF(CD54&lt;0,"Contenedor con pérdida. ",""))</f>
      </c>
    </row>
    <row r="55">
      <c r="A55" s="60">
        <f>IF(B55="","",ROW()-5)</f>
      </c>
      <c r="B55" s="63">
        <f>IF(ENTRADA!$B55="","",ENTRADA!$B55)</f>
      </c>
      <c r="C55" s="64">
        <f>IF(B55="","",ENTRADA!$C55)</f>
      </c>
      <c r="D55" s="65">
        <f>IF(B55="","",DATE(YEAR(C55),MONTH(C55),1))</f>
      </c>
      <c r="E55" s="66">
        <f>IF(B55="","",ENTRADA!$D55&amp;"")</f>
      </c>
      <c r="F55" s="66">
        <f>IF(B55="","",ENTRADA!$Z55&amp;"")</f>
      </c>
      <c r="G55" s="67">
        <f>IF(B55="","",N(ENTRADA!$G55))</f>
      </c>
      <c r="H55" s="67">
        <f>IF(B55="","",N(ENTRADA!$H55))</f>
      </c>
      <c r="I55" s="67">
        <f>IF(B55="","",N(ENTRADA!$I55))</f>
      </c>
      <c r="J55" s="68">
        <f>IF(B55="","",G55+H55+I55)</f>
      </c>
      <c r="K55" s="60">
        <f>IF(B55="","",IFERROR(MATCH(SUMPRODUCT(MAX((PRECIOS!$A$6:$A$55&lt;=C55)*PRECIOS!$A$6:$A$55)),PRECIOS!$A$6:$A$55,0),1))</f>
      </c>
      <c r="L55" s="69">
        <f>IF(B55="","",INDEX(PRECIOS!$A$6:$A$55,K55))</f>
      </c>
      <c r="M55" s="37">
        <f>IF(B55="","",G55*INDEX(PRECIOS!$B$6:$B$55,K55))</f>
      </c>
      <c r="N55" s="37">
        <f>IF(B55="","",H55*INDEX(PRECIOS!$C$6:$C$55,K55))</f>
      </c>
      <c r="O55" s="37">
        <f>IF(B55="","",I55*INDEX(PRECIOS!$D$6:$D$55,K55))</f>
      </c>
      <c r="P55" s="37">
        <f>IF(B55="","",N(ENTRADA!$X55))</f>
      </c>
      <c r="Q55" s="70">
        <f>IF(B55="","",M55+N55+O55+P55)</f>
      </c>
      <c r="R55" s="71">
        <f>IF(B55="","",IF(ENTRADA!$J55="",Std_Viajes_Puerto,ENTRADA!$J55))</f>
      </c>
      <c r="S55" s="37">
        <f>IF(B55="","",R55*INDEX(PRECIOS!$F$6:$F$55,K55))</f>
      </c>
      <c r="T55" s="71">
        <f>IF(B55="","",R55*Litros_Puerto_Viaje)</f>
      </c>
      <c r="U55" s="71">
        <f>IF(B55="","",IF(ENTRADA!$K55="",T55,ENTRADA!$K55))</f>
      </c>
      <c r="V55" s="37">
        <f>IF(B55="","",U55*INDEX(PRECIOS!$E$6:$E$55,K55))</f>
      </c>
      <c r="W55" s="37">
        <f>IF(B55="","",IF(ENTRADA!$L55="",R55*INDEX(PRECIOS!$G$6:$G$55,K55),ENTRADA!$L55))</f>
      </c>
      <c r="X55" s="37">
        <f>IF(B55="","",R55*Km_Puerto_Viaje*INDEX(PRECIOS!$N$6:$N$55,K55))</f>
      </c>
      <c r="Y55" s="70">
        <f>IF(B55="","",S55+V55+W55+X55)</f>
      </c>
      <c r="Z55" s="71">
        <f>IF(B55="","",IF(J55=0,0,ROUNDUP(J55/Rend_Desagrupe,0)))</f>
      </c>
      <c r="AA55" s="71">
        <f>IF(B55="","",IF(ENTRADA!$M55="",Z55,ENTRADA!$M55))</f>
      </c>
      <c r="AB55" s="37">
        <f>IF(B55="","",AA55*INDEX(PRECIOS!$H$6:$H$55,K55))</f>
      </c>
      <c r="AC55" s="37">
        <f>IF(B55="","",IF(E55="ENCI",INDEX(PRECIOS!$J$6:$J$55,K55),IF(E55="A.V",INDEX(PRECIOS!$K$6:$K$55,K55),0)))</f>
      </c>
      <c r="AD55" s="37">
        <f>IF(B55="","",N(ENTRADA!$N55))</f>
      </c>
      <c r="AE55" s="70">
        <f>IF(B55="","",AB55+AC55+AD55)</f>
      </c>
      <c r="AF55" s="71">
        <f>IF(B55="","",IF(G55=0,0,ROUNDUP(G55/Cap_Camion_OCC,0)))</f>
      </c>
      <c r="AG55" s="71">
        <f>IF(B55="","",AF55*L_Dist_OCC)</f>
      </c>
      <c r="AH55" s="71">
        <f>IF(B55="","",IF(ENTRADA!$O55="",AG55,ENTRADA!$O55))</f>
      </c>
      <c r="AI55" s="37">
        <f>IF(B55="","",AH55*INDEX(PRECIOS!$E$6:$E$55,K55))</f>
      </c>
      <c r="AJ55" s="71">
        <f>IF(B55="","",IF(H55=0,0,ROUNDUP(H55/Cap_Camion_CEN,0)))</f>
      </c>
      <c r="AK55" s="71">
        <f>IF(B55="","",AJ55*L_Tras_CEN)</f>
      </c>
      <c r="AL55" s="71">
        <f>IF(B55="","",IF(ENTRADA!$P55="",AK55,ENTRADA!$P55))</f>
      </c>
      <c r="AM55" s="71">
        <f>IF(B55="","",AJ55*L_Dist_CEN)</f>
      </c>
      <c r="AN55" s="71">
        <f>IF(B55="","",IF(ENTRADA!$Q55="",AM55,ENTRADA!$Q55))</f>
      </c>
      <c r="AO55" s="37">
        <f>IF(B55="","",(AL55+AN55)*INDEX(PRECIOS!$E$6:$E$55,K55))</f>
      </c>
      <c r="AP55" s="71">
        <f>IF(B55="","",IF(H55=0,0,ROUNDUP(H55/Rend_Desagrupe_CT,0)))</f>
      </c>
      <c r="AQ55" s="71">
        <f>IF(B55="","",IF(ENTRADA!$R55="",AP55,ENTRADA!$R55))</f>
      </c>
      <c r="AR55" s="37">
        <f>IF(B55="","",AQ55*INDEX(PRECIOS!$I$6:$I$55,K55))</f>
      </c>
      <c r="AS55" s="37">
        <f>IF(B55="","",AO55+AR55)</f>
      </c>
      <c r="AT55" s="71">
        <f>IF(B55="","",IF(I55=0,0,ROUNDUP(I55/Cap_Camion_ORI,0)))</f>
      </c>
      <c r="AU55" s="71">
        <f>IF(B55="","",AT55*L_Tras_ORI)</f>
      </c>
      <c r="AV55" s="71">
        <f>IF(B55="","",IF(ENTRADA!$S55="",AU55,ENTRADA!$S55))</f>
      </c>
      <c r="AW55" s="71">
        <f>IF(B55="","",AT55*L_Dist_ORI)</f>
      </c>
      <c r="AX55" s="71">
        <f>IF(B55="","",IF(ENTRADA!$T55="",AW55,ENTRADA!$T55))</f>
      </c>
      <c r="AY55" s="37">
        <f>IF(B55="","",(AV55+AX55)*INDEX(PRECIOS!$E$6:$E$55,K55))</f>
      </c>
      <c r="AZ55" s="71">
        <f>IF(B55="","",IF(I55=0,0,ROUNDUP(I55/Rend_Desagrupe_CT,0)))</f>
      </c>
      <c r="BA55" s="71">
        <f>IF(B55="","",IF(ENTRADA!$U55="",AZ55,ENTRADA!$U55))</f>
      </c>
      <c r="BB55" s="37">
        <f>IF(B55="","",BA55*INDEX(PRECIOS!$I$6:$I$55,K55))</f>
      </c>
      <c r="BC55" s="37">
        <f>IF(B55="","",AY55+BB55)</f>
      </c>
      <c r="BD55" s="70">
        <f>IF(B55="","",AI55+AS55+BC55)</f>
      </c>
      <c r="BE55" s="37">
        <f>IF(B55="","",IF(Base_Comision="% DEL INGRESO",M55*INDEX(PRECIOS!$L$6:$L$55,K55),G55*INDEX(PRECIOS!$M$6:$M$55,K55)))</f>
      </c>
      <c r="BF55" s="37">
        <f>IF(B55="","",IF(Base_Comision="% DEL INGRESO",N55*INDEX(PRECIOS!$L$6:$L$55,K55),H55*INDEX(PRECIOS!$M$6:$M$55,K55)))</f>
      </c>
      <c r="BG55" s="37">
        <f>IF(B55="","",IF(Base_Comision="% DEL INGRESO",O55*INDEX(PRECIOS!$L$6:$L$55,K55),I55*INDEX(PRECIOS!$M$6:$M$55,K55)))</f>
      </c>
      <c r="BH55" s="70">
        <f>IF(B55="","",BE55+BF55+BG55)</f>
      </c>
      <c r="BI55" s="37">
        <f>IF(B55="","",Q55*Pct_Reclamaciones)</f>
      </c>
      <c r="BJ55" s="37">
        <f>IF(B55="","",Q55*Pct_Banco)</f>
      </c>
      <c r="BK55" s="37">
        <f>IF(B55="","",N(ENTRADA!$V55))</f>
      </c>
      <c r="BL55" s="70">
        <f>IF(B55="","",Y55+AE55+BD55+BH55+BI55+BJ55+BK55)</f>
      </c>
      <c r="BM55" s="70">
        <f>IF(B55="","",Q55-BL55)</f>
      </c>
      <c r="BN55" s="72">
        <f>IF(B55="","",IF(Q55=0,0,BM55/Q55))</f>
      </c>
      <c r="BO55" s="73">
        <f>IF(B55="","",IF(J55=0,0,BM55/J55))</f>
      </c>
      <c r="BP55" s="60">
        <f>IF(B55="","",IFERROR(MATCH(D55,COSTOS_FIJOS!$G$5:$AD$5,0),0))</f>
      </c>
      <c r="BQ55" s="60">
        <f>IF(B55="","",COUNTIFS($D$6:$D$305,D55))</f>
      </c>
      <c r="BR55" s="67">
        <f>IF(B55="","",SUMIFS($J$6:$J$305,$D$6:$D$305,D55))</f>
      </c>
      <c r="BS55" s="72">
        <f>IF(B55="","",IF(Metodo_Prorrateo="KG",IF(BR55=0,0,J55/BR55),1/BQ55))</f>
      </c>
      <c r="BT55" s="37">
        <f>IF(B55="","",IF(BP55=0,0,INDEX(COSTOS_FIJOS!$G$38:$AD$38,BP55))*BS55)</f>
      </c>
      <c r="BU55" s="72">
        <f>IF(B55="","",IF(Metodo_Prorrateo="KG",IF(SUMIFS($G$6:$G$305,$D$6:$D$305,D55)=0,0,G55/SUMIFS($G$6:$G$305,$D$6:$D$305,D55)),IF(G55&gt;0,1/COUNTIFS($D$6:$D$305,D55,$G$6:$G$305,"&gt;0"),0)))</f>
      </c>
      <c r="BV55" s="37">
        <f>IF(B55="","",IF(BP55=0,0,INDEX(COSTOS_FIJOS!$G$39:$AD$39,BP55))*BU55)</f>
      </c>
      <c r="BW55" s="72">
        <f>IF(B55="","",IF(Metodo_Prorrateo="KG",IF(SUMIFS($H$6:$H$305,$D$6:$D$305,D55)=0,0,H55/SUMIFS($H$6:$H$305,$D$6:$D$305,D55)),IF(H55&gt;0,1/COUNTIFS($D$6:$D$305,D55,$H$6:$H$305,"&gt;0"),0)))</f>
      </c>
      <c r="BX55" s="37">
        <f>IF(B55="","",IF(BP55=0,0,INDEX(COSTOS_FIJOS!$G$40:$AD$40,BP55))*BW55)</f>
      </c>
      <c r="BY55" s="72">
        <f>IF(B55="","",IF(Metodo_Prorrateo="KG",IF(SUMIFS($I$6:$I$305,$D$6:$D$305,D55)=0,0,I55/SUMIFS($I$6:$I$305,$D$6:$D$305,D55)),IF(I55&gt;0,1/COUNTIFS($D$6:$D$305,D55,$I$6:$I$305,"&gt;0"),0)))</f>
      </c>
      <c r="BZ55" s="37">
        <f>IF(B55="","",IF(BP55=0,0,INDEX(COSTOS_FIJOS!$G$41:$AD$41,BP55))*BY55)</f>
      </c>
      <c r="CA55" s="70">
        <f>IF(B55="","",BT55+BV55+BX55+BZ55)</f>
      </c>
      <c r="CB55" s="37">
        <f>IF(B55="","",Q55*Imp_Ventas_Serv)</f>
      </c>
      <c r="CC55" s="37">
        <f>IF(B55="","",Q55*Contrib_Territorial)</f>
      </c>
      <c r="CD55" s="70">
        <f>IF(B55="","",BM55-CA55-CB55-CC55)</f>
      </c>
      <c r="CE55" s="37">
        <f>IF(B55="","",MAX(0,CD55)*Imp_Utilidades)</f>
      </c>
      <c r="CF55" s="70">
        <f>IF(B55="","",CD55-CE55)</f>
      </c>
      <c r="CG55" s="72">
        <f>IF(B55="","",IF(Q55=0,0,CF55/Q55))</f>
      </c>
      <c r="CH55" s="73">
        <f>IF(B55="","",IF(J55=0,0,(BL55+CA55+CB55+CC55)/J55))</f>
      </c>
      <c r="CI55" s="73">
        <f>IF(B55="","",IF(J55=0,0,Q55/J55))</f>
      </c>
      <c r="CJ55" s="73">
        <f>IF(B55="","",IF(J55=0,0,CD55/J55))</f>
      </c>
      <c r="CK55" s="37">
        <f>IF(B55="","",Y55+AE55+BK55+BT55)</f>
      </c>
      <c r="CL55" s="37">
        <f>IF(B55="","",IF(J55=0,0,(M55+P55*G55/J55)*(1-Pct_Reclamaciones-Pct_Banco-Imp_Ventas_Serv-Contrib_Territorial)-AI55-BE55-BV55-CK55*G55/J55))</f>
      </c>
      <c r="CM55" s="37">
        <f>IF(B55="","",IF(J55=0,0,(N55+P55*H55/J55)*(1-Pct_Reclamaciones-Pct_Banco-Imp_Ventas_Serv-Contrib_Territorial)-AS55-BF55-BX55-CK55*H55/J55))</f>
      </c>
      <c r="CN55" s="37">
        <f>IF(B55="","",IF(J55=0,0,(O55+P55*I55/J55)*(1-Pct_Reclamaciones-Pct_Banco-Imp_Ventas_Serv-Contrib_Territorial)-BC55-BG55-BZ55-CK55*I55/J55))</f>
      </c>
      <c r="CO55" s="37">
        <f>IF(B55="","",IF(J55=0,0,ROUND(CD55-CL55-CM55-CN55,4)))</f>
      </c>
      <c r="CP55" s="71">
        <f>IF(B55="","",T55+AG55+AK55+AM55+AU55+AW55)</f>
      </c>
      <c r="CQ55" s="71">
        <f>IF(B55="","",U55+AH55+AL55+AN55+AV55+AX55)</f>
      </c>
      <c r="CR55" s="72">
        <f>IF(B55="","",IF(CP55=0,0,CQ55/CP55-1))</f>
      </c>
      <c r="CS55" s="60">
        <f>IF(B55="","",IF(ENTRADA!$Y55="","",ENTRADA!$Y55-C55))</f>
      </c>
      <c r="CT55" s="66">
        <f>IF(B55="","",IF(ENTRADA!$C55="","Falta fecha. ","")&amp;IF(BP55=0,"Mes fuera del rango de COSTOS_FIJOS. ","")&amp;IF(J55=0,"Sin kg. ","")&amp;IF(E55="","Falta transitaria. ","")&amp;IF(AND(T55&gt;0,U55/T55-1&gt;Tolerancia_Comb),"Combustible al puerto "&amp;TEXT(U55/T55-1,"+0%")&amp;" sobre norma. ","")&amp;IF(AND(AG55&gt;0,AH55/AG55-1&gt;Tolerancia_Comb),"Combustible distribución Occidente "&amp;TEXT(AH55/AG55-1,"+0%")&amp;" sobre norma. ","")&amp;IF(AND(AK55&gt;0,AL55/AK55-1&gt;Tolerancia_Comb),"Combustible traslado Centro "&amp;TEXT(AL55/AK55-1,"+0%")&amp;" sobre norma. ","")&amp;IF(AND(AM55&gt;0,AN55/AM55-1&gt;Tolerancia_Comb),"Combustible distribución Centro "&amp;TEXT(AN55/AM55-1,"+0%")&amp;" sobre norma. ","")&amp;IF(AND(AU55&gt;0,AV55/AU55-1&gt;Tolerancia_Comb),"Combustible traslado Oriente "&amp;TEXT(AV55/AU55-1,"+0%")&amp;" sobre norma. ","")&amp;IF(AND(AW55&gt;0,AX55/AW55-1&gt;Tolerancia_Comb),"Combustible distribución Oriente "&amp;TEXT(AX55/AW55-1,"+0%")&amp;" sobre norma. ","")&amp;IF(AND(ENTRADA!$C55&lt;&gt;"",C55&lt;PRECIOS!$A$6),"Fecha anterior a la 1ª vigencia de precios. ","")&amp;IF(CD55&lt;0,"Contenedor con pérdida. ",""))</f>
      </c>
    </row>
    <row r="56">
      <c r="A56" s="60">
        <f>IF(B56="","",ROW()-5)</f>
      </c>
      <c r="B56" s="63">
        <f>IF(ENTRADA!$B56="","",ENTRADA!$B56)</f>
      </c>
      <c r="C56" s="64">
        <f>IF(B56="","",ENTRADA!$C56)</f>
      </c>
      <c r="D56" s="65">
        <f>IF(B56="","",DATE(YEAR(C56),MONTH(C56),1))</f>
      </c>
      <c r="E56" s="66">
        <f>IF(B56="","",ENTRADA!$D56&amp;"")</f>
      </c>
      <c r="F56" s="66">
        <f>IF(B56="","",ENTRADA!$Z56&amp;"")</f>
      </c>
      <c r="G56" s="67">
        <f>IF(B56="","",N(ENTRADA!$G56))</f>
      </c>
      <c r="H56" s="67">
        <f>IF(B56="","",N(ENTRADA!$H56))</f>
      </c>
      <c r="I56" s="67">
        <f>IF(B56="","",N(ENTRADA!$I56))</f>
      </c>
      <c r="J56" s="68">
        <f>IF(B56="","",G56+H56+I56)</f>
      </c>
      <c r="K56" s="60">
        <f>IF(B56="","",IFERROR(MATCH(SUMPRODUCT(MAX((PRECIOS!$A$6:$A$55&lt;=C56)*PRECIOS!$A$6:$A$55)),PRECIOS!$A$6:$A$55,0),1))</f>
      </c>
      <c r="L56" s="69">
        <f>IF(B56="","",INDEX(PRECIOS!$A$6:$A$55,K56))</f>
      </c>
      <c r="M56" s="37">
        <f>IF(B56="","",G56*INDEX(PRECIOS!$B$6:$B$55,K56))</f>
      </c>
      <c r="N56" s="37">
        <f>IF(B56="","",H56*INDEX(PRECIOS!$C$6:$C$55,K56))</f>
      </c>
      <c r="O56" s="37">
        <f>IF(B56="","",I56*INDEX(PRECIOS!$D$6:$D$55,K56))</f>
      </c>
      <c r="P56" s="37">
        <f>IF(B56="","",N(ENTRADA!$X56))</f>
      </c>
      <c r="Q56" s="70">
        <f>IF(B56="","",M56+N56+O56+P56)</f>
      </c>
      <c r="R56" s="71">
        <f>IF(B56="","",IF(ENTRADA!$J56="",Std_Viajes_Puerto,ENTRADA!$J56))</f>
      </c>
      <c r="S56" s="37">
        <f>IF(B56="","",R56*INDEX(PRECIOS!$F$6:$F$55,K56))</f>
      </c>
      <c r="T56" s="71">
        <f>IF(B56="","",R56*Litros_Puerto_Viaje)</f>
      </c>
      <c r="U56" s="71">
        <f>IF(B56="","",IF(ENTRADA!$K56="",T56,ENTRADA!$K56))</f>
      </c>
      <c r="V56" s="37">
        <f>IF(B56="","",U56*INDEX(PRECIOS!$E$6:$E$55,K56))</f>
      </c>
      <c r="W56" s="37">
        <f>IF(B56="","",IF(ENTRADA!$L56="",R56*INDEX(PRECIOS!$G$6:$G$55,K56),ENTRADA!$L56))</f>
      </c>
      <c r="X56" s="37">
        <f>IF(B56="","",R56*Km_Puerto_Viaje*INDEX(PRECIOS!$N$6:$N$55,K56))</f>
      </c>
      <c r="Y56" s="70">
        <f>IF(B56="","",S56+V56+W56+X56)</f>
      </c>
      <c r="Z56" s="71">
        <f>IF(B56="","",IF(J56=0,0,ROUNDUP(J56/Rend_Desagrupe,0)))</f>
      </c>
      <c r="AA56" s="71">
        <f>IF(B56="","",IF(ENTRADA!$M56="",Z56,ENTRADA!$M56))</f>
      </c>
      <c r="AB56" s="37">
        <f>IF(B56="","",AA56*INDEX(PRECIOS!$H$6:$H$55,K56))</f>
      </c>
      <c r="AC56" s="37">
        <f>IF(B56="","",IF(E56="ENCI",INDEX(PRECIOS!$J$6:$J$55,K56),IF(E56="A.V",INDEX(PRECIOS!$K$6:$K$55,K56),0)))</f>
      </c>
      <c r="AD56" s="37">
        <f>IF(B56="","",N(ENTRADA!$N56))</f>
      </c>
      <c r="AE56" s="70">
        <f>IF(B56="","",AB56+AC56+AD56)</f>
      </c>
      <c r="AF56" s="71">
        <f>IF(B56="","",IF(G56=0,0,ROUNDUP(G56/Cap_Camion_OCC,0)))</f>
      </c>
      <c r="AG56" s="71">
        <f>IF(B56="","",AF56*L_Dist_OCC)</f>
      </c>
      <c r="AH56" s="71">
        <f>IF(B56="","",IF(ENTRADA!$O56="",AG56,ENTRADA!$O56))</f>
      </c>
      <c r="AI56" s="37">
        <f>IF(B56="","",AH56*INDEX(PRECIOS!$E$6:$E$55,K56))</f>
      </c>
      <c r="AJ56" s="71">
        <f>IF(B56="","",IF(H56=0,0,ROUNDUP(H56/Cap_Camion_CEN,0)))</f>
      </c>
      <c r="AK56" s="71">
        <f>IF(B56="","",AJ56*L_Tras_CEN)</f>
      </c>
      <c r="AL56" s="71">
        <f>IF(B56="","",IF(ENTRADA!$P56="",AK56,ENTRADA!$P56))</f>
      </c>
      <c r="AM56" s="71">
        <f>IF(B56="","",AJ56*L_Dist_CEN)</f>
      </c>
      <c r="AN56" s="71">
        <f>IF(B56="","",IF(ENTRADA!$Q56="",AM56,ENTRADA!$Q56))</f>
      </c>
      <c r="AO56" s="37">
        <f>IF(B56="","",(AL56+AN56)*INDEX(PRECIOS!$E$6:$E$55,K56))</f>
      </c>
      <c r="AP56" s="71">
        <f>IF(B56="","",IF(H56=0,0,ROUNDUP(H56/Rend_Desagrupe_CT,0)))</f>
      </c>
      <c r="AQ56" s="71">
        <f>IF(B56="","",IF(ENTRADA!$R56="",AP56,ENTRADA!$R56))</f>
      </c>
      <c r="AR56" s="37">
        <f>IF(B56="","",AQ56*INDEX(PRECIOS!$I$6:$I$55,K56))</f>
      </c>
      <c r="AS56" s="37">
        <f>IF(B56="","",AO56+AR56)</f>
      </c>
      <c r="AT56" s="71">
        <f>IF(B56="","",IF(I56=0,0,ROUNDUP(I56/Cap_Camion_ORI,0)))</f>
      </c>
      <c r="AU56" s="71">
        <f>IF(B56="","",AT56*L_Tras_ORI)</f>
      </c>
      <c r="AV56" s="71">
        <f>IF(B56="","",IF(ENTRADA!$S56="",AU56,ENTRADA!$S56))</f>
      </c>
      <c r="AW56" s="71">
        <f>IF(B56="","",AT56*L_Dist_ORI)</f>
      </c>
      <c r="AX56" s="71">
        <f>IF(B56="","",IF(ENTRADA!$T56="",AW56,ENTRADA!$T56))</f>
      </c>
      <c r="AY56" s="37">
        <f>IF(B56="","",(AV56+AX56)*INDEX(PRECIOS!$E$6:$E$55,K56))</f>
      </c>
      <c r="AZ56" s="71">
        <f>IF(B56="","",IF(I56=0,0,ROUNDUP(I56/Rend_Desagrupe_CT,0)))</f>
      </c>
      <c r="BA56" s="71">
        <f>IF(B56="","",IF(ENTRADA!$U56="",AZ56,ENTRADA!$U56))</f>
      </c>
      <c r="BB56" s="37">
        <f>IF(B56="","",BA56*INDEX(PRECIOS!$I$6:$I$55,K56))</f>
      </c>
      <c r="BC56" s="37">
        <f>IF(B56="","",AY56+BB56)</f>
      </c>
      <c r="BD56" s="70">
        <f>IF(B56="","",AI56+AS56+BC56)</f>
      </c>
      <c r="BE56" s="37">
        <f>IF(B56="","",IF(Base_Comision="% DEL INGRESO",M56*INDEX(PRECIOS!$L$6:$L$55,K56),G56*INDEX(PRECIOS!$M$6:$M$55,K56)))</f>
      </c>
      <c r="BF56" s="37">
        <f>IF(B56="","",IF(Base_Comision="% DEL INGRESO",N56*INDEX(PRECIOS!$L$6:$L$55,K56),H56*INDEX(PRECIOS!$M$6:$M$55,K56)))</f>
      </c>
      <c r="BG56" s="37">
        <f>IF(B56="","",IF(Base_Comision="% DEL INGRESO",O56*INDEX(PRECIOS!$L$6:$L$55,K56),I56*INDEX(PRECIOS!$M$6:$M$55,K56)))</f>
      </c>
      <c r="BH56" s="70">
        <f>IF(B56="","",BE56+BF56+BG56)</f>
      </c>
      <c r="BI56" s="37">
        <f>IF(B56="","",Q56*Pct_Reclamaciones)</f>
      </c>
      <c r="BJ56" s="37">
        <f>IF(B56="","",Q56*Pct_Banco)</f>
      </c>
      <c r="BK56" s="37">
        <f>IF(B56="","",N(ENTRADA!$V56))</f>
      </c>
      <c r="BL56" s="70">
        <f>IF(B56="","",Y56+AE56+BD56+BH56+BI56+BJ56+BK56)</f>
      </c>
      <c r="BM56" s="70">
        <f>IF(B56="","",Q56-BL56)</f>
      </c>
      <c r="BN56" s="72">
        <f>IF(B56="","",IF(Q56=0,0,BM56/Q56))</f>
      </c>
      <c r="BO56" s="73">
        <f>IF(B56="","",IF(J56=0,0,BM56/J56))</f>
      </c>
      <c r="BP56" s="60">
        <f>IF(B56="","",IFERROR(MATCH(D56,COSTOS_FIJOS!$G$5:$AD$5,0),0))</f>
      </c>
      <c r="BQ56" s="60">
        <f>IF(B56="","",COUNTIFS($D$6:$D$305,D56))</f>
      </c>
      <c r="BR56" s="67">
        <f>IF(B56="","",SUMIFS($J$6:$J$305,$D$6:$D$305,D56))</f>
      </c>
      <c r="BS56" s="72">
        <f>IF(B56="","",IF(Metodo_Prorrateo="KG",IF(BR56=0,0,J56/BR56),1/BQ56))</f>
      </c>
      <c r="BT56" s="37">
        <f>IF(B56="","",IF(BP56=0,0,INDEX(COSTOS_FIJOS!$G$38:$AD$38,BP56))*BS56)</f>
      </c>
      <c r="BU56" s="72">
        <f>IF(B56="","",IF(Metodo_Prorrateo="KG",IF(SUMIFS($G$6:$G$305,$D$6:$D$305,D56)=0,0,G56/SUMIFS($G$6:$G$305,$D$6:$D$305,D56)),IF(G56&gt;0,1/COUNTIFS($D$6:$D$305,D56,$G$6:$G$305,"&gt;0"),0)))</f>
      </c>
      <c r="BV56" s="37">
        <f>IF(B56="","",IF(BP56=0,0,INDEX(COSTOS_FIJOS!$G$39:$AD$39,BP56))*BU56)</f>
      </c>
      <c r="BW56" s="72">
        <f>IF(B56="","",IF(Metodo_Prorrateo="KG",IF(SUMIFS($H$6:$H$305,$D$6:$D$305,D56)=0,0,H56/SUMIFS($H$6:$H$305,$D$6:$D$305,D56)),IF(H56&gt;0,1/COUNTIFS($D$6:$D$305,D56,$H$6:$H$305,"&gt;0"),0)))</f>
      </c>
      <c r="BX56" s="37">
        <f>IF(B56="","",IF(BP56=0,0,INDEX(COSTOS_FIJOS!$G$40:$AD$40,BP56))*BW56)</f>
      </c>
      <c r="BY56" s="72">
        <f>IF(B56="","",IF(Metodo_Prorrateo="KG",IF(SUMIFS($I$6:$I$305,$D$6:$D$305,D56)=0,0,I56/SUMIFS($I$6:$I$305,$D$6:$D$305,D56)),IF(I56&gt;0,1/COUNTIFS($D$6:$D$305,D56,$I$6:$I$305,"&gt;0"),0)))</f>
      </c>
      <c r="BZ56" s="37">
        <f>IF(B56="","",IF(BP56=0,0,INDEX(COSTOS_FIJOS!$G$41:$AD$41,BP56))*BY56)</f>
      </c>
      <c r="CA56" s="70">
        <f>IF(B56="","",BT56+BV56+BX56+BZ56)</f>
      </c>
      <c r="CB56" s="37">
        <f>IF(B56="","",Q56*Imp_Ventas_Serv)</f>
      </c>
      <c r="CC56" s="37">
        <f>IF(B56="","",Q56*Contrib_Territorial)</f>
      </c>
      <c r="CD56" s="70">
        <f>IF(B56="","",BM56-CA56-CB56-CC56)</f>
      </c>
      <c r="CE56" s="37">
        <f>IF(B56="","",MAX(0,CD56)*Imp_Utilidades)</f>
      </c>
      <c r="CF56" s="70">
        <f>IF(B56="","",CD56-CE56)</f>
      </c>
      <c r="CG56" s="72">
        <f>IF(B56="","",IF(Q56=0,0,CF56/Q56))</f>
      </c>
      <c r="CH56" s="73">
        <f>IF(B56="","",IF(J56=0,0,(BL56+CA56+CB56+CC56)/J56))</f>
      </c>
      <c r="CI56" s="73">
        <f>IF(B56="","",IF(J56=0,0,Q56/J56))</f>
      </c>
      <c r="CJ56" s="73">
        <f>IF(B56="","",IF(J56=0,0,CD56/J56))</f>
      </c>
      <c r="CK56" s="37">
        <f>IF(B56="","",Y56+AE56+BK56+BT56)</f>
      </c>
      <c r="CL56" s="37">
        <f>IF(B56="","",IF(J56=0,0,(M56+P56*G56/J56)*(1-Pct_Reclamaciones-Pct_Banco-Imp_Ventas_Serv-Contrib_Territorial)-AI56-BE56-BV56-CK56*G56/J56))</f>
      </c>
      <c r="CM56" s="37">
        <f>IF(B56="","",IF(J56=0,0,(N56+P56*H56/J56)*(1-Pct_Reclamaciones-Pct_Banco-Imp_Ventas_Serv-Contrib_Territorial)-AS56-BF56-BX56-CK56*H56/J56))</f>
      </c>
      <c r="CN56" s="37">
        <f>IF(B56="","",IF(J56=0,0,(O56+P56*I56/J56)*(1-Pct_Reclamaciones-Pct_Banco-Imp_Ventas_Serv-Contrib_Territorial)-BC56-BG56-BZ56-CK56*I56/J56))</f>
      </c>
      <c r="CO56" s="37">
        <f>IF(B56="","",IF(J56=0,0,ROUND(CD56-CL56-CM56-CN56,4)))</f>
      </c>
      <c r="CP56" s="71">
        <f>IF(B56="","",T56+AG56+AK56+AM56+AU56+AW56)</f>
      </c>
      <c r="CQ56" s="71">
        <f>IF(B56="","",U56+AH56+AL56+AN56+AV56+AX56)</f>
      </c>
      <c r="CR56" s="72">
        <f>IF(B56="","",IF(CP56=0,0,CQ56/CP56-1))</f>
      </c>
      <c r="CS56" s="60">
        <f>IF(B56="","",IF(ENTRADA!$Y56="","",ENTRADA!$Y56-C56))</f>
      </c>
      <c r="CT56" s="66">
        <f>IF(B56="","",IF(ENTRADA!$C56="","Falta fecha. ","")&amp;IF(BP56=0,"Mes fuera del rango de COSTOS_FIJOS. ","")&amp;IF(J56=0,"Sin kg. ","")&amp;IF(E56="","Falta transitaria. ","")&amp;IF(AND(T56&gt;0,U56/T56-1&gt;Tolerancia_Comb),"Combustible al puerto "&amp;TEXT(U56/T56-1,"+0%")&amp;" sobre norma. ","")&amp;IF(AND(AG56&gt;0,AH56/AG56-1&gt;Tolerancia_Comb),"Combustible distribución Occidente "&amp;TEXT(AH56/AG56-1,"+0%")&amp;" sobre norma. ","")&amp;IF(AND(AK56&gt;0,AL56/AK56-1&gt;Tolerancia_Comb),"Combustible traslado Centro "&amp;TEXT(AL56/AK56-1,"+0%")&amp;" sobre norma. ","")&amp;IF(AND(AM56&gt;0,AN56/AM56-1&gt;Tolerancia_Comb),"Combustible distribución Centro "&amp;TEXT(AN56/AM56-1,"+0%")&amp;" sobre norma. ","")&amp;IF(AND(AU56&gt;0,AV56/AU56-1&gt;Tolerancia_Comb),"Combustible traslado Oriente "&amp;TEXT(AV56/AU56-1,"+0%")&amp;" sobre norma. ","")&amp;IF(AND(AW56&gt;0,AX56/AW56-1&gt;Tolerancia_Comb),"Combustible distribución Oriente "&amp;TEXT(AX56/AW56-1,"+0%")&amp;" sobre norma. ","")&amp;IF(AND(ENTRADA!$C56&lt;&gt;"",C56&lt;PRECIOS!$A$6),"Fecha anterior a la 1ª vigencia de precios. ","")&amp;IF(CD56&lt;0,"Contenedor con pérdida. ",""))</f>
      </c>
    </row>
    <row r="57">
      <c r="A57" s="60">
        <f>IF(B57="","",ROW()-5)</f>
      </c>
      <c r="B57" s="63">
        <f>IF(ENTRADA!$B57="","",ENTRADA!$B57)</f>
      </c>
      <c r="C57" s="64">
        <f>IF(B57="","",ENTRADA!$C57)</f>
      </c>
      <c r="D57" s="65">
        <f>IF(B57="","",DATE(YEAR(C57),MONTH(C57),1))</f>
      </c>
      <c r="E57" s="66">
        <f>IF(B57="","",ENTRADA!$D57&amp;"")</f>
      </c>
      <c r="F57" s="66">
        <f>IF(B57="","",ENTRADA!$Z57&amp;"")</f>
      </c>
      <c r="G57" s="67">
        <f>IF(B57="","",N(ENTRADA!$G57))</f>
      </c>
      <c r="H57" s="67">
        <f>IF(B57="","",N(ENTRADA!$H57))</f>
      </c>
      <c r="I57" s="67">
        <f>IF(B57="","",N(ENTRADA!$I57))</f>
      </c>
      <c r="J57" s="68">
        <f>IF(B57="","",G57+H57+I57)</f>
      </c>
      <c r="K57" s="60">
        <f>IF(B57="","",IFERROR(MATCH(SUMPRODUCT(MAX((PRECIOS!$A$6:$A$55&lt;=C57)*PRECIOS!$A$6:$A$55)),PRECIOS!$A$6:$A$55,0),1))</f>
      </c>
      <c r="L57" s="69">
        <f>IF(B57="","",INDEX(PRECIOS!$A$6:$A$55,K57))</f>
      </c>
      <c r="M57" s="37">
        <f>IF(B57="","",G57*INDEX(PRECIOS!$B$6:$B$55,K57))</f>
      </c>
      <c r="N57" s="37">
        <f>IF(B57="","",H57*INDEX(PRECIOS!$C$6:$C$55,K57))</f>
      </c>
      <c r="O57" s="37">
        <f>IF(B57="","",I57*INDEX(PRECIOS!$D$6:$D$55,K57))</f>
      </c>
      <c r="P57" s="37">
        <f>IF(B57="","",N(ENTRADA!$X57))</f>
      </c>
      <c r="Q57" s="70">
        <f>IF(B57="","",M57+N57+O57+P57)</f>
      </c>
      <c r="R57" s="71">
        <f>IF(B57="","",IF(ENTRADA!$J57="",Std_Viajes_Puerto,ENTRADA!$J57))</f>
      </c>
      <c r="S57" s="37">
        <f>IF(B57="","",R57*INDEX(PRECIOS!$F$6:$F$55,K57))</f>
      </c>
      <c r="T57" s="71">
        <f>IF(B57="","",R57*Litros_Puerto_Viaje)</f>
      </c>
      <c r="U57" s="71">
        <f>IF(B57="","",IF(ENTRADA!$K57="",T57,ENTRADA!$K57))</f>
      </c>
      <c r="V57" s="37">
        <f>IF(B57="","",U57*INDEX(PRECIOS!$E$6:$E$55,K57))</f>
      </c>
      <c r="W57" s="37">
        <f>IF(B57="","",IF(ENTRADA!$L57="",R57*INDEX(PRECIOS!$G$6:$G$55,K57),ENTRADA!$L57))</f>
      </c>
      <c r="X57" s="37">
        <f>IF(B57="","",R57*Km_Puerto_Viaje*INDEX(PRECIOS!$N$6:$N$55,K57))</f>
      </c>
      <c r="Y57" s="70">
        <f>IF(B57="","",S57+V57+W57+X57)</f>
      </c>
      <c r="Z57" s="71">
        <f>IF(B57="","",IF(J57=0,0,ROUNDUP(J57/Rend_Desagrupe,0)))</f>
      </c>
      <c r="AA57" s="71">
        <f>IF(B57="","",IF(ENTRADA!$M57="",Z57,ENTRADA!$M57))</f>
      </c>
      <c r="AB57" s="37">
        <f>IF(B57="","",AA57*INDEX(PRECIOS!$H$6:$H$55,K57))</f>
      </c>
      <c r="AC57" s="37">
        <f>IF(B57="","",IF(E57="ENCI",INDEX(PRECIOS!$J$6:$J$55,K57),IF(E57="A.V",INDEX(PRECIOS!$K$6:$K$55,K57),0)))</f>
      </c>
      <c r="AD57" s="37">
        <f>IF(B57="","",N(ENTRADA!$N57))</f>
      </c>
      <c r="AE57" s="70">
        <f>IF(B57="","",AB57+AC57+AD57)</f>
      </c>
      <c r="AF57" s="71">
        <f>IF(B57="","",IF(G57=0,0,ROUNDUP(G57/Cap_Camion_OCC,0)))</f>
      </c>
      <c r="AG57" s="71">
        <f>IF(B57="","",AF57*L_Dist_OCC)</f>
      </c>
      <c r="AH57" s="71">
        <f>IF(B57="","",IF(ENTRADA!$O57="",AG57,ENTRADA!$O57))</f>
      </c>
      <c r="AI57" s="37">
        <f>IF(B57="","",AH57*INDEX(PRECIOS!$E$6:$E$55,K57))</f>
      </c>
      <c r="AJ57" s="71">
        <f>IF(B57="","",IF(H57=0,0,ROUNDUP(H57/Cap_Camion_CEN,0)))</f>
      </c>
      <c r="AK57" s="71">
        <f>IF(B57="","",AJ57*L_Tras_CEN)</f>
      </c>
      <c r="AL57" s="71">
        <f>IF(B57="","",IF(ENTRADA!$P57="",AK57,ENTRADA!$P57))</f>
      </c>
      <c r="AM57" s="71">
        <f>IF(B57="","",AJ57*L_Dist_CEN)</f>
      </c>
      <c r="AN57" s="71">
        <f>IF(B57="","",IF(ENTRADA!$Q57="",AM57,ENTRADA!$Q57))</f>
      </c>
      <c r="AO57" s="37">
        <f>IF(B57="","",(AL57+AN57)*INDEX(PRECIOS!$E$6:$E$55,K57))</f>
      </c>
      <c r="AP57" s="71">
        <f>IF(B57="","",IF(H57=0,0,ROUNDUP(H57/Rend_Desagrupe_CT,0)))</f>
      </c>
      <c r="AQ57" s="71">
        <f>IF(B57="","",IF(ENTRADA!$R57="",AP57,ENTRADA!$R57))</f>
      </c>
      <c r="AR57" s="37">
        <f>IF(B57="","",AQ57*INDEX(PRECIOS!$I$6:$I$55,K57))</f>
      </c>
      <c r="AS57" s="37">
        <f>IF(B57="","",AO57+AR57)</f>
      </c>
      <c r="AT57" s="71">
        <f>IF(B57="","",IF(I57=0,0,ROUNDUP(I57/Cap_Camion_ORI,0)))</f>
      </c>
      <c r="AU57" s="71">
        <f>IF(B57="","",AT57*L_Tras_ORI)</f>
      </c>
      <c r="AV57" s="71">
        <f>IF(B57="","",IF(ENTRADA!$S57="",AU57,ENTRADA!$S57))</f>
      </c>
      <c r="AW57" s="71">
        <f>IF(B57="","",AT57*L_Dist_ORI)</f>
      </c>
      <c r="AX57" s="71">
        <f>IF(B57="","",IF(ENTRADA!$T57="",AW57,ENTRADA!$T57))</f>
      </c>
      <c r="AY57" s="37">
        <f>IF(B57="","",(AV57+AX57)*INDEX(PRECIOS!$E$6:$E$55,K57))</f>
      </c>
      <c r="AZ57" s="71">
        <f>IF(B57="","",IF(I57=0,0,ROUNDUP(I57/Rend_Desagrupe_CT,0)))</f>
      </c>
      <c r="BA57" s="71">
        <f>IF(B57="","",IF(ENTRADA!$U57="",AZ57,ENTRADA!$U57))</f>
      </c>
      <c r="BB57" s="37">
        <f>IF(B57="","",BA57*INDEX(PRECIOS!$I$6:$I$55,K57))</f>
      </c>
      <c r="BC57" s="37">
        <f>IF(B57="","",AY57+BB57)</f>
      </c>
      <c r="BD57" s="70">
        <f>IF(B57="","",AI57+AS57+BC57)</f>
      </c>
      <c r="BE57" s="37">
        <f>IF(B57="","",IF(Base_Comision="% DEL INGRESO",M57*INDEX(PRECIOS!$L$6:$L$55,K57),G57*INDEX(PRECIOS!$M$6:$M$55,K57)))</f>
      </c>
      <c r="BF57" s="37">
        <f>IF(B57="","",IF(Base_Comision="% DEL INGRESO",N57*INDEX(PRECIOS!$L$6:$L$55,K57),H57*INDEX(PRECIOS!$M$6:$M$55,K57)))</f>
      </c>
      <c r="BG57" s="37">
        <f>IF(B57="","",IF(Base_Comision="% DEL INGRESO",O57*INDEX(PRECIOS!$L$6:$L$55,K57),I57*INDEX(PRECIOS!$M$6:$M$55,K57)))</f>
      </c>
      <c r="BH57" s="70">
        <f>IF(B57="","",BE57+BF57+BG57)</f>
      </c>
      <c r="BI57" s="37">
        <f>IF(B57="","",Q57*Pct_Reclamaciones)</f>
      </c>
      <c r="BJ57" s="37">
        <f>IF(B57="","",Q57*Pct_Banco)</f>
      </c>
      <c r="BK57" s="37">
        <f>IF(B57="","",N(ENTRADA!$V57))</f>
      </c>
      <c r="BL57" s="70">
        <f>IF(B57="","",Y57+AE57+BD57+BH57+BI57+BJ57+BK57)</f>
      </c>
      <c r="BM57" s="70">
        <f>IF(B57="","",Q57-BL57)</f>
      </c>
      <c r="BN57" s="72">
        <f>IF(B57="","",IF(Q57=0,0,BM57/Q57))</f>
      </c>
      <c r="BO57" s="73">
        <f>IF(B57="","",IF(J57=0,0,BM57/J57))</f>
      </c>
      <c r="BP57" s="60">
        <f>IF(B57="","",IFERROR(MATCH(D57,COSTOS_FIJOS!$G$5:$AD$5,0),0))</f>
      </c>
      <c r="BQ57" s="60">
        <f>IF(B57="","",COUNTIFS($D$6:$D$305,D57))</f>
      </c>
      <c r="BR57" s="67">
        <f>IF(B57="","",SUMIFS($J$6:$J$305,$D$6:$D$305,D57))</f>
      </c>
      <c r="BS57" s="72">
        <f>IF(B57="","",IF(Metodo_Prorrateo="KG",IF(BR57=0,0,J57/BR57),1/BQ57))</f>
      </c>
      <c r="BT57" s="37">
        <f>IF(B57="","",IF(BP57=0,0,INDEX(COSTOS_FIJOS!$G$38:$AD$38,BP57))*BS57)</f>
      </c>
      <c r="BU57" s="72">
        <f>IF(B57="","",IF(Metodo_Prorrateo="KG",IF(SUMIFS($G$6:$G$305,$D$6:$D$305,D57)=0,0,G57/SUMIFS($G$6:$G$305,$D$6:$D$305,D57)),IF(G57&gt;0,1/COUNTIFS($D$6:$D$305,D57,$G$6:$G$305,"&gt;0"),0)))</f>
      </c>
      <c r="BV57" s="37">
        <f>IF(B57="","",IF(BP57=0,0,INDEX(COSTOS_FIJOS!$G$39:$AD$39,BP57))*BU57)</f>
      </c>
      <c r="BW57" s="72">
        <f>IF(B57="","",IF(Metodo_Prorrateo="KG",IF(SUMIFS($H$6:$H$305,$D$6:$D$305,D57)=0,0,H57/SUMIFS($H$6:$H$305,$D$6:$D$305,D57)),IF(H57&gt;0,1/COUNTIFS($D$6:$D$305,D57,$H$6:$H$305,"&gt;0"),0)))</f>
      </c>
      <c r="BX57" s="37">
        <f>IF(B57="","",IF(BP57=0,0,INDEX(COSTOS_FIJOS!$G$40:$AD$40,BP57))*BW57)</f>
      </c>
      <c r="BY57" s="72">
        <f>IF(B57="","",IF(Metodo_Prorrateo="KG",IF(SUMIFS($I$6:$I$305,$D$6:$D$305,D57)=0,0,I57/SUMIFS($I$6:$I$305,$D$6:$D$305,D57)),IF(I57&gt;0,1/COUNTIFS($D$6:$D$305,D57,$I$6:$I$305,"&gt;0"),0)))</f>
      </c>
      <c r="BZ57" s="37">
        <f>IF(B57="","",IF(BP57=0,0,INDEX(COSTOS_FIJOS!$G$41:$AD$41,BP57))*BY57)</f>
      </c>
      <c r="CA57" s="70">
        <f>IF(B57="","",BT57+BV57+BX57+BZ57)</f>
      </c>
      <c r="CB57" s="37">
        <f>IF(B57="","",Q57*Imp_Ventas_Serv)</f>
      </c>
      <c r="CC57" s="37">
        <f>IF(B57="","",Q57*Contrib_Territorial)</f>
      </c>
      <c r="CD57" s="70">
        <f>IF(B57="","",BM57-CA57-CB57-CC57)</f>
      </c>
      <c r="CE57" s="37">
        <f>IF(B57="","",MAX(0,CD57)*Imp_Utilidades)</f>
      </c>
      <c r="CF57" s="70">
        <f>IF(B57="","",CD57-CE57)</f>
      </c>
      <c r="CG57" s="72">
        <f>IF(B57="","",IF(Q57=0,0,CF57/Q57))</f>
      </c>
      <c r="CH57" s="73">
        <f>IF(B57="","",IF(J57=0,0,(BL57+CA57+CB57+CC57)/J57))</f>
      </c>
      <c r="CI57" s="73">
        <f>IF(B57="","",IF(J57=0,0,Q57/J57))</f>
      </c>
      <c r="CJ57" s="73">
        <f>IF(B57="","",IF(J57=0,0,CD57/J57))</f>
      </c>
      <c r="CK57" s="37">
        <f>IF(B57="","",Y57+AE57+BK57+BT57)</f>
      </c>
      <c r="CL57" s="37">
        <f>IF(B57="","",IF(J57=0,0,(M57+P57*G57/J57)*(1-Pct_Reclamaciones-Pct_Banco-Imp_Ventas_Serv-Contrib_Territorial)-AI57-BE57-BV57-CK57*G57/J57))</f>
      </c>
      <c r="CM57" s="37">
        <f>IF(B57="","",IF(J57=0,0,(N57+P57*H57/J57)*(1-Pct_Reclamaciones-Pct_Banco-Imp_Ventas_Serv-Contrib_Territorial)-AS57-BF57-BX57-CK57*H57/J57))</f>
      </c>
      <c r="CN57" s="37">
        <f>IF(B57="","",IF(J57=0,0,(O57+P57*I57/J57)*(1-Pct_Reclamaciones-Pct_Banco-Imp_Ventas_Serv-Contrib_Territorial)-BC57-BG57-BZ57-CK57*I57/J57))</f>
      </c>
      <c r="CO57" s="37">
        <f>IF(B57="","",IF(J57=0,0,ROUND(CD57-CL57-CM57-CN57,4)))</f>
      </c>
      <c r="CP57" s="71">
        <f>IF(B57="","",T57+AG57+AK57+AM57+AU57+AW57)</f>
      </c>
      <c r="CQ57" s="71">
        <f>IF(B57="","",U57+AH57+AL57+AN57+AV57+AX57)</f>
      </c>
      <c r="CR57" s="72">
        <f>IF(B57="","",IF(CP57=0,0,CQ57/CP57-1))</f>
      </c>
      <c r="CS57" s="60">
        <f>IF(B57="","",IF(ENTRADA!$Y57="","",ENTRADA!$Y57-C57))</f>
      </c>
      <c r="CT57" s="66">
        <f>IF(B57="","",IF(ENTRADA!$C57="","Falta fecha. ","")&amp;IF(BP57=0,"Mes fuera del rango de COSTOS_FIJOS. ","")&amp;IF(J57=0,"Sin kg. ","")&amp;IF(E57="","Falta transitaria. ","")&amp;IF(AND(T57&gt;0,U57/T57-1&gt;Tolerancia_Comb),"Combustible al puerto "&amp;TEXT(U57/T57-1,"+0%")&amp;" sobre norma. ","")&amp;IF(AND(AG57&gt;0,AH57/AG57-1&gt;Tolerancia_Comb),"Combustible distribución Occidente "&amp;TEXT(AH57/AG57-1,"+0%")&amp;" sobre norma. ","")&amp;IF(AND(AK57&gt;0,AL57/AK57-1&gt;Tolerancia_Comb),"Combustible traslado Centro "&amp;TEXT(AL57/AK57-1,"+0%")&amp;" sobre norma. ","")&amp;IF(AND(AM57&gt;0,AN57/AM57-1&gt;Tolerancia_Comb),"Combustible distribución Centro "&amp;TEXT(AN57/AM57-1,"+0%")&amp;" sobre norma. ","")&amp;IF(AND(AU57&gt;0,AV57/AU57-1&gt;Tolerancia_Comb),"Combustible traslado Oriente "&amp;TEXT(AV57/AU57-1,"+0%")&amp;" sobre norma. ","")&amp;IF(AND(AW57&gt;0,AX57/AW57-1&gt;Tolerancia_Comb),"Combustible distribución Oriente "&amp;TEXT(AX57/AW57-1,"+0%")&amp;" sobre norma. ","")&amp;IF(AND(ENTRADA!$C57&lt;&gt;"",C57&lt;PRECIOS!$A$6),"Fecha anterior a la 1ª vigencia de precios. ","")&amp;IF(CD57&lt;0,"Contenedor con pérdida. ",""))</f>
      </c>
    </row>
    <row r="58">
      <c r="A58" s="60">
        <f>IF(B58="","",ROW()-5)</f>
      </c>
      <c r="B58" s="63">
        <f>IF(ENTRADA!$B58="","",ENTRADA!$B58)</f>
      </c>
      <c r="C58" s="64">
        <f>IF(B58="","",ENTRADA!$C58)</f>
      </c>
      <c r="D58" s="65">
        <f>IF(B58="","",DATE(YEAR(C58),MONTH(C58),1))</f>
      </c>
      <c r="E58" s="66">
        <f>IF(B58="","",ENTRADA!$D58&amp;"")</f>
      </c>
      <c r="F58" s="66">
        <f>IF(B58="","",ENTRADA!$Z58&amp;"")</f>
      </c>
      <c r="G58" s="67">
        <f>IF(B58="","",N(ENTRADA!$G58))</f>
      </c>
      <c r="H58" s="67">
        <f>IF(B58="","",N(ENTRADA!$H58))</f>
      </c>
      <c r="I58" s="67">
        <f>IF(B58="","",N(ENTRADA!$I58))</f>
      </c>
      <c r="J58" s="68">
        <f>IF(B58="","",G58+H58+I58)</f>
      </c>
      <c r="K58" s="60">
        <f>IF(B58="","",IFERROR(MATCH(SUMPRODUCT(MAX((PRECIOS!$A$6:$A$55&lt;=C58)*PRECIOS!$A$6:$A$55)),PRECIOS!$A$6:$A$55,0),1))</f>
      </c>
      <c r="L58" s="69">
        <f>IF(B58="","",INDEX(PRECIOS!$A$6:$A$55,K58))</f>
      </c>
      <c r="M58" s="37">
        <f>IF(B58="","",G58*INDEX(PRECIOS!$B$6:$B$55,K58))</f>
      </c>
      <c r="N58" s="37">
        <f>IF(B58="","",H58*INDEX(PRECIOS!$C$6:$C$55,K58))</f>
      </c>
      <c r="O58" s="37">
        <f>IF(B58="","",I58*INDEX(PRECIOS!$D$6:$D$55,K58))</f>
      </c>
      <c r="P58" s="37">
        <f>IF(B58="","",N(ENTRADA!$X58))</f>
      </c>
      <c r="Q58" s="70">
        <f>IF(B58="","",M58+N58+O58+P58)</f>
      </c>
      <c r="R58" s="71">
        <f>IF(B58="","",IF(ENTRADA!$J58="",Std_Viajes_Puerto,ENTRADA!$J58))</f>
      </c>
      <c r="S58" s="37">
        <f>IF(B58="","",R58*INDEX(PRECIOS!$F$6:$F$55,K58))</f>
      </c>
      <c r="T58" s="71">
        <f>IF(B58="","",R58*Litros_Puerto_Viaje)</f>
      </c>
      <c r="U58" s="71">
        <f>IF(B58="","",IF(ENTRADA!$K58="",T58,ENTRADA!$K58))</f>
      </c>
      <c r="V58" s="37">
        <f>IF(B58="","",U58*INDEX(PRECIOS!$E$6:$E$55,K58))</f>
      </c>
      <c r="W58" s="37">
        <f>IF(B58="","",IF(ENTRADA!$L58="",R58*INDEX(PRECIOS!$G$6:$G$55,K58),ENTRADA!$L58))</f>
      </c>
      <c r="X58" s="37">
        <f>IF(B58="","",R58*Km_Puerto_Viaje*INDEX(PRECIOS!$N$6:$N$55,K58))</f>
      </c>
      <c r="Y58" s="70">
        <f>IF(B58="","",S58+V58+W58+X58)</f>
      </c>
      <c r="Z58" s="71">
        <f>IF(B58="","",IF(J58=0,0,ROUNDUP(J58/Rend_Desagrupe,0)))</f>
      </c>
      <c r="AA58" s="71">
        <f>IF(B58="","",IF(ENTRADA!$M58="",Z58,ENTRADA!$M58))</f>
      </c>
      <c r="AB58" s="37">
        <f>IF(B58="","",AA58*INDEX(PRECIOS!$H$6:$H$55,K58))</f>
      </c>
      <c r="AC58" s="37">
        <f>IF(B58="","",IF(E58="ENCI",INDEX(PRECIOS!$J$6:$J$55,K58),IF(E58="A.V",INDEX(PRECIOS!$K$6:$K$55,K58),0)))</f>
      </c>
      <c r="AD58" s="37">
        <f>IF(B58="","",N(ENTRADA!$N58))</f>
      </c>
      <c r="AE58" s="70">
        <f>IF(B58="","",AB58+AC58+AD58)</f>
      </c>
      <c r="AF58" s="71">
        <f>IF(B58="","",IF(G58=0,0,ROUNDUP(G58/Cap_Camion_OCC,0)))</f>
      </c>
      <c r="AG58" s="71">
        <f>IF(B58="","",AF58*L_Dist_OCC)</f>
      </c>
      <c r="AH58" s="71">
        <f>IF(B58="","",IF(ENTRADA!$O58="",AG58,ENTRADA!$O58))</f>
      </c>
      <c r="AI58" s="37">
        <f>IF(B58="","",AH58*INDEX(PRECIOS!$E$6:$E$55,K58))</f>
      </c>
      <c r="AJ58" s="71">
        <f>IF(B58="","",IF(H58=0,0,ROUNDUP(H58/Cap_Camion_CEN,0)))</f>
      </c>
      <c r="AK58" s="71">
        <f>IF(B58="","",AJ58*L_Tras_CEN)</f>
      </c>
      <c r="AL58" s="71">
        <f>IF(B58="","",IF(ENTRADA!$P58="",AK58,ENTRADA!$P58))</f>
      </c>
      <c r="AM58" s="71">
        <f>IF(B58="","",AJ58*L_Dist_CEN)</f>
      </c>
      <c r="AN58" s="71">
        <f>IF(B58="","",IF(ENTRADA!$Q58="",AM58,ENTRADA!$Q58))</f>
      </c>
      <c r="AO58" s="37">
        <f>IF(B58="","",(AL58+AN58)*INDEX(PRECIOS!$E$6:$E$55,K58))</f>
      </c>
      <c r="AP58" s="71">
        <f>IF(B58="","",IF(H58=0,0,ROUNDUP(H58/Rend_Desagrupe_CT,0)))</f>
      </c>
      <c r="AQ58" s="71">
        <f>IF(B58="","",IF(ENTRADA!$R58="",AP58,ENTRADA!$R58))</f>
      </c>
      <c r="AR58" s="37">
        <f>IF(B58="","",AQ58*INDEX(PRECIOS!$I$6:$I$55,K58))</f>
      </c>
      <c r="AS58" s="37">
        <f>IF(B58="","",AO58+AR58)</f>
      </c>
      <c r="AT58" s="71">
        <f>IF(B58="","",IF(I58=0,0,ROUNDUP(I58/Cap_Camion_ORI,0)))</f>
      </c>
      <c r="AU58" s="71">
        <f>IF(B58="","",AT58*L_Tras_ORI)</f>
      </c>
      <c r="AV58" s="71">
        <f>IF(B58="","",IF(ENTRADA!$S58="",AU58,ENTRADA!$S58))</f>
      </c>
      <c r="AW58" s="71">
        <f>IF(B58="","",AT58*L_Dist_ORI)</f>
      </c>
      <c r="AX58" s="71">
        <f>IF(B58="","",IF(ENTRADA!$T58="",AW58,ENTRADA!$T58))</f>
      </c>
      <c r="AY58" s="37">
        <f>IF(B58="","",(AV58+AX58)*INDEX(PRECIOS!$E$6:$E$55,K58))</f>
      </c>
      <c r="AZ58" s="71">
        <f>IF(B58="","",IF(I58=0,0,ROUNDUP(I58/Rend_Desagrupe_CT,0)))</f>
      </c>
      <c r="BA58" s="71">
        <f>IF(B58="","",IF(ENTRADA!$U58="",AZ58,ENTRADA!$U58))</f>
      </c>
      <c r="BB58" s="37">
        <f>IF(B58="","",BA58*INDEX(PRECIOS!$I$6:$I$55,K58))</f>
      </c>
      <c r="BC58" s="37">
        <f>IF(B58="","",AY58+BB58)</f>
      </c>
      <c r="BD58" s="70">
        <f>IF(B58="","",AI58+AS58+BC58)</f>
      </c>
      <c r="BE58" s="37">
        <f>IF(B58="","",IF(Base_Comision="% DEL INGRESO",M58*INDEX(PRECIOS!$L$6:$L$55,K58),G58*INDEX(PRECIOS!$M$6:$M$55,K58)))</f>
      </c>
      <c r="BF58" s="37">
        <f>IF(B58="","",IF(Base_Comision="% DEL INGRESO",N58*INDEX(PRECIOS!$L$6:$L$55,K58),H58*INDEX(PRECIOS!$M$6:$M$55,K58)))</f>
      </c>
      <c r="BG58" s="37">
        <f>IF(B58="","",IF(Base_Comision="% DEL INGRESO",O58*INDEX(PRECIOS!$L$6:$L$55,K58),I58*INDEX(PRECIOS!$M$6:$M$55,K58)))</f>
      </c>
      <c r="BH58" s="70">
        <f>IF(B58="","",BE58+BF58+BG58)</f>
      </c>
      <c r="BI58" s="37">
        <f>IF(B58="","",Q58*Pct_Reclamaciones)</f>
      </c>
      <c r="BJ58" s="37">
        <f>IF(B58="","",Q58*Pct_Banco)</f>
      </c>
      <c r="BK58" s="37">
        <f>IF(B58="","",N(ENTRADA!$V58))</f>
      </c>
      <c r="BL58" s="70">
        <f>IF(B58="","",Y58+AE58+BD58+BH58+BI58+BJ58+BK58)</f>
      </c>
      <c r="BM58" s="70">
        <f>IF(B58="","",Q58-BL58)</f>
      </c>
      <c r="BN58" s="72">
        <f>IF(B58="","",IF(Q58=0,0,BM58/Q58))</f>
      </c>
      <c r="BO58" s="73">
        <f>IF(B58="","",IF(J58=0,0,BM58/J58))</f>
      </c>
      <c r="BP58" s="60">
        <f>IF(B58="","",IFERROR(MATCH(D58,COSTOS_FIJOS!$G$5:$AD$5,0),0))</f>
      </c>
      <c r="BQ58" s="60">
        <f>IF(B58="","",COUNTIFS($D$6:$D$305,D58))</f>
      </c>
      <c r="BR58" s="67">
        <f>IF(B58="","",SUMIFS($J$6:$J$305,$D$6:$D$305,D58))</f>
      </c>
      <c r="BS58" s="72">
        <f>IF(B58="","",IF(Metodo_Prorrateo="KG",IF(BR58=0,0,J58/BR58),1/BQ58))</f>
      </c>
      <c r="BT58" s="37">
        <f>IF(B58="","",IF(BP58=0,0,INDEX(COSTOS_FIJOS!$G$38:$AD$38,BP58))*BS58)</f>
      </c>
      <c r="BU58" s="72">
        <f>IF(B58="","",IF(Metodo_Prorrateo="KG",IF(SUMIFS($G$6:$G$305,$D$6:$D$305,D58)=0,0,G58/SUMIFS($G$6:$G$305,$D$6:$D$305,D58)),IF(G58&gt;0,1/COUNTIFS($D$6:$D$305,D58,$G$6:$G$305,"&gt;0"),0)))</f>
      </c>
      <c r="BV58" s="37">
        <f>IF(B58="","",IF(BP58=0,0,INDEX(COSTOS_FIJOS!$G$39:$AD$39,BP58))*BU58)</f>
      </c>
      <c r="BW58" s="72">
        <f>IF(B58="","",IF(Metodo_Prorrateo="KG",IF(SUMIFS($H$6:$H$305,$D$6:$D$305,D58)=0,0,H58/SUMIFS($H$6:$H$305,$D$6:$D$305,D58)),IF(H58&gt;0,1/COUNTIFS($D$6:$D$305,D58,$H$6:$H$305,"&gt;0"),0)))</f>
      </c>
      <c r="BX58" s="37">
        <f>IF(B58="","",IF(BP58=0,0,INDEX(COSTOS_FIJOS!$G$40:$AD$40,BP58))*BW58)</f>
      </c>
      <c r="BY58" s="72">
        <f>IF(B58="","",IF(Metodo_Prorrateo="KG",IF(SUMIFS($I$6:$I$305,$D$6:$D$305,D58)=0,0,I58/SUMIFS($I$6:$I$305,$D$6:$D$305,D58)),IF(I58&gt;0,1/COUNTIFS($D$6:$D$305,D58,$I$6:$I$305,"&gt;0"),0)))</f>
      </c>
      <c r="BZ58" s="37">
        <f>IF(B58="","",IF(BP58=0,0,INDEX(COSTOS_FIJOS!$G$41:$AD$41,BP58))*BY58)</f>
      </c>
      <c r="CA58" s="70">
        <f>IF(B58="","",BT58+BV58+BX58+BZ58)</f>
      </c>
      <c r="CB58" s="37">
        <f>IF(B58="","",Q58*Imp_Ventas_Serv)</f>
      </c>
      <c r="CC58" s="37">
        <f>IF(B58="","",Q58*Contrib_Territorial)</f>
      </c>
      <c r="CD58" s="70">
        <f>IF(B58="","",BM58-CA58-CB58-CC58)</f>
      </c>
      <c r="CE58" s="37">
        <f>IF(B58="","",MAX(0,CD58)*Imp_Utilidades)</f>
      </c>
      <c r="CF58" s="70">
        <f>IF(B58="","",CD58-CE58)</f>
      </c>
      <c r="CG58" s="72">
        <f>IF(B58="","",IF(Q58=0,0,CF58/Q58))</f>
      </c>
      <c r="CH58" s="73">
        <f>IF(B58="","",IF(J58=0,0,(BL58+CA58+CB58+CC58)/J58))</f>
      </c>
      <c r="CI58" s="73">
        <f>IF(B58="","",IF(J58=0,0,Q58/J58))</f>
      </c>
      <c r="CJ58" s="73">
        <f>IF(B58="","",IF(J58=0,0,CD58/J58))</f>
      </c>
      <c r="CK58" s="37">
        <f>IF(B58="","",Y58+AE58+BK58+BT58)</f>
      </c>
      <c r="CL58" s="37">
        <f>IF(B58="","",IF(J58=0,0,(M58+P58*G58/J58)*(1-Pct_Reclamaciones-Pct_Banco-Imp_Ventas_Serv-Contrib_Territorial)-AI58-BE58-BV58-CK58*G58/J58))</f>
      </c>
      <c r="CM58" s="37">
        <f>IF(B58="","",IF(J58=0,0,(N58+P58*H58/J58)*(1-Pct_Reclamaciones-Pct_Banco-Imp_Ventas_Serv-Contrib_Territorial)-AS58-BF58-BX58-CK58*H58/J58))</f>
      </c>
      <c r="CN58" s="37">
        <f>IF(B58="","",IF(J58=0,0,(O58+P58*I58/J58)*(1-Pct_Reclamaciones-Pct_Banco-Imp_Ventas_Serv-Contrib_Territorial)-BC58-BG58-BZ58-CK58*I58/J58))</f>
      </c>
      <c r="CO58" s="37">
        <f>IF(B58="","",IF(J58=0,0,ROUND(CD58-CL58-CM58-CN58,4)))</f>
      </c>
      <c r="CP58" s="71">
        <f>IF(B58="","",T58+AG58+AK58+AM58+AU58+AW58)</f>
      </c>
      <c r="CQ58" s="71">
        <f>IF(B58="","",U58+AH58+AL58+AN58+AV58+AX58)</f>
      </c>
      <c r="CR58" s="72">
        <f>IF(B58="","",IF(CP58=0,0,CQ58/CP58-1))</f>
      </c>
      <c r="CS58" s="60">
        <f>IF(B58="","",IF(ENTRADA!$Y58="","",ENTRADA!$Y58-C58))</f>
      </c>
      <c r="CT58" s="66">
        <f>IF(B58="","",IF(ENTRADA!$C58="","Falta fecha. ","")&amp;IF(BP58=0,"Mes fuera del rango de COSTOS_FIJOS. ","")&amp;IF(J58=0,"Sin kg. ","")&amp;IF(E58="","Falta transitaria. ","")&amp;IF(AND(T58&gt;0,U58/T58-1&gt;Tolerancia_Comb),"Combustible al puerto "&amp;TEXT(U58/T58-1,"+0%")&amp;" sobre norma. ","")&amp;IF(AND(AG58&gt;0,AH58/AG58-1&gt;Tolerancia_Comb),"Combustible distribución Occidente "&amp;TEXT(AH58/AG58-1,"+0%")&amp;" sobre norma. ","")&amp;IF(AND(AK58&gt;0,AL58/AK58-1&gt;Tolerancia_Comb),"Combustible traslado Centro "&amp;TEXT(AL58/AK58-1,"+0%")&amp;" sobre norma. ","")&amp;IF(AND(AM58&gt;0,AN58/AM58-1&gt;Tolerancia_Comb),"Combustible distribución Centro "&amp;TEXT(AN58/AM58-1,"+0%")&amp;" sobre norma. ","")&amp;IF(AND(AU58&gt;0,AV58/AU58-1&gt;Tolerancia_Comb),"Combustible traslado Oriente "&amp;TEXT(AV58/AU58-1,"+0%")&amp;" sobre norma. ","")&amp;IF(AND(AW58&gt;0,AX58/AW58-1&gt;Tolerancia_Comb),"Combustible distribución Oriente "&amp;TEXT(AX58/AW58-1,"+0%")&amp;" sobre norma. ","")&amp;IF(AND(ENTRADA!$C58&lt;&gt;"",C58&lt;PRECIOS!$A$6),"Fecha anterior a la 1ª vigencia de precios. ","")&amp;IF(CD58&lt;0,"Contenedor con pérdida. ",""))</f>
      </c>
    </row>
    <row r="59">
      <c r="A59" s="60">
        <f>IF(B59="","",ROW()-5)</f>
      </c>
      <c r="B59" s="63">
        <f>IF(ENTRADA!$B59="","",ENTRADA!$B59)</f>
      </c>
      <c r="C59" s="64">
        <f>IF(B59="","",ENTRADA!$C59)</f>
      </c>
      <c r="D59" s="65">
        <f>IF(B59="","",DATE(YEAR(C59),MONTH(C59),1))</f>
      </c>
      <c r="E59" s="66">
        <f>IF(B59="","",ENTRADA!$D59&amp;"")</f>
      </c>
      <c r="F59" s="66">
        <f>IF(B59="","",ENTRADA!$Z59&amp;"")</f>
      </c>
      <c r="G59" s="67">
        <f>IF(B59="","",N(ENTRADA!$G59))</f>
      </c>
      <c r="H59" s="67">
        <f>IF(B59="","",N(ENTRADA!$H59))</f>
      </c>
      <c r="I59" s="67">
        <f>IF(B59="","",N(ENTRADA!$I59))</f>
      </c>
      <c r="J59" s="68">
        <f>IF(B59="","",G59+H59+I59)</f>
      </c>
      <c r="K59" s="60">
        <f>IF(B59="","",IFERROR(MATCH(SUMPRODUCT(MAX((PRECIOS!$A$6:$A$55&lt;=C59)*PRECIOS!$A$6:$A$55)),PRECIOS!$A$6:$A$55,0),1))</f>
      </c>
      <c r="L59" s="69">
        <f>IF(B59="","",INDEX(PRECIOS!$A$6:$A$55,K59))</f>
      </c>
      <c r="M59" s="37">
        <f>IF(B59="","",G59*INDEX(PRECIOS!$B$6:$B$55,K59))</f>
      </c>
      <c r="N59" s="37">
        <f>IF(B59="","",H59*INDEX(PRECIOS!$C$6:$C$55,K59))</f>
      </c>
      <c r="O59" s="37">
        <f>IF(B59="","",I59*INDEX(PRECIOS!$D$6:$D$55,K59))</f>
      </c>
      <c r="P59" s="37">
        <f>IF(B59="","",N(ENTRADA!$X59))</f>
      </c>
      <c r="Q59" s="70">
        <f>IF(B59="","",M59+N59+O59+P59)</f>
      </c>
      <c r="R59" s="71">
        <f>IF(B59="","",IF(ENTRADA!$J59="",Std_Viajes_Puerto,ENTRADA!$J59))</f>
      </c>
      <c r="S59" s="37">
        <f>IF(B59="","",R59*INDEX(PRECIOS!$F$6:$F$55,K59))</f>
      </c>
      <c r="T59" s="71">
        <f>IF(B59="","",R59*Litros_Puerto_Viaje)</f>
      </c>
      <c r="U59" s="71">
        <f>IF(B59="","",IF(ENTRADA!$K59="",T59,ENTRADA!$K59))</f>
      </c>
      <c r="V59" s="37">
        <f>IF(B59="","",U59*INDEX(PRECIOS!$E$6:$E$55,K59))</f>
      </c>
      <c r="W59" s="37">
        <f>IF(B59="","",IF(ENTRADA!$L59="",R59*INDEX(PRECIOS!$G$6:$G$55,K59),ENTRADA!$L59))</f>
      </c>
      <c r="X59" s="37">
        <f>IF(B59="","",R59*Km_Puerto_Viaje*INDEX(PRECIOS!$N$6:$N$55,K59))</f>
      </c>
      <c r="Y59" s="70">
        <f>IF(B59="","",S59+V59+W59+X59)</f>
      </c>
      <c r="Z59" s="71">
        <f>IF(B59="","",IF(J59=0,0,ROUNDUP(J59/Rend_Desagrupe,0)))</f>
      </c>
      <c r="AA59" s="71">
        <f>IF(B59="","",IF(ENTRADA!$M59="",Z59,ENTRADA!$M59))</f>
      </c>
      <c r="AB59" s="37">
        <f>IF(B59="","",AA59*INDEX(PRECIOS!$H$6:$H$55,K59))</f>
      </c>
      <c r="AC59" s="37">
        <f>IF(B59="","",IF(E59="ENCI",INDEX(PRECIOS!$J$6:$J$55,K59),IF(E59="A.V",INDEX(PRECIOS!$K$6:$K$55,K59),0)))</f>
      </c>
      <c r="AD59" s="37">
        <f>IF(B59="","",N(ENTRADA!$N59))</f>
      </c>
      <c r="AE59" s="70">
        <f>IF(B59="","",AB59+AC59+AD59)</f>
      </c>
      <c r="AF59" s="71">
        <f>IF(B59="","",IF(G59=0,0,ROUNDUP(G59/Cap_Camion_OCC,0)))</f>
      </c>
      <c r="AG59" s="71">
        <f>IF(B59="","",AF59*L_Dist_OCC)</f>
      </c>
      <c r="AH59" s="71">
        <f>IF(B59="","",IF(ENTRADA!$O59="",AG59,ENTRADA!$O59))</f>
      </c>
      <c r="AI59" s="37">
        <f>IF(B59="","",AH59*INDEX(PRECIOS!$E$6:$E$55,K59))</f>
      </c>
      <c r="AJ59" s="71">
        <f>IF(B59="","",IF(H59=0,0,ROUNDUP(H59/Cap_Camion_CEN,0)))</f>
      </c>
      <c r="AK59" s="71">
        <f>IF(B59="","",AJ59*L_Tras_CEN)</f>
      </c>
      <c r="AL59" s="71">
        <f>IF(B59="","",IF(ENTRADA!$P59="",AK59,ENTRADA!$P59))</f>
      </c>
      <c r="AM59" s="71">
        <f>IF(B59="","",AJ59*L_Dist_CEN)</f>
      </c>
      <c r="AN59" s="71">
        <f>IF(B59="","",IF(ENTRADA!$Q59="",AM59,ENTRADA!$Q59))</f>
      </c>
      <c r="AO59" s="37">
        <f>IF(B59="","",(AL59+AN59)*INDEX(PRECIOS!$E$6:$E$55,K59))</f>
      </c>
      <c r="AP59" s="71">
        <f>IF(B59="","",IF(H59=0,0,ROUNDUP(H59/Rend_Desagrupe_CT,0)))</f>
      </c>
      <c r="AQ59" s="71">
        <f>IF(B59="","",IF(ENTRADA!$R59="",AP59,ENTRADA!$R59))</f>
      </c>
      <c r="AR59" s="37">
        <f>IF(B59="","",AQ59*INDEX(PRECIOS!$I$6:$I$55,K59))</f>
      </c>
      <c r="AS59" s="37">
        <f>IF(B59="","",AO59+AR59)</f>
      </c>
      <c r="AT59" s="71">
        <f>IF(B59="","",IF(I59=0,0,ROUNDUP(I59/Cap_Camion_ORI,0)))</f>
      </c>
      <c r="AU59" s="71">
        <f>IF(B59="","",AT59*L_Tras_ORI)</f>
      </c>
      <c r="AV59" s="71">
        <f>IF(B59="","",IF(ENTRADA!$S59="",AU59,ENTRADA!$S59))</f>
      </c>
      <c r="AW59" s="71">
        <f>IF(B59="","",AT59*L_Dist_ORI)</f>
      </c>
      <c r="AX59" s="71">
        <f>IF(B59="","",IF(ENTRADA!$T59="",AW59,ENTRADA!$T59))</f>
      </c>
      <c r="AY59" s="37">
        <f>IF(B59="","",(AV59+AX59)*INDEX(PRECIOS!$E$6:$E$55,K59))</f>
      </c>
      <c r="AZ59" s="71">
        <f>IF(B59="","",IF(I59=0,0,ROUNDUP(I59/Rend_Desagrupe_CT,0)))</f>
      </c>
      <c r="BA59" s="71">
        <f>IF(B59="","",IF(ENTRADA!$U59="",AZ59,ENTRADA!$U59))</f>
      </c>
      <c r="BB59" s="37">
        <f>IF(B59="","",BA59*INDEX(PRECIOS!$I$6:$I$55,K59))</f>
      </c>
      <c r="BC59" s="37">
        <f>IF(B59="","",AY59+BB59)</f>
      </c>
      <c r="BD59" s="70">
        <f>IF(B59="","",AI59+AS59+BC59)</f>
      </c>
      <c r="BE59" s="37">
        <f>IF(B59="","",IF(Base_Comision="% DEL INGRESO",M59*INDEX(PRECIOS!$L$6:$L$55,K59),G59*INDEX(PRECIOS!$M$6:$M$55,K59)))</f>
      </c>
      <c r="BF59" s="37">
        <f>IF(B59="","",IF(Base_Comision="% DEL INGRESO",N59*INDEX(PRECIOS!$L$6:$L$55,K59),H59*INDEX(PRECIOS!$M$6:$M$55,K59)))</f>
      </c>
      <c r="BG59" s="37">
        <f>IF(B59="","",IF(Base_Comision="% DEL INGRESO",O59*INDEX(PRECIOS!$L$6:$L$55,K59),I59*INDEX(PRECIOS!$M$6:$M$55,K59)))</f>
      </c>
      <c r="BH59" s="70">
        <f>IF(B59="","",BE59+BF59+BG59)</f>
      </c>
      <c r="BI59" s="37">
        <f>IF(B59="","",Q59*Pct_Reclamaciones)</f>
      </c>
      <c r="BJ59" s="37">
        <f>IF(B59="","",Q59*Pct_Banco)</f>
      </c>
      <c r="BK59" s="37">
        <f>IF(B59="","",N(ENTRADA!$V59))</f>
      </c>
      <c r="BL59" s="70">
        <f>IF(B59="","",Y59+AE59+BD59+BH59+BI59+BJ59+BK59)</f>
      </c>
      <c r="BM59" s="70">
        <f>IF(B59="","",Q59-BL59)</f>
      </c>
      <c r="BN59" s="72">
        <f>IF(B59="","",IF(Q59=0,0,BM59/Q59))</f>
      </c>
      <c r="BO59" s="73">
        <f>IF(B59="","",IF(J59=0,0,BM59/J59))</f>
      </c>
      <c r="BP59" s="60">
        <f>IF(B59="","",IFERROR(MATCH(D59,COSTOS_FIJOS!$G$5:$AD$5,0),0))</f>
      </c>
      <c r="BQ59" s="60">
        <f>IF(B59="","",COUNTIFS($D$6:$D$305,D59))</f>
      </c>
      <c r="BR59" s="67">
        <f>IF(B59="","",SUMIFS($J$6:$J$305,$D$6:$D$305,D59))</f>
      </c>
      <c r="BS59" s="72">
        <f>IF(B59="","",IF(Metodo_Prorrateo="KG",IF(BR59=0,0,J59/BR59),1/BQ59))</f>
      </c>
      <c r="BT59" s="37">
        <f>IF(B59="","",IF(BP59=0,0,INDEX(COSTOS_FIJOS!$G$38:$AD$38,BP59))*BS59)</f>
      </c>
      <c r="BU59" s="72">
        <f>IF(B59="","",IF(Metodo_Prorrateo="KG",IF(SUMIFS($G$6:$G$305,$D$6:$D$305,D59)=0,0,G59/SUMIFS($G$6:$G$305,$D$6:$D$305,D59)),IF(G59&gt;0,1/COUNTIFS($D$6:$D$305,D59,$G$6:$G$305,"&gt;0"),0)))</f>
      </c>
      <c r="BV59" s="37">
        <f>IF(B59="","",IF(BP59=0,0,INDEX(COSTOS_FIJOS!$G$39:$AD$39,BP59))*BU59)</f>
      </c>
      <c r="BW59" s="72">
        <f>IF(B59="","",IF(Metodo_Prorrateo="KG",IF(SUMIFS($H$6:$H$305,$D$6:$D$305,D59)=0,0,H59/SUMIFS($H$6:$H$305,$D$6:$D$305,D59)),IF(H59&gt;0,1/COUNTIFS($D$6:$D$305,D59,$H$6:$H$305,"&gt;0"),0)))</f>
      </c>
      <c r="BX59" s="37">
        <f>IF(B59="","",IF(BP59=0,0,INDEX(COSTOS_FIJOS!$G$40:$AD$40,BP59))*BW59)</f>
      </c>
      <c r="BY59" s="72">
        <f>IF(B59="","",IF(Metodo_Prorrateo="KG",IF(SUMIFS($I$6:$I$305,$D$6:$D$305,D59)=0,0,I59/SUMIFS($I$6:$I$305,$D$6:$D$305,D59)),IF(I59&gt;0,1/COUNTIFS($D$6:$D$305,D59,$I$6:$I$305,"&gt;0"),0)))</f>
      </c>
      <c r="BZ59" s="37">
        <f>IF(B59="","",IF(BP59=0,0,INDEX(COSTOS_FIJOS!$G$41:$AD$41,BP59))*BY59)</f>
      </c>
      <c r="CA59" s="70">
        <f>IF(B59="","",BT59+BV59+BX59+BZ59)</f>
      </c>
      <c r="CB59" s="37">
        <f>IF(B59="","",Q59*Imp_Ventas_Serv)</f>
      </c>
      <c r="CC59" s="37">
        <f>IF(B59="","",Q59*Contrib_Territorial)</f>
      </c>
      <c r="CD59" s="70">
        <f>IF(B59="","",BM59-CA59-CB59-CC59)</f>
      </c>
      <c r="CE59" s="37">
        <f>IF(B59="","",MAX(0,CD59)*Imp_Utilidades)</f>
      </c>
      <c r="CF59" s="70">
        <f>IF(B59="","",CD59-CE59)</f>
      </c>
      <c r="CG59" s="72">
        <f>IF(B59="","",IF(Q59=0,0,CF59/Q59))</f>
      </c>
      <c r="CH59" s="73">
        <f>IF(B59="","",IF(J59=0,0,(BL59+CA59+CB59+CC59)/J59))</f>
      </c>
      <c r="CI59" s="73">
        <f>IF(B59="","",IF(J59=0,0,Q59/J59))</f>
      </c>
      <c r="CJ59" s="73">
        <f>IF(B59="","",IF(J59=0,0,CD59/J59))</f>
      </c>
      <c r="CK59" s="37">
        <f>IF(B59="","",Y59+AE59+BK59+BT59)</f>
      </c>
      <c r="CL59" s="37">
        <f>IF(B59="","",IF(J59=0,0,(M59+P59*G59/J59)*(1-Pct_Reclamaciones-Pct_Banco-Imp_Ventas_Serv-Contrib_Territorial)-AI59-BE59-BV59-CK59*G59/J59))</f>
      </c>
      <c r="CM59" s="37">
        <f>IF(B59="","",IF(J59=0,0,(N59+P59*H59/J59)*(1-Pct_Reclamaciones-Pct_Banco-Imp_Ventas_Serv-Contrib_Territorial)-AS59-BF59-BX59-CK59*H59/J59))</f>
      </c>
      <c r="CN59" s="37">
        <f>IF(B59="","",IF(J59=0,0,(O59+P59*I59/J59)*(1-Pct_Reclamaciones-Pct_Banco-Imp_Ventas_Serv-Contrib_Territorial)-BC59-BG59-BZ59-CK59*I59/J59))</f>
      </c>
      <c r="CO59" s="37">
        <f>IF(B59="","",IF(J59=0,0,ROUND(CD59-CL59-CM59-CN59,4)))</f>
      </c>
      <c r="CP59" s="71">
        <f>IF(B59="","",T59+AG59+AK59+AM59+AU59+AW59)</f>
      </c>
      <c r="CQ59" s="71">
        <f>IF(B59="","",U59+AH59+AL59+AN59+AV59+AX59)</f>
      </c>
      <c r="CR59" s="72">
        <f>IF(B59="","",IF(CP59=0,0,CQ59/CP59-1))</f>
      </c>
      <c r="CS59" s="60">
        <f>IF(B59="","",IF(ENTRADA!$Y59="","",ENTRADA!$Y59-C59))</f>
      </c>
      <c r="CT59" s="66">
        <f>IF(B59="","",IF(ENTRADA!$C59="","Falta fecha. ","")&amp;IF(BP59=0,"Mes fuera del rango de COSTOS_FIJOS. ","")&amp;IF(J59=0,"Sin kg. ","")&amp;IF(E59="","Falta transitaria. ","")&amp;IF(AND(T59&gt;0,U59/T59-1&gt;Tolerancia_Comb),"Combustible al puerto "&amp;TEXT(U59/T59-1,"+0%")&amp;" sobre norma. ","")&amp;IF(AND(AG59&gt;0,AH59/AG59-1&gt;Tolerancia_Comb),"Combustible distribución Occidente "&amp;TEXT(AH59/AG59-1,"+0%")&amp;" sobre norma. ","")&amp;IF(AND(AK59&gt;0,AL59/AK59-1&gt;Tolerancia_Comb),"Combustible traslado Centro "&amp;TEXT(AL59/AK59-1,"+0%")&amp;" sobre norma. ","")&amp;IF(AND(AM59&gt;0,AN59/AM59-1&gt;Tolerancia_Comb),"Combustible distribución Centro "&amp;TEXT(AN59/AM59-1,"+0%")&amp;" sobre norma. ","")&amp;IF(AND(AU59&gt;0,AV59/AU59-1&gt;Tolerancia_Comb),"Combustible traslado Oriente "&amp;TEXT(AV59/AU59-1,"+0%")&amp;" sobre norma. ","")&amp;IF(AND(AW59&gt;0,AX59/AW59-1&gt;Tolerancia_Comb),"Combustible distribución Oriente "&amp;TEXT(AX59/AW59-1,"+0%")&amp;" sobre norma. ","")&amp;IF(AND(ENTRADA!$C59&lt;&gt;"",C59&lt;PRECIOS!$A$6),"Fecha anterior a la 1ª vigencia de precios. ","")&amp;IF(CD59&lt;0,"Contenedor con pérdida. ",""))</f>
      </c>
    </row>
    <row r="60">
      <c r="A60" s="60">
        <f>IF(B60="","",ROW()-5)</f>
      </c>
      <c r="B60" s="63">
        <f>IF(ENTRADA!$B60="","",ENTRADA!$B60)</f>
      </c>
      <c r="C60" s="64">
        <f>IF(B60="","",ENTRADA!$C60)</f>
      </c>
      <c r="D60" s="65">
        <f>IF(B60="","",DATE(YEAR(C60),MONTH(C60),1))</f>
      </c>
      <c r="E60" s="66">
        <f>IF(B60="","",ENTRADA!$D60&amp;"")</f>
      </c>
      <c r="F60" s="66">
        <f>IF(B60="","",ENTRADA!$Z60&amp;"")</f>
      </c>
      <c r="G60" s="67">
        <f>IF(B60="","",N(ENTRADA!$G60))</f>
      </c>
      <c r="H60" s="67">
        <f>IF(B60="","",N(ENTRADA!$H60))</f>
      </c>
      <c r="I60" s="67">
        <f>IF(B60="","",N(ENTRADA!$I60))</f>
      </c>
      <c r="J60" s="68">
        <f>IF(B60="","",G60+H60+I60)</f>
      </c>
      <c r="K60" s="60">
        <f>IF(B60="","",IFERROR(MATCH(SUMPRODUCT(MAX((PRECIOS!$A$6:$A$55&lt;=C60)*PRECIOS!$A$6:$A$55)),PRECIOS!$A$6:$A$55,0),1))</f>
      </c>
      <c r="L60" s="69">
        <f>IF(B60="","",INDEX(PRECIOS!$A$6:$A$55,K60))</f>
      </c>
      <c r="M60" s="37">
        <f>IF(B60="","",G60*INDEX(PRECIOS!$B$6:$B$55,K60))</f>
      </c>
      <c r="N60" s="37">
        <f>IF(B60="","",H60*INDEX(PRECIOS!$C$6:$C$55,K60))</f>
      </c>
      <c r="O60" s="37">
        <f>IF(B60="","",I60*INDEX(PRECIOS!$D$6:$D$55,K60))</f>
      </c>
      <c r="P60" s="37">
        <f>IF(B60="","",N(ENTRADA!$X60))</f>
      </c>
      <c r="Q60" s="70">
        <f>IF(B60="","",M60+N60+O60+P60)</f>
      </c>
      <c r="R60" s="71">
        <f>IF(B60="","",IF(ENTRADA!$J60="",Std_Viajes_Puerto,ENTRADA!$J60))</f>
      </c>
      <c r="S60" s="37">
        <f>IF(B60="","",R60*INDEX(PRECIOS!$F$6:$F$55,K60))</f>
      </c>
      <c r="T60" s="71">
        <f>IF(B60="","",R60*Litros_Puerto_Viaje)</f>
      </c>
      <c r="U60" s="71">
        <f>IF(B60="","",IF(ENTRADA!$K60="",T60,ENTRADA!$K60))</f>
      </c>
      <c r="V60" s="37">
        <f>IF(B60="","",U60*INDEX(PRECIOS!$E$6:$E$55,K60))</f>
      </c>
      <c r="W60" s="37">
        <f>IF(B60="","",IF(ENTRADA!$L60="",R60*INDEX(PRECIOS!$G$6:$G$55,K60),ENTRADA!$L60))</f>
      </c>
      <c r="X60" s="37">
        <f>IF(B60="","",R60*Km_Puerto_Viaje*INDEX(PRECIOS!$N$6:$N$55,K60))</f>
      </c>
      <c r="Y60" s="70">
        <f>IF(B60="","",S60+V60+W60+X60)</f>
      </c>
      <c r="Z60" s="71">
        <f>IF(B60="","",IF(J60=0,0,ROUNDUP(J60/Rend_Desagrupe,0)))</f>
      </c>
      <c r="AA60" s="71">
        <f>IF(B60="","",IF(ENTRADA!$M60="",Z60,ENTRADA!$M60))</f>
      </c>
      <c r="AB60" s="37">
        <f>IF(B60="","",AA60*INDEX(PRECIOS!$H$6:$H$55,K60))</f>
      </c>
      <c r="AC60" s="37">
        <f>IF(B60="","",IF(E60="ENCI",INDEX(PRECIOS!$J$6:$J$55,K60),IF(E60="A.V",INDEX(PRECIOS!$K$6:$K$55,K60),0)))</f>
      </c>
      <c r="AD60" s="37">
        <f>IF(B60="","",N(ENTRADA!$N60))</f>
      </c>
      <c r="AE60" s="70">
        <f>IF(B60="","",AB60+AC60+AD60)</f>
      </c>
      <c r="AF60" s="71">
        <f>IF(B60="","",IF(G60=0,0,ROUNDUP(G60/Cap_Camion_OCC,0)))</f>
      </c>
      <c r="AG60" s="71">
        <f>IF(B60="","",AF60*L_Dist_OCC)</f>
      </c>
      <c r="AH60" s="71">
        <f>IF(B60="","",IF(ENTRADA!$O60="",AG60,ENTRADA!$O60))</f>
      </c>
      <c r="AI60" s="37">
        <f>IF(B60="","",AH60*INDEX(PRECIOS!$E$6:$E$55,K60))</f>
      </c>
      <c r="AJ60" s="71">
        <f>IF(B60="","",IF(H60=0,0,ROUNDUP(H60/Cap_Camion_CEN,0)))</f>
      </c>
      <c r="AK60" s="71">
        <f>IF(B60="","",AJ60*L_Tras_CEN)</f>
      </c>
      <c r="AL60" s="71">
        <f>IF(B60="","",IF(ENTRADA!$P60="",AK60,ENTRADA!$P60))</f>
      </c>
      <c r="AM60" s="71">
        <f>IF(B60="","",AJ60*L_Dist_CEN)</f>
      </c>
      <c r="AN60" s="71">
        <f>IF(B60="","",IF(ENTRADA!$Q60="",AM60,ENTRADA!$Q60))</f>
      </c>
      <c r="AO60" s="37">
        <f>IF(B60="","",(AL60+AN60)*INDEX(PRECIOS!$E$6:$E$55,K60))</f>
      </c>
      <c r="AP60" s="71">
        <f>IF(B60="","",IF(H60=0,0,ROUNDUP(H60/Rend_Desagrupe_CT,0)))</f>
      </c>
      <c r="AQ60" s="71">
        <f>IF(B60="","",IF(ENTRADA!$R60="",AP60,ENTRADA!$R60))</f>
      </c>
      <c r="AR60" s="37">
        <f>IF(B60="","",AQ60*INDEX(PRECIOS!$I$6:$I$55,K60))</f>
      </c>
      <c r="AS60" s="37">
        <f>IF(B60="","",AO60+AR60)</f>
      </c>
      <c r="AT60" s="71">
        <f>IF(B60="","",IF(I60=0,0,ROUNDUP(I60/Cap_Camion_ORI,0)))</f>
      </c>
      <c r="AU60" s="71">
        <f>IF(B60="","",AT60*L_Tras_ORI)</f>
      </c>
      <c r="AV60" s="71">
        <f>IF(B60="","",IF(ENTRADA!$S60="",AU60,ENTRADA!$S60))</f>
      </c>
      <c r="AW60" s="71">
        <f>IF(B60="","",AT60*L_Dist_ORI)</f>
      </c>
      <c r="AX60" s="71">
        <f>IF(B60="","",IF(ENTRADA!$T60="",AW60,ENTRADA!$T60))</f>
      </c>
      <c r="AY60" s="37">
        <f>IF(B60="","",(AV60+AX60)*INDEX(PRECIOS!$E$6:$E$55,K60))</f>
      </c>
      <c r="AZ60" s="71">
        <f>IF(B60="","",IF(I60=0,0,ROUNDUP(I60/Rend_Desagrupe_CT,0)))</f>
      </c>
      <c r="BA60" s="71">
        <f>IF(B60="","",IF(ENTRADA!$U60="",AZ60,ENTRADA!$U60))</f>
      </c>
      <c r="BB60" s="37">
        <f>IF(B60="","",BA60*INDEX(PRECIOS!$I$6:$I$55,K60))</f>
      </c>
      <c r="BC60" s="37">
        <f>IF(B60="","",AY60+BB60)</f>
      </c>
      <c r="BD60" s="70">
        <f>IF(B60="","",AI60+AS60+BC60)</f>
      </c>
      <c r="BE60" s="37">
        <f>IF(B60="","",IF(Base_Comision="% DEL INGRESO",M60*INDEX(PRECIOS!$L$6:$L$55,K60),G60*INDEX(PRECIOS!$M$6:$M$55,K60)))</f>
      </c>
      <c r="BF60" s="37">
        <f>IF(B60="","",IF(Base_Comision="% DEL INGRESO",N60*INDEX(PRECIOS!$L$6:$L$55,K60),H60*INDEX(PRECIOS!$M$6:$M$55,K60)))</f>
      </c>
      <c r="BG60" s="37">
        <f>IF(B60="","",IF(Base_Comision="% DEL INGRESO",O60*INDEX(PRECIOS!$L$6:$L$55,K60),I60*INDEX(PRECIOS!$M$6:$M$55,K60)))</f>
      </c>
      <c r="BH60" s="70">
        <f>IF(B60="","",BE60+BF60+BG60)</f>
      </c>
      <c r="BI60" s="37">
        <f>IF(B60="","",Q60*Pct_Reclamaciones)</f>
      </c>
      <c r="BJ60" s="37">
        <f>IF(B60="","",Q60*Pct_Banco)</f>
      </c>
      <c r="BK60" s="37">
        <f>IF(B60="","",N(ENTRADA!$V60))</f>
      </c>
      <c r="BL60" s="70">
        <f>IF(B60="","",Y60+AE60+BD60+BH60+BI60+BJ60+BK60)</f>
      </c>
      <c r="BM60" s="70">
        <f>IF(B60="","",Q60-BL60)</f>
      </c>
      <c r="BN60" s="72">
        <f>IF(B60="","",IF(Q60=0,0,BM60/Q60))</f>
      </c>
      <c r="BO60" s="73">
        <f>IF(B60="","",IF(J60=0,0,BM60/J60))</f>
      </c>
      <c r="BP60" s="60">
        <f>IF(B60="","",IFERROR(MATCH(D60,COSTOS_FIJOS!$G$5:$AD$5,0),0))</f>
      </c>
      <c r="BQ60" s="60">
        <f>IF(B60="","",COUNTIFS($D$6:$D$305,D60))</f>
      </c>
      <c r="BR60" s="67">
        <f>IF(B60="","",SUMIFS($J$6:$J$305,$D$6:$D$305,D60))</f>
      </c>
      <c r="BS60" s="72">
        <f>IF(B60="","",IF(Metodo_Prorrateo="KG",IF(BR60=0,0,J60/BR60),1/BQ60))</f>
      </c>
      <c r="BT60" s="37">
        <f>IF(B60="","",IF(BP60=0,0,INDEX(COSTOS_FIJOS!$G$38:$AD$38,BP60))*BS60)</f>
      </c>
      <c r="BU60" s="72">
        <f>IF(B60="","",IF(Metodo_Prorrateo="KG",IF(SUMIFS($G$6:$G$305,$D$6:$D$305,D60)=0,0,G60/SUMIFS($G$6:$G$305,$D$6:$D$305,D60)),IF(G60&gt;0,1/COUNTIFS($D$6:$D$305,D60,$G$6:$G$305,"&gt;0"),0)))</f>
      </c>
      <c r="BV60" s="37">
        <f>IF(B60="","",IF(BP60=0,0,INDEX(COSTOS_FIJOS!$G$39:$AD$39,BP60))*BU60)</f>
      </c>
      <c r="BW60" s="72">
        <f>IF(B60="","",IF(Metodo_Prorrateo="KG",IF(SUMIFS($H$6:$H$305,$D$6:$D$305,D60)=0,0,H60/SUMIFS($H$6:$H$305,$D$6:$D$305,D60)),IF(H60&gt;0,1/COUNTIFS($D$6:$D$305,D60,$H$6:$H$305,"&gt;0"),0)))</f>
      </c>
      <c r="BX60" s="37">
        <f>IF(B60="","",IF(BP60=0,0,INDEX(COSTOS_FIJOS!$G$40:$AD$40,BP60))*BW60)</f>
      </c>
      <c r="BY60" s="72">
        <f>IF(B60="","",IF(Metodo_Prorrateo="KG",IF(SUMIFS($I$6:$I$305,$D$6:$D$305,D60)=0,0,I60/SUMIFS($I$6:$I$305,$D$6:$D$305,D60)),IF(I60&gt;0,1/COUNTIFS($D$6:$D$305,D60,$I$6:$I$305,"&gt;0"),0)))</f>
      </c>
      <c r="BZ60" s="37">
        <f>IF(B60="","",IF(BP60=0,0,INDEX(COSTOS_FIJOS!$G$41:$AD$41,BP60))*BY60)</f>
      </c>
      <c r="CA60" s="70">
        <f>IF(B60="","",BT60+BV60+BX60+BZ60)</f>
      </c>
      <c r="CB60" s="37">
        <f>IF(B60="","",Q60*Imp_Ventas_Serv)</f>
      </c>
      <c r="CC60" s="37">
        <f>IF(B60="","",Q60*Contrib_Territorial)</f>
      </c>
      <c r="CD60" s="70">
        <f>IF(B60="","",BM60-CA60-CB60-CC60)</f>
      </c>
      <c r="CE60" s="37">
        <f>IF(B60="","",MAX(0,CD60)*Imp_Utilidades)</f>
      </c>
      <c r="CF60" s="70">
        <f>IF(B60="","",CD60-CE60)</f>
      </c>
      <c r="CG60" s="72">
        <f>IF(B60="","",IF(Q60=0,0,CF60/Q60))</f>
      </c>
      <c r="CH60" s="73">
        <f>IF(B60="","",IF(J60=0,0,(BL60+CA60+CB60+CC60)/J60))</f>
      </c>
      <c r="CI60" s="73">
        <f>IF(B60="","",IF(J60=0,0,Q60/J60))</f>
      </c>
      <c r="CJ60" s="73">
        <f>IF(B60="","",IF(J60=0,0,CD60/J60))</f>
      </c>
      <c r="CK60" s="37">
        <f>IF(B60="","",Y60+AE60+BK60+BT60)</f>
      </c>
      <c r="CL60" s="37">
        <f>IF(B60="","",IF(J60=0,0,(M60+P60*G60/J60)*(1-Pct_Reclamaciones-Pct_Banco-Imp_Ventas_Serv-Contrib_Territorial)-AI60-BE60-BV60-CK60*G60/J60))</f>
      </c>
      <c r="CM60" s="37">
        <f>IF(B60="","",IF(J60=0,0,(N60+P60*H60/J60)*(1-Pct_Reclamaciones-Pct_Banco-Imp_Ventas_Serv-Contrib_Territorial)-AS60-BF60-BX60-CK60*H60/J60))</f>
      </c>
      <c r="CN60" s="37">
        <f>IF(B60="","",IF(J60=0,0,(O60+P60*I60/J60)*(1-Pct_Reclamaciones-Pct_Banco-Imp_Ventas_Serv-Contrib_Territorial)-BC60-BG60-BZ60-CK60*I60/J60))</f>
      </c>
      <c r="CO60" s="37">
        <f>IF(B60="","",IF(J60=0,0,ROUND(CD60-CL60-CM60-CN60,4)))</f>
      </c>
      <c r="CP60" s="71">
        <f>IF(B60="","",T60+AG60+AK60+AM60+AU60+AW60)</f>
      </c>
      <c r="CQ60" s="71">
        <f>IF(B60="","",U60+AH60+AL60+AN60+AV60+AX60)</f>
      </c>
      <c r="CR60" s="72">
        <f>IF(B60="","",IF(CP60=0,0,CQ60/CP60-1))</f>
      </c>
      <c r="CS60" s="60">
        <f>IF(B60="","",IF(ENTRADA!$Y60="","",ENTRADA!$Y60-C60))</f>
      </c>
      <c r="CT60" s="66">
        <f>IF(B60="","",IF(ENTRADA!$C60="","Falta fecha. ","")&amp;IF(BP60=0,"Mes fuera del rango de COSTOS_FIJOS. ","")&amp;IF(J60=0,"Sin kg. ","")&amp;IF(E60="","Falta transitaria. ","")&amp;IF(AND(T60&gt;0,U60/T60-1&gt;Tolerancia_Comb),"Combustible al puerto "&amp;TEXT(U60/T60-1,"+0%")&amp;" sobre norma. ","")&amp;IF(AND(AG60&gt;0,AH60/AG60-1&gt;Tolerancia_Comb),"Combustible distribución Occidente "&amp;TEXT(AH60/AG60-1,"+0%")&amp;" sobre norma. ","")&amp;IF(AND(AK60&gt;0,AL60/AK60-1&gt;Tolerancia_Comb),"Combustible traslado Centro "&amp;TEXT(AL60/AK60-1,"+0%")&amp;" sobre norma. ","")&amp;IF(AND(AM60&gt;0,AN60/AM60-1&gt;Tolerancia_Comb),"Combustible distribución Centro "&amp;TEXT(AN60/AM60-1,"+0%")&amp;" sobre norma. ","")&amp;IF(AND(AU60&gt;0,AV60/AU60-1&gt;Tolerancia_Comb),"Combustible traslado Oriente "&amp;TEXT(AV60/AU60-1,"+0%")&amp;" sobre norma. ","")&amp;IF(AND(AW60&gt;0,AX60/AW60-1&gt;Tolerancia_Comb),"Combustible distribución Oriente "&amp;TEXT(AX60/AW60-1,"+0%")&amp;" sobre norma. ","")&amp;IF(AND(ENTRADA!$C60&lt;&gt;"",C60&lt;PRECIOS!$A$6),"Fecha anterior a la 1ª vigencia de precios. ","")&amp;IF(CD60&lt;0,"Contenedor con pérdida. ",""))</f>
      </c>
    </row>
    <row r="61">
      <c r="A61" s="60">
        <f>IF(B61="","",ROW()-5)</f>
      </c>
      <c r="B61" s="63">
        <f>IF(ENTRADA!$B61="","",ENTRADA!$B61)</f>
      </c>
      <c r="C61" s="64">
        <f>IF(B61="","",ENTRADA!$C61)</f>
      </c>
      <c r="D61" s="65">
        <f>IF(B61="","",DATE(YEAR(C61),MONTH(C61),1))</f>
      </c>
      <c r="E61" s="66">
        <f>IF(B61="","",ENTRADA!$D61&amp;"")</f>
      </c>
      <c r="F61" s="66">
        <f>IF(B61="","",ENTRADA!$Z61&amp;"")</f>
      </c>
      <c r="G61" s="67">
        <f>IF(B61="","",N(ENTRADA!$G61))</f>
      </c>
      <c r="H61" s="67">
        <f>IF(B61="","",N(ENTRADA!$H61))</f>
      </c>
      <c r="I61" s="67">
        <f>IF(B61="","",N(ENTRADA!$I61))</f>
      </c>
      <c r="J61" s="68">
        <f>IF(B61="","",G61+H61+I61)</f>
      </c>
      <c r="K61" s="60">
        <f>IF(B61="","",IFERROR(MATCH(SUMPRODUCT(MAX((PRECIOS!$A$6:$A$55&lt;=C61)*PRECIOS!$A$6:$A$55)),PRECIOS!$A$6:$A$55,0),1))</f>
      </c>
      <c r="L61" s="69">
        <f>IF(B61="","",INDEX(PRECIOS!$A$6:$A$55,K61))</f>
      </c>
      <c r="M61" s="37">
        <f>IF(B61="","",G61*INDEX(PRECIOS!$B$6:$B$55,K61))</f>
      </c>
      <c r="N61" s="37">
        <f>IF(B61="","",H61*INDEX(PRECIOS!$C$6:$C$55,K61))</f>
      </c>
      <c r="O61" s="37">
        <f>IF(B61="","",I61*INDEX(PRECIOS!$D$6:$D$55,K61))</f>
      </c>
      <c r="P61" s="37">
        <f>IF(B61="","",N(ENTRADA!$X61))</f>
      </c>
      <c r="Q61" s="70">
        <f>IF(B61="","",M61+N61+O61+P61)</f>
      </c>
      <c r="R61" s="71">
        <f>IF(B61="","",IF(ENTRADA!$J61="",Std_Viajes_Puerto,ENTRADA!$J61))</f>
      </c>
      <c r="S61" s="37">
        <f>IF(B61="","",R61*INDEX(PRECIOS!$F$6:$F$55,K61))</f>
      </c>
      <c r="T61" s="71">
        <f>IF(B61="","",R61*Litros_Puerto_Viaje)</f>
      </c>
      <c r="U61" s="71">
        <f>IF(B61="","",IF(ENTRADA!$K61="",T61,ENTRADA!$K61))</f>
      </c>
      <c r="V61" s="37">
        <f>IF(B61="","",U61*INDEX(PRECIOS!$E$6:$E$55,K61))</f>
      </c>
      <c r="W61" s="37">
        <f>IF(B61="","",IF(ENTRADA!$L61="",R61*INDEX(PRECIOS!$G$6:$G$55,K61),ENTRADA!$L61))</f>
      </c>
      <c r="X61" s="37">
        <f>IF(B61="","",R61*Km_Puerto_Viaje*INDEX(PRECIOS!$N$6:$N$55,K61))</f>
      </c>
      <c r="Y61" s="70">
        <f>IF(B61="","",S61+V61+W61+X61)</f>
      </c>
      <c r="Z61" s="71">
        <f>IF(B61="","",IF(J61=0,0,ROUNDUP(J61/Rend_Desagrupe,0)))</f>
      </c>
      <c r="AA61" s="71">
        <f>IF(B61="","",IF(ENTRADA!$M61="",Z61,ENTRADA!$M61))</f>
      </c>
      <c r="AB61" s="37">
        <f>IF(B61="","",AA61*INDEX(PRECIOS!$H$6:$H$55,K61))</f>
      </c>
      <c r="AC61" s="37">
        <f>IF(B61="","",IF(E61="ENCI",INDEX(PRECIOS!$J$6:$J$55,K61),IF(E61="A.V",INDEX(PRECIOS!$K$6:$K$55,K61),0)))</f>
      </c>
      <c r="AD61" s="37">
        <f>IF(B61="","",N(ENTRADA!$N61))</f>
      </c>
      <c r="AE61" s="70">
        <f>IF(B61="","",AB61+AC61+AD61)</f>
      </c>
      <c r="AF61" s="71">
        <f>IF(B61="","",IF(G61=0,0,ROUNDUP(G61/Cap_Camion_OCC,0)))</f>
      </c>
      <c r="AG61" s="71">
        <f>IF(B61="","",AF61*L_Dist_OCC)</f>
      </c>
      <c r="AH61" s="71">
        <f>IF(B61="","",IF(ENTRADA!$O61="",AG61,ENTRADA!$O61))</f>
      </c>
      <c r="AI61" s="37">
        <f>IF(B61="","",AH61*INDEX(PRECIOS!$E$6:$E$55,K61))</f>
      </c>
      <c r="AJ61" s="71">
        <f>IF(B61="","",IF(H61=0,0,ROUNDUP(H61/Cap_Camion_CEN,0)))</f>
      </c>
      <c r="AK61" s="71">
        <f>IF(B61="","",AJ61*L_Tras_CEN)</f>
      </c>
      <c r="AL61" s="71">
        <f>IF(B61="","",IF(ENTRADA!$P61="",AK61,ENTRADA!$P61))</f>
      </c>
      <c r="AM61" s="71">
        <f>IF(B61="","",AJ61*L_Dist_CEN)</f>
      </c>
      <c r="AN61" s="71">
        <f>IF(B61="","",IF(ENTRADA!$Q61="",AM61,ENTRADA!$Q61))</f>
      </c>
      <c r="AO61" s="37">
        <f>IF(B61="","",(AL61+AN61)*INDEX(PRECIOS!$E$6:$E$55,K61))</f>
      </c>
      <c r="AP61" s="71">
        <f>IF(B61="","",IF(H61=0,0,ROUNDUP(H61/Rend_Desagrupe_CT,0)))</f>
      </c>
      <c r="AQ61" s="71">
        <f>IF(B61="","",IF(ENTRADA!$R61="",AP61,ENTRADA!$R61))</f>
      </c>
      <c r="AR61" s="37">
        <f>IF(B61="","",AQ61*INDEX(PRECIOS!$I$6:$I$55,K61))</f>
      </c>
      <c r="AS61" s="37">
        <f>IF(B61="","",AO61+AR61)</f>
      </c>
      <c r="AT61" s="71">
        <f>IF(B61="","",IF(I61=0,0,ROUNDUP(I61/Cap_Camion_ORI,0)))</f>
      </c>
      <c r="AU61" s="71">
        <f>IF(B61="","",AT61*L_Tras_ORI)</f>
      </c>
      <c r="AV61" s="71">
        <f>IF(B61="","",IF(ENTRADA!$S61="",AU61,ENTRADA!$S61))</f>
      </c>
      <c r="AW61" s="71">
        <f>IF(B61="","",AT61*L_Dist_ORI)</f>
      </c>
      <c r="AX61" s="71">
        <f>IF(B61="","",IF(ENTRADA!$T61="",AW61,ENTRADA!$T61))</f>
      </c>
      <c r="AY61" s="37">
        <f>IF(B61="","",(AV61+AX61)*INDEX(PRECIOS!$E$6:$E$55,K61))</f>
      </c>
      <c r="AZ61" s="71">
        <f>IF(B61="","",IF(I61=0,0,ROUNDUP(I61/Rend_Desagrupe_CT,0)))</f>
      </c>
      <c r="BA61" s="71">
        <f>IF(B61="","",IF(ENTRADA!$U61="",AZ61,ENTRADA!$U61))</f>
      </c>
      <c r="BB61" s="37">
        <f>IF(B61="","",BA61*INDEX(PRECIOS!$I$6:$I$55,K61))</f>
      </c>
      <c r="BC61" s="37">
        <f>IF(B61="","",AY61+BB61)</f>
      </c>
      <c r="BD61" s="70">
        <f>IF(B61="","",AI61+AS61+BC61)</f>
      </c>
      <c r="BE61" s="37">
        <f>IF(B61="","",IF(Base_Comision="% DEL INGRESO",M61*INDEX(PRECIOS!$L$6:$L$55,K61),G61*INDEX(PRECIOS!$M$6:$M$55,K61)))</f>
      </c>
      <c r="BF61" s="37">
        <f>IF(B61="","",IF(Base_Comision="% DEL INGRESO",N61*INDEX(PRECIOS!$L$6:$L$55,K61),H61*INDEX(PRECIOS!$M$6:$M$55,K61)))</f>
      </c>
      <c r="BG61" s="37">
        <f>IF(B61="","",IF(Base_Comision="% DEL INGRESO",O61*INDEX(PRECIOS!$L$6:$L$55,K61),I61*INDEX(PRECIOS!$M$6:$M$55,K61)))</f>
      </c>
      <c r="BH61" s="70">
        <f>IF(B61="","",BE61+BF61+BG61)</f>
      </c>
      <c r="BI61" s="37">
        <f>IF(B61="","",Q61*Pct_Reclamaciones)</f>
      </c>
      <c r="BJ61" s="37">
        <f>IF(B61="","",Q61*Pct_Banco)</f>
      </c>
      <c r="BK61" s="37">
        <f>IF(B61="","",N(ENTRADA!$V61))</f>
      </c>
      <c r="BL61" s="70">
        <f>IF(B61="","",Y61+AE61+BD61+BH61+BI61+BJ61+BK61)</f>
      </c>
      <c r="BM61" s="70">
        <f>IF(B61="","",Q61-BL61)</f>
      </c>
      <c r="BN61" s="72">
        <f>IF(B61="","",IF(Q61=0,0,BM61/Q61))</f>
      </c>
      <c r="BO61" s="73">
        <f>IF(B61="","",IF(J61=0,0,BM61/J61))</f>
      </c>
      <c r="BP61" s="60">
        <f>IF(B61="","",IFERROR(MATCH(D61,COSTOS_FIJOS!$G$5:$AD$5,0),0))</f>
      </c>
      <c r="BQ61" s="60">
        <f>IF(B61="","",COUNTIFS($D$6:$D$305,D61))</f>
      </c>
      <c r="BR61" s="67">
        <f>IF(B61="","",SUMIFS($J$6:$J$305,$D$6:$D$305,D61))</f>
      </c>
      <c r="BS61" s="72">
        <f>IF(B61="","",IF(Metodo_Prorrateo="KG",IF(BR61=0,0,J61/BR61),1/BQ61))</f>
      </c>
      <c r="BT61" s="37">
        <f>IF(B61="","",IF(BP61=0,0,INDEX(COSTOS_FIJOS!$G$38:$AD$38,BP61))*BS61)</f>
      </c>
      <c r="BU61" s="72">
        <f>IF(B61="","",IF(Metodo_Prorrateo="KG",IF(SUMIFS($G$6:$G$305,$D$6:$D$305,D61)=0,0,G61/SUMIFS($G$6:$G$305,$D$6:$D$305,D61)),IF(G61&gt;0,1/COUNTIFS($D$6:$D$305,D61,$G$6:$G$305,"&gt;0"),0)))</f>
      </c>
      <c r="BV61" s="37">
        <f>IF(B61="","",IF(BP61=0,0,INDEX(COSTOS_FIJOS!$G$39:$AD$39,BP61))*BU61)</f>
      </c>
      <c r="BW61" s="72">
        <f>IF(B61="","",IF(Metodo_Prorrateo="KG",IF(SUMIFS($H$6:$H$305,$D$6:$D$305,D61)=0,0,H61/SUMIFS($H$6:$H$305,$D$6:$D$305,D61)),IF(H61&gt;0,1/COUNTIFS($D$6:$D$305,D61,$H$6:$H$305,"&gt;0"),0)))</f>
      </c>
      <c r="BX61" s="37">
        <f>IF(B61="","",IF(BP61=0,0,INDEX(COSTOS_FIJOS!$G$40:$AD$40,BP61))*BW61)</f>
      </c>
      <c r="BY61" s="72">
        <f>IF(B61="","",IF(Metodo_Prorrateo="KG",IF(SUMIFS($I$6:$I$305,$D$6:$D$305,D61)=0,0,I61/SUMIFS($I$6:$I$305,$D$6:$D$305,D61)),IF(I61&gt;0,1/COUNTIFS($D$6:$D$305,D61,$I$6:$I$305,"&gt;0"),0)))</f>
      </c>
      <c r="BZ61" s="37">
        <f>IF(B61="","",IF(BP61=0,0,INDEX(COSTOS_FIJOS!$G$41:$AD$41,BP61))*BY61)</f>
      </c>
      <c r="CA61" s="70">
        <f>IF(B61="","",BT61+BV61+BX61+BZ61)</f>
      </c>
      <c r="CB61" s="37">
        <f>IF(B61="","",Q61*Imp_Ventas_Serv)</f>
      </c>
      <c r="CC61" s="37">
        <f>IF(B61="","",Q61*Contrib_Territorial)</f>
      </c>
      <c r="CD61" s="70">
        <f>IF(B61="","",BM61-CA61-CB61-CC61)</f>
      </c>
      <c r="CE61" s="37">
        <f>IF(B61="","",MAX(0,CD61)*Imp_Utilidades)</f>
      </c>
      <c r="CF61" s="70">
        <f>IF(B61="","",CD61-CE61)</f>
      </c>
      <c r="CG61" s="72">
        <f>IF(B61="","",IF(Q61=0,0,CF61/Q61))</f>
      </c>
      <c r="CH61" s="73">
        <f>IF(B61="","",IF(J61=0,0,(BL61+CA61+CB61+CC61)/J61))</f>
      </c>
      <c r="CI61" s="73">
        <f>IF(B61="","",IF(J61=0,0,Q61/J61))</f>
      </c>
      <c r="CJ61" s="73">
        <f>IF(B61="","",IF(J61=0,0,CD61/J61))</f>
      </c>
      <c r="CK61" s="37">
        <f>IF(B61="","",Y61+AE61+BK61+BT61)</f>
      </c>
      <c r="CL61" s="37">
        <f>IF(B61="","",IF(J61=0,0,(M61+P61*G61/J61)*(1-Pct_Reclamaciones-Pct_Banco-Imp_Ventas_Serv-Contrib_Territorial)-AI61-BE61-BV61-CK61*G61/J61))</f>
      </c>
      <c r="CM61" s="37">
        <f>IF(B61="","",IF(J61=0,0,(N61+P61*H61/J61)*(1-Pct_Reclamaciones-Pct_Banco-Imp_Ventas_Serv-Contrib_Territorial)-AS61-BF61-BX61-CK61*H61/J61))</f>
      </c>
      <c r="CN61" s="37">
        <f>IF(B61="","",IF(J61=0,0,(O61+P61*I61/J61)*(1-Pct_Reclamaciones-Pct_Banco-Imp_Ventas_Serv-Contrib_Territorial)-BC61-BG61-BZ61-CK61*I61/J61))</f>
      </c>
      <c r="CO61" s="37">
        <f>IF(B61="","",IF(J61=0,0,ROUND(CD61-CL61-CM61-CN61,4)))</f>
      </c>
      <c r="CP61" s="71">
        <f>IF(B61="","",T61+AG61+AK61+AM61+AU61+AW61)</f>
      </c>
      <c r="CQ61" s="71">
        <f>IF(B61="","",U61+AH61+AL61+AN61+AV61+AX61)</f>
      </c>
      <c r="CR61" s="72">
        <f>IF(B61="","",IF(CP61=0,0,CQ61/CP61-1))</f>
      </c>
      <c r="CS61" s="60">
        <f>IF(B61="","",IF(ENTRADA!$Y61="","",ENTRADA!$Y61-C61))</f>
      </c>
      <c r="CT61" s="66">
        <f>IF(B61="","",IF(ENTRADA!$C61="","Falta fecha. ","")&amp;IF(BP61=0,"Mes fuera del rango de COSTOS_FIJOS. ","")&amp;IF(J61=0,"Sin kg. ","")&amp;IF(E61="","Falta transitaria. ","")&amp;IF(AND(T61&gt;0,U61/T61-1&gt;Tolerancia_Comb),"Combustible al puerto "&amp;TEXT(U61/T61-1,"+0%")&amp;" sobre norma. ","")&amp;IF(AND(AG61&gt;0,AH61/AG61-1&gt;Tolerancia_Comb),"Combustible distribución Occidente "&amp;TEXT(AH61/AG61-1,"+0%")&amp;" sobre norma. ","")&amp;IF(AND(AK61&gt;0,AL61/AK61-1&gt;Tolerancia_Comb),"Combustible traslado Centro "&amp;TEXT(AL61/AK61-1,"+0%")&amp;" sobre norma. ","")&amp;IF(AND(AM61&gt;0,AN61/AM61-1&gt;Tolerancia_Comb),"Combustible distribución Centro "&amp;TEXT(AN61/AM61-1,"+0%")&amp;" sobre norma. ","")&amp;IF(AND(AU61&gt;0,AV61/AU61-1&gt;Tolerancia_Comb),"Combustible traslado Oriente "&amp;TEXT(AV61/AU61-1,"+0%")&amp;" sobre norma. ","")&amp;IF(AND(AW61&gt;0,AX61/AW61-1&gt;Tolerancia_Comb),"Combustible distribución Oriente "&amp;TEXT(AX61/AW61-1,"+0%")&amp;" sobre norma. ","")&amp;IF(AND(ENTRADA!$C61&lt;&gt;"",C61&lt;PRECIOS!$A$6),"Fecha anterior a la 1ª vigencia de precios. ","")&amp;IF(CD61&lt;0,"Contenedor con pérdida. ",""))</f>
      </c>
    </row>
    <row r="62">
      <c r="A62" s="60">
        <f>IF(B62="","",ROW()-5)</f>
      </c>
      <c r="B62" s="63">
        <f>IF(ENTRADA!$B62="","",ENTRADA!$B62)</f>
      </c>
      <c r="C62" s="64">
        <f>IF(B62="","",ENTRADA!$C62)</f>
      </c>
      <c r="D62" s="65">
        <f>IF(B62="","",DATE(YEAR(C62),MONTH(C62),1))</f>
      </c>
      <c r="E62" s="66">
        <f>IF(B62="","",ENTRADA!$D62&amp;"")</f>
      </c>
      <c r="F62" s="66">
        <f>IF(B62="","",ENTRADA!$Z62&amp;"")</f>
      </c>
      <c r="G62" s="67">
        <f>IF(B62="","",N(ENTRADA!$G62))</f>
      </c>
      <c r="H62" s="67">
        <f>IF(B62="","",N(ENTRADA!$H62))</f>
      </c>
      <c r="I62" s="67">
        <f>IF(B62="","",N(ENTRADA!$I62))</f>
      </c>
      <c r="J62" s="68">
        <f>IF(B62="","",G62+H62+I62)</f>
      </c>
      <c r="K62" s="60">
        <f>IF(B62="","",IFERROR(MATCH(SUMPRODUCT(MAX((PRECIOS!$A$6:$A$55&lt;=C62)*PRECIOS!$A$6:$A$55)),PRECIOS!$A$6:$A$55,0),1))</f>
      </c>
      <c r="L62" s="69">
        <f>IF(B62="","",INDEX(PRECIOS!$A$6:$A$55,K62))</f>
      </c>
      <c r="M62" s="37">
        <f>IF(B62="","",G62*INDEX(PRECIOS!$B$6:$B$55,K62))</f>
      </c>
      <c r="N62" s="37">
        <f>IF(B62="","",H62*INDEX(PRECIOS!$C$6:$C$55,K62))</f>
      </c>
      <c r="O62" s="37">
        <f>IF(B62="","",I62*INDEX(PRECIOS!$D$6:$D$55,K62))</f>
      </c>
      <c r="P62" s="37">
        <f>IF(B62="","",N(ENTRADA!$X62))</f>
      </c>
      <c r="Q62" s="70">
        <f>IF(B62="","",M62+N62+O62+P62)</f>
      </c>
      <c r="R62" s="71">
        <f>IF(B62="","",IF(ENTRADA!$J62="",Std_Viajes_Puerto,ENTRADA!$J62))</f>
      </c>
      <c r="S62" s="37">
        <f>IF(B62="","",R62*INDEX(PRECIOS!$F$6:$F$55,K62))</f>
      </c>
      <c r="T62" s="71">
        <f>IF(B62="","",R62*Litros_Puerto_Viaje)</f>
      </c>
      <c r="U62" s="71">
        <f>IF(B62="","",IF(ENTRADA!$K62="",T62,ENTRADA!$K62))</f>
      </c>
      <c r="V62" s="37">
        <f>IF(B62="","",U62*INDEX(PRECIOS!$E$6:$E$55,K62))</f>
      </c>
      <c r="W62" s="37">
        <f>IF(B62="","",IF(ENTRADA!$L62="",R62*INDEX(PRECIOS!$G$6:$G$55,K62),ENTRADA!$L62))</f>
      </c>
      <c r="X62" s="37">
        <f>IF(B62="","",R62*Km_Puerto_Viaje*INDEX(PRECIOS!$N$6:$N$55,K62))</f>
      </c>
      <c r="Y62" s="70">
        <f>IF(B62="","",S62+V62+W62+X62)</f>
      </c>
      <c r="Z62" s="71">
        <f>IF(B62="","",IF(J62=0,0,ROUNDUP(J62/Rend_Desagrupe,0)))</f>
      </c>
      <c r="AA62" s="71">
        <f>IF(B62="","",IF(ENTRADA!$M62="",Z62,ENTRADA!$M62))</f>
      </c>
      <c r="AB62" s="37">
        <f>IF(B62="","",AA62*INDEX(PRECIOS!$H$6:$H$55,K62))</f>
      </c>
      <c r="AC62" s="37">
        <f>IF(B62="","",IF(E62="ENCI",INDEX(PRECIOS!$J$6:$J$55,K62),IF(E62="A.V",INDEX(PRECIOS!$K$6:$K$55,K62),0)))</f>
      </c>
      <c r="AD62" s="37">
        <f>IF(B62="","",N(ENTRADA!$N62))</f>
      </c>
      <c r="AE62" s="70">
        <f>IF(B62="","",AB62+AC62+AD62)</f>
      </c>
      <c r="AF62" s="71">
        <f>IF(B62="","",IF(G62=0,0,ROUNDUP(G62/Cap_Camion_OCC,0)))</f>
      </c>
      <c r="AG62" s="71">
        <f>IF(B62="","",AF62*L_Dist_OCC)</f>
      </c>
      <c r="AH62" s="71">
        <f>IF(B62="","",IF(ENTRADA!$O62="",AG62,ENTRADA!$O62))</f>
      </c>
      <c r="AI62" s="37">
        <f>IF(B62="","",AH62*INDEX(PRECIOS!$E$6:$E$55,K62))</f>
      </c>
      <c r="AJ62" s="71">
        <f>IF(B62="","",IF(H62=0,0,ROUNDUP(H62/Cap_Camion_CEN,0)))</f>
      </c>
      <c r="AK62" s="71">
        <f>IF(B62="","",AJ62*L_Tras_CEN)</f>
      </c>
      <c r="AL62" s="71">
        <f>IF(B62="","",IF(ENTRADA!$P62="",AK62,ENTRADA!$P62))</f>
      </c>
      <c r="AM62" s="71">
        <f>IF(B62="","",AJ62*L_Dist_CEN)</f>
      </c>
      <c r="AN62" s="71">
        <f>IF(B62="","",IF(ENTRADA!$Q62="",AM62,ENTRADA!$Q62))</f>
      </c>
      <c r="AO62" s="37">
        <f>IF(B62="","",(AL62+AN62)*INDEX(PRECIOS!$E$6:$E$55,K62))</f>
      </c>
      <c r="AP62" s="71">
        <f>IF(B62="","",IF(H62=0,0,ROUNDUP(H62/Rend_Desagrupe_CT,0)))</f>
      </c>
      <c r="AQ62" s="71">
        <f>IF(B62="","",IF(ENTRADA!$R62="",AP62,ENTRADA!$R62))</f>
      </c>
      <c r="AR62" s="37">
        <f>IF(B62="","",AQ62*INDEX(PRECIOS!$I$6:$I$55,K62))</f>
      </c>
      <c r="AS62" s="37">
        <f>IF(B62="","",AO62+AR62)</f>
      </c>
      <c r="AT62" s="71">
        <f>IF(B62="","",IF(I62=0,0,ROUNDUP(I62/Cap_Camion_ORI,0)))</f>
      </c>
      <c r="AU62" s="71">
        <f>IF(B62="","",AT62*L_Tras_ORI)</f>
      </c>
      <c r="AV62" s="71">
        <f>IF(B62="","",IF(ENTRADA!$S62="",AU62,ENTRADA!$S62))</f>
      </c>
      <c r="AW62" s="71">
        <f>IF(B62="","",AT62*L_Dist_ORI)</f>
      </c>
      <c r="AX62" s="71">
        <f>IF(B62="","",IF(ENTRADA!$T62="",AW62,ENTRADA!$T62))</f>
      </c>
      <c r="AY62" s="37">
        <f>IF(B62="","",(AV62+AX62)*INDEX(PRECIOS!$E$6:$E$55,K62))</f>
      </c>
      <c r="AZ62" s="71">
        <f>IF(B62="","",IF(I62=0,0,ROUNDUP(I62/Rend_Desagrupe_CT,0)))</f>
      </c>
      <c r="BA62" s="71">
        <f>IF(B62="","",IF(ENTRADA!$U62="",AZ62,ENTRADA!$U62))</f>
      </c>
      <c r="BB62" s="37">
        <f>IF(B62="","",BA62*INDEX(PRECIOS!$I$6:$I$55,K62))</f>
      </c>
      <c r="BC62" s="37">
        <f>IF(B62="","",AY62+BB62)</f>
      </c>
      <c r="BD62" s="70">
        <f>IF(B62="","",AI62+AS62+BC62)</f>
      </c>
      <c r="BE62" s="37">
        <f>IF(B62="","",IF(Base_Comision="% DEL INGRESO",M62*INDEX(PRECIOS!$L$6:$L$55,K62),G62*INDEX(PRECIOS!$M$6:$M$55,K62)))</f>
      </c>
      <c r="BF62" s="37">
        <f>IF(B62="","",IF(Base_Comision="% DEL INGRESO",N62*INDEX(PRECIOS!$L$6:$L$55,K62),H62*INDEX(PRECIOS!$M$6:$M$55,K62)))</f>
      </c>
      <c r="BG62" s="37">
        <f>IF(B62="","",IF(Base_Comision="% DEL INGRESO",O62*INDEX(PRECIOS!$L$6:$L$55,K62),I62*INDEX(PRECIOS!$M$6:$M$55,K62)))</f>
      </c>
      <c r="BH62" s="70">
        <f>IF(B62="","",BE62+BF62+BG62)</f>
      </c>
      <c r="BI62" s="37">
        <f>IF(B62="","",Q62*Pct_Reclamaciones)</f>
      </c>
      <c r="BJ62" s="37">
        <f>IF(B62="","",Q62*Pct_Banco)</f>
      </c>
      <c r="BK62" s="37">
        <f>IF(B62="","",N(ENTRADA!$V62))</f>
      </c>
      <c r="BL62" s="70">
        <f>IF(B62="","",Y62+AE62+BD62+BH62+BI62+BJ62+BK62)</f>
      </c>
      <c r="BM62" s="70">
        <f>IF(B62="","",Q62-BL62)</f>
      </c>
      <c r="BN62" s="72">
        <f>IF(B62="","",IF(Q62=0,0,BM62/Q62))</f>
      </c>
      <c r="BO62" s="73">
        <f>IF(B62="","",IF(J62=0,0,BM62/J62))</f>
      </c>
      <c r="BP62" s="60">
        <f>IF(B62="","",IFERROR(MATCH(D62,COSTOS_FIJOS!$G$5:$AD$5,0),0))</f>
      </c>
      <c r="BQ62" s="60">
        <f>IF(B62="","",COUNTIFS($D$6:$D$305,D62))</f>
      </c>
      <c r="BR62" s="67">
        <f>IF(B62="","",SUMIFS($J$6:$J$305,$D$6:$D$305,D62))</f>
      </c>
      <c r="BS62" s="72">
        <f>IF(B62="","",IF(Metodo_Prorrateo="KG",IF(BR62=0,0,J62/BR62),1/BQ62))</f>
      </c>
      <c r="BT62" s="37">
        <f>IF(B62="","",IF(BP62=0,0,INDEX(COSTOS_FIJOS!$G$38:$AD$38,BP62))*BS62)</f>
      </c>
      <c r="BU62" s="72">
        <f>IF(B62="","",IF(Metodo_Prorrateo="KG",IF(SUMIFS($G$6:$G$305,$D$6:$D$305,D62)=0,0,G62/SUMIFS($G$6:$G$305,$D$6:$D$305,D62)),IF(G62&gt;0,1/COUNTIFS($D$6:$D$305,D62,$G$6:$G$305,"&gt;0"),0)))</f>
      </c>
      <c r="BV62" s="37">
        <f>IF(B62="","",IF(BP62=0,0,INDEX(COSTOS_FIJOS!$G$39:$AD$39,BP62))*BU62)</f>
      </c>
      <c r="BW62" s="72">
        <f>IF(B62="","",IF(Metodo_Prorrateo="KG",IF(SUMIFS($H$6:$H$305,$D$6:$D$305,D62)=0,0,H62/SUMIFS($H$6:$H$305,$D$6:$D$305,D62)),IF(H62&gt;0,1/COUNTIFS($D$6:$D$305,D62,$H$6:$H$305,"&gt;0"),0)))</f>
      </c>
      <c r="BX62" s="37">
        <f>IF(B62="","",IF(BP62=0,0,INDEX(COSTOS_FIJOS!$G$40:$AD$40,BP62))*BW62)</f>
      </c>
      <c r="BY62" s="72">
        <f>IF(B62="","",IF(Metodo_Prorrateo="KG",IF(SUMIFS($I$6:$I$305,$D$6:$D$305,D62)=0,0,I62/SUMIFS($I$6:$I$305,$D$6:$D$305,D62)),IF(I62&gt;0,1/COUNTIFS($D$6:$D$305,D62,$I$6:$I$305,"&gt;0"),0)))</f>
      </c>
      <c r="BZ62" s="37">
        <f>IF(B62="","",IF(BP62=0,0,INDEX(COSTOS_FIJOS!$G$41:$AD$41,BP62))*BY62)</f>
      </c>
      <c r="CA62" s="70">
        <f>IF(B62="","",BT62+BV62+BX62+BZ62)</f>
      </c>
      <c r="CB62" s="37">
        <f>IF(B62="","",Q62*Imp_Ventas_Serv)</f>
      </c>
      <c r="CC62" s="37">
        <f>IF(B62="","",Q62*Contrib_Territorial)</f>
      </c>
      <c r="CD62" s="70">
        <f>IF(B62="","",BM62-CA62-CB62-CC62)</f>
      </c>
      <c r="CE62" s="37">
        <f>IF(B62="","",MAX(0,CD62)*Imp_Utilidades)</f>
      </c>
      <c r="CF62" s="70">
        <f>IF(B62="","",CD62-CE62)</f>
      </c>
      <c r="CG62" s="72">
        <f>IF(B62="","",IF(Q62=0,0,CF62/Q62))</f>
      </c>
      <c r="CH62" s="73">
        <f>IF(B62="","",IF(J62=0,0,(BL62+CA62+CB62+CC62)/J62))</f>
      </c>
      <c r="CI62" s="73">
        <f>IF(B62="","",IF(J62=0,0,Q62/J62))</f>
      </c>
      <c r="CJ62" s="73">
        <f>IF(B62="","",IF(J62=0,0,CD62/J62))</f>
      </c>
      <c r="CK62" s="37">
        <f>IF(B62="","",Y62+AE62+BK62+BT62)</f>
      </c>
      <c r="CL62" s="37">
        <f>IF(B62="","",IF(J62=0,0,(M62+P62*G62/J62)*(1-Pct_Reclamaciones-Pct_Banco-Imp_Ventas_Serv-Contrib_Territorial)-AI62-BE62-BV62-CK62*G62/J62))</f>
      </c>
      <c r="CM62" s="37">
        <f>IF(B62="","",IF(J62=0,0,(N62+P62*H62/J62)*(1-Pct_Reclamaciones-Pct_Banco-Imp_Ventas_Serv-Contrib_Territorial)-AS62-BF62-BX62-CK62*H62/J62))</f>
      </c>
      <c r="CN62" s="37">
        <f>IF(B62="","",IF(J62=0,0,(O62+P62*I62/J62)*(1-Pct_Reclamaciones-Pct_Banco-Imp_Ventas_Serv-Contrib_Territorial)-BC62-BG62-BZ62-CK62*I62/J62))</f>
      </c>
      <c r="CO62" s="37">
        <f>IF(B62="","",IF(J62=0,0,ROUND(CD62-CL62-CM62-CN62,4)))</f>
      </c>
      <c r="CP62" s="71">
        <f>IF(B62="","",T62+AG62+AK62+AM62+AU62+AW62)</f>
      </c>
      <c r="CQ62" s="71">
        <f>IF(B62="","",U62+AH62+AL62+AN62+AV62+AX62)</f>
      </c>
      <c r="CR62" s="72">
        <f>IF(B62="","",IF(CP62=0,0,CQ62/CP62-1))</f>
      </c>
      <c r="CS62" s="60">
        <f>IF(B62="","",IF(ENTRADA!$Y62="","",ENTRADA!$Y62-C62))</f>
      </c>
      <c r="CT62" s="66">
        <f>IF(B62="","",IF(ENTRADA!$C62="","Falta fecha. ","")&amp;IF(BP62=0,"Mes fuera del rango de COSTOS_FIJOS. ","")&amp;IF(J62=0,"Sin kg. ","")&amp;IF(E62="","Falta transitaria. ","")&amp;IF(AND(T62&gt;0,U62/T62-1&gt;Tolerancia_Comb),"Combustible al puerto "&amp;TEXT(U62/T62-1,"+0%")&amp;" sobre norma. ","")&amp;IF(AND(AG62&gt;0,AH62/AG62-1&gt;Tolerancia_Comb),"Combustible distribución Occidente "&amp;TEXT(AH62/AG62-1,"+0%")&amp;" sobre norma. ","")&amp;IF(AND(AK62&gt;0,AL62/AK62-1&gt;Tolerancia_Comb),"Combustible traslado Centro "&amp;TEXT(AL62/AK62-1,"+0%")&amp;" sobre norma. ","")&amp;IF(AND(AM62&gt;0,AN62/AM62-1&gt;Tolerancia_Comb),"Combustible distribución Centro "&amp;TEXT(AN62/AM62-1,"+0%")&amp;" sobre norma. ","")&amp;IF(AND(AU62&gt;0,AV62/AU62-1&gt;Tolerancia_Comb),"Combustible traslado Oriente "&amp;TEXT(AV62/AU62-1,"+0%")&amp;" sobre norma. ","")&amp;IF(AND(AW62&gt;0,AX62/AW62-1&gt;Tolerancia_Comb),"Combustible distribución Oriente "&amp;TEXT(AX62/AW62-1,"+0%")&amp;" sobre norma. ","")&amp;IF(AND(ENTRADA!$C62&lt;&gt;"",C62&lt;PRECIOS!$A$6),"Fecha anterior a la 1ª vigencia de precios. ","")&amp;IF(CD62&lt;0,"Contenedor con pérdida. ",""))</f>
      </c>
    </row>
    <row r="63">
      <c r="A63" s="60">
        <f>IF(B63="","",ROW()-5)</f>
      </c>
      <c r="B63" s="63">
        <f>IF(ENTRADA!$B63="","",ENTRADA!$B63)</f>
      </c>
      <c r="C63" s="64">
        <f>IF(B63="","",ENTRADA!$C63)</f>
      </c>
      <c r="D63" s="65">
        <f>IF(B63="","",DATE(YEAR(C63),MONTH(C63),1))</f>
      </c>
      <c r="E63" s="66">
        <f>IF(B63="","",ENTRADA!$D63&amp;"")</f>
      </c>
      <c r="F63" s="66">
        <f>IF(B63="","",ENTRADA!$Z63&amp;"")</f>
      </c>
      <c r="G63" s="67">
        <f>IF(B63="","",N(ENTRADA!$G63))</f>
      </c>
      <c r="H63" s="67">
        <f>IF(B63="","",N(ENTRADA!$H63))</f>
      </c>
      <c r="I63" s="67">
        <f>IF(B63="","",N(ENTRADA!$I63))</f>
      </c>
      <c r="J63" s="68">
        <f>IF(B63="","",G63+H63+I63)</f>
      </c>
      <c r="K63" s="60">
        <f>IF(B63="","",IFERROR(MATCH(SUMPRODUCT(MAX((PRECIOS!$A$6:$A$55&lt;=C63)*PRECIOS!$A$6:$A$55)),PRECIOS!$A$6:$A$55,0),1))</f>
      </c>
      <c r="L63" s="69">
        <f>IF(B63="","",INDEX(PRECIOS!$A$6:$A$55,K63))</f>
      </c>
      <c r="M63" s="37">
        <f>IF(B63="","",G63*INDEX(PRECIOS!$B$6:$B$55,K63))</f>
      </c>
      <c r="N63" s="37">
        <f>IF(B63="","",H63*INDEX(PRECIOS!$C$6:$C$55,K63))</f>
      </c>
      <c r="O63" s="37">
        <f>IF(B63="","",I63*INDEX(PRECIOS!$D$6:$D$55,K63))</f>
      </c>
      <c r="P63" s="37">
        <f>IF(B63="","",N(ENTRADA!$X63))</f>
      </c>
      <c r="Q63" s="70">
        <f>IF(B63="","",M63+N63+O63+P63)</f>
      </c>
      <c r="R63" s="71">
        <f>IF(B63="","",IF(ENTRADA!$J63="",Std_Viajes_Puerto,ENTRADA!$J63))</f>
      </c>
      <c r="S63" s="37">
        <f>IF(B63="","",R63*INDEX(PRECIOS!$F$6:$F$55,K63))</f>
      </c>
      <c r="T63" s="71">
        <f>IF(B63="","",R63*Litros_Puerto_Viaje)</f>
      </c>
      <c r="U63" s="71">
        <f>IF(B63="","",IF(ENTRADA!$K63="",T63,ENTRADA!$K63))</f>
      </c>
      <c r="V63" s="37">
        <f>IF(B63="","",U63*INDEX(PRECIOS!$E$6:$E$55,K63))</f>
      </c>
      <c r="W63" s="37">
        <f>IF(B63="","",IF(ENTRADA!$L63="",R63*INDEX(PRECIOS!$G$6:$G$55,K63),ENTRADA!$L63))</f>
      </c>
      <c r="X63" s="37">
        <f>IF(B63="","",R63*Km_Puerto_Viaje*INDEX(PRECIOS!$N$6:$N$55,K63))</f>
      </c>
      <c r="Y63" s="70">
        <f>IF(B63="","",S63+V63+W63+X63)</f>
      </c>
      <c r="Z63" s="71">
        <f>IF(B63="","",IF(J63=0,0,ROUNDUP(J63/Rend_Desagrupe,0)))</f>
      </c>
      <c r="AA63" s="71">
        <f>IF(B63="","",IF(ENTRADA!$M63="",Z63,ENTRADA!$M63))</f>
      </c>
      <c r="AB63" s="37">
        <f>IF(B63="","",AA63*INDEX(PRECIOS!$H$6:$H$55,K63))</f>
      </c>
      <c r="AC63" s="37">
        <f>IF(B63="","",IF(E63="ENCI",INDEX(PRECIOS!$J$6:$J$55,K63),IF(E63="A.V",INDEX(PRECIOS!$K$6:$K$55,K63),0)))</f>
      </c>
      <c r="AD63" s="37">
        <f>IF(B63="","",N(ENTRADA!$N63))</f>
      </c>
      <c r="AE63" s="70">
        <f>IF(B63="","",AB63+AC63+AD63)</f>
      </c>
      <c r="AF63" s="71">
        <f>IF(B63="","",IF(G63=0,0,ROUNDUP(G63/Cap_Camion_OCC,0)))</f>
      </c>
      <c r="AG63" s="71">
        <f>IF(B63="","",AF63*L_Dist_OCC)</f>
      </c>
      <c r="AH63" s="71">
        <f>IF(B63="","",IF(ENTRADA!$O63="",AG63,ENTRADA!$O63))</f>
      </c>
      <c r="AI63" s="37">
        <f>IF(B63="","",AH63*INDEX(PRECIOS!$E$6:$E$55,K63))</f>
      </c>
      <c r="AJ63" s="71">
        <f>IF(B63="","",IF(H63=0,0,ROUNDUP(H63/Cap_Camion_CEN,0)))</f>
      </c>
      <c r="AK63" s="71">
        <f>IF(B63="","",AJ63*L_Tras_CEN)</f>
      </c>
      <c r="AL63" s="71">
        <f>IF(B63="","",IF(ENTRADA!$P63="",AK63,ENTRADA!$P63))</f>
      </c>
      <c r="AM63" s="71">
        <f>IF(B63="","",AJ63*L_Dist_CEN)</f>
      </c>
      <c r="AN63" s="71">
        <f>IF(B63="","",IF(ENTRADA!$Q63="",AM63,ENTRADA!$Q63))</f>
      </c>
      <c r="AO63" s="37">
        <f>IF(B63="","",(AL63+AN63)*INDEX(PRECIOS!$E$6:$E$55,K63))</f>
      </c>
      <c r="AP63" s="71">
        <f>IF(B63="","",IF(H63=0,0,ROUNDUP(H63/Rend_Desagrupe_CT,0)))</f>
      </c>
      <c r="AQ63" s="71">
        <f>IF(B63="","",IF(ENTRADA!$R63="",AP63,ENTRADA!$R63))</f>
      </c>
      <c r="AR63" s="37">
        <f>IF(B63="","",AQ63*INDEX(PRECIOS!$I$6:$I$55,K63))</f>
      </c>
      <c r="AS63" s="37">
        <f>IF(B63="","",AO63+AR63)</f>
      </c>
      <c r="AT63" s="71">
        <f>IF(B63="","",IF(I63=0,0,ROUNDUP(I63/Cap_Camion_ORI,0)))</f>
      </c>
      <c r="AU63" s="71">
        <f>IF(B63="","",AT63*L_Tras_ORI)</f>
      </c>
      <c r="AV63" s="71">
        <f>IF(B63="","",IF(ENTRADA!$S63="",AU63,ENTRADA!$S63))</f>
      </c>
      <c r="AW63" s="71">
        <f>IF(B63="","",AT63*L_Dist_ORI)</f>
      </c>
      <c r="AX63" s="71">
        <f>IF(B63="","",IF(ENTRADA!$T63="",AW63,ENTRADA!$T63))</f>
      </c>
      <c r="AY63" s="37">
        <f>IF(B63="","",(AV63+AX63)*INDEX(PRECIOS!$E$6:$E$55,K63))</f>
      </c>
      <c r="AZ63" s="71">
        <f>IF(B63="","",IF(I63=0,0,ROUNDUP(I63/Rend_Desagrupe_CT,0)))</f>
      </c>
      <c r="BA63" s="71">
        <f>IF(B63="","",IF(ENTRADA!$U63="",AZ63,ENTRADA!$U63))</f>
      </c>
      <c r="BB63" s="37">
        <f>IF(B63="","",BA63*INDEX(PRECIOS!$I$6:$I$55,K63))</f>
      </c>
      <c r="BC63" s="37">
        <f>IF(B63="","",AY63+BB63)</f>
      </c>
      <c r="BD63" s="70">
        <f>IF(B63="","",AI63+AS63+BC63)</f>
      </c>
      <c r="BE63" s="37">
        <f>IF(B63="","",IF(Base_Comision="% DEL INGRESO",M63*INDEX(PRECIOS!$L$6:$L$55,K63),G63*INDEX(PRECIOS!$M$6:$M$55,K63)))</f>
      </c>
      <c r="BF63" s="37">
        <f>IF(B63="","",IF(Base_Comision="% DEL INGRESO",N63*INDEX(PRECIOS!$L$6:$L$55,K63),H63*INDEX(PRECIOS!$M$6:$M$55,K63)))</f>
      </c>
      <c r="BG63" s="37">
        <f>IF(B63="","",IF(Base_Comision="% DEL INGRESO",O63*INDEX(PRECIOS!$L$6:$L$55,K63),I63*INDEX(PRECIOS!$M$6:$M$55,K63)))</f>
      </c>
      <c r="BH63" s="70">
        <f>IF(B63="","",BE63+BF63+BG63)</f>
      </c>
      <c r="BI63" s="37">
        <f>IF(B63="","",Q63*Pct_Reclamaciones)</f>
      </c>
      <c r="BJ63" s="37">
        <f>IF(B63="","",Q63*Pct_Banco)</f>
      </c>
      <c r="BK63" s="37">
        <f>IF(B63="","",N(ENTRADA!$V63))</f>
      </c>
      <c r="BL63" s="70">
        <f>IF(B63="","",Y63+AE63+BD63+BH63+BI63+BJ63+BK63)</f>
      </c>
      <c r="BM63" s="70">
        <f>IF(B63="","",Q63-BL63)</f>
      </c>
      <c r="BN63" s="72">
        <f>IF(B63="","",IF(Q63=0,0,BM63/Q63))</f>
      </c>
      <c r="BO63" s="73">
        <f>IF(B63="","",IF(J63=0,0,BM63/J63))</f>
      </c>
      <c r="BP63" s="60">
        <f>IF(B63="","",IFERROR(MATCH(D63,COSTOS_FIJOS!$G$5:$AD$5,0),0))</f>
      </c>
      <c r="BQ63" s="60">
        <f>IF(B63="","",COUNTIFS($D$6:$D$305,D63))</f>
      </c>
      <c r="BR63" s="67">
        <f>IF(B63="","",SUMIFS($J$6:$J$305,$D$6:$D$305,D63))</f>
      </c>
      <c r="BS63" s="72">
        <f>IF(B63="","",IF(Metodo_Prorrateo="KG",IF(BR63=0,0,J63/BR63),1/BQ63))</f>
      </c>
      <c r="BT63" s="37">
        <f>IF(B63="","",IF(BP63=0,0,INDEX(COSTOS_FIJOS!$G$38:$AD$38,BP63))*BS63)</f>
      </c>
      <c r="BU63" s="72">
        <f>IF(B63="","",IF(Metodo_Prorrateo="KG",IF(SUMIFS($G$6:$G$305,$D$6:$D$305,D63)=0,0,G63/SUMIFS($G$6:$G$305,$D$6:$D$305,D63)),IF(G63&gt;0,1/COUNTIFS($D$6:$D$305,D63,$G$6:$G$305,"&gt;0"),0)))</f>
      </c>
      <c r="BV63" s="37">
        <f>IF(B63="","",IF(BP63=0,0,INDEX(COSTOS_FIJOS!$G$39:$AD$39,BP63))*BU63)</f>
      </c>
      <c r="BW63" s="72">
        <f>IF(B63="","",IF(Metodo_Prorrateo="KG",IF(SUMIFS($H$6:$H$305,$D$6:$D$305,D63)=0,0,H63/SUMIFS($H$6:$H$305,$D$6:$D$305,D63)),IF(H63&gt;0,1/COUNTIFS($D$6:$D$305,D63,$H$6:$H$305,"&gt;0"),0)))</f>
      </c>
      <c r="BX63" s="37">
        <f>IF(B63="","",IF(BP63=0,0,INDEX(COSTOS_FIJOS!$G$40:$AD$40,BP63))*BW63)</f>
      </c>
      <c r="BY63" s="72">
        <f>IF(B63="","",IF(Metodo_Prorrateo="KG",IF(SUMIFS($I$6:$I$305,$D$6:$D$305,D63)=0,0,I63/SUMIFS($I$6:$I$305,$D$6:$D$305,D63)),IF(I63&gt;0,1/COUNTIFS($D$6:$D$305,D63,$I$6:$I$305,"&gt;0"),0)))</f>
      </c>
      <c r="BZ63" s="37">
        <f>IF(B63="","",IF(BP63=0,0,INDEX(COSTOS_FIJOS!$G$41:$AD$41,BP63))*BY63)</f>
      </c>
      <c r="CA63" s="70">
        <f>IF(B63="","",BT63+BV63+BX63+BZ63)</f>
      </c>
      <c r="CB63" s="37">
        <f>IF(B63="","",Q63*Imp_Ventas_Serv)</f>
      </c>
      <c r="CC63" s="37">
        <f>IF(B63="","",Q63*Contrib_Territorial)</f>
      </c>
      <c r="CD63" s="70">
        <f>IF(B63="","",BM63-CA63-CB63-CC63)</f>
      </c>
      <c r="CE63" s="37">
        <f>IF(B63="","",MAX(0,CD63)*Imp_Utilidades)</f>
      </c>
      <c r="CF63" s="70">
        <f>IF(B63="","",CD63-CE63)</f>
      </c>
      <c r="CG63" s="72">
        <f>IF(B63="","",IF(Q63=0,0,CF63/Q63))</f>
      </c>
      <c r="CH63" s="73">
        <f>IF(B63="","",IF(J63=0,0,(BL63+CA63+CB63+CC63)/J63))</f>
      </c>
      <c r="CI63" s="73">
        <f>IF(B63="","",IF(J63=0,0,Q63/J63))</f>
      </c>
      <c r="CJ63" s="73">
        <f>IF(B63="","",IF(J63=0,0,CD63/J63))</f>
      </c>
      <c r="CK63" s="37">
        <f>IF(B63="","",Y63+AE63+BK63+BT63)</f>
      </c>
      <c r="CL63" s="37">
        <f>IF(B63="","",IF(J63=0,0,(M63+P63*G63/J63)*(1-Pct_Reclamaciones-Pct_Banco-Imp_Ventas_Serv-Contrib_Territorial)-AI63-BE63-BV63-CK63*G63/J63))</f>
      </c>
      <c r="CM63" s="37">
        <f>IF(B63="","",IF(J63=0,0,(N63+P63*H63/J63)*(1-Pct_Reclamaciones-Pct_Banco-Imp_Ventas_Serv-Contrib_Territorial)-AS63-BF63-BX63-CK63*H63/J63))</f>
      </c>
      <c r="CN63" s="37">
        <f>IF(B63="","",IF(J63=0,0,(O63+P63*I63/J63)*(1-Pct_Reclamaciones-Pct_Banco-Imp_Ventas_Serv-Contrib_Territorial)-BC63-BG63-BZ63-CK63*I63/J63))</f>
      </c>
      <c r="CO63" s="37">
        <f>IF(B63="","",IF(J63=0,0,ROUND(CD63-CL63-CM63-CN63,4)))</f>
      </c>
      <c r="CP63" s="71">
        <f>IF(B63="","",T63+AG63+AK63+AM63+AU63+AW63)</f>
      </c>
      <c r="CQ63" s="71">
        <f>IF(B63="","",U63+AH63+AL63+AN63+AV63+AX63)</f>
      </c>
      <c r="CR63" s="72">
        <f>IF(B63="","",IF(CP63=0,0,CQ63/CP63-1))</f>
      </c>
      <c r="CS63" s="60">
        <f>IF(B63="","",IF(ENTRADA!$Y63="","",ENTRADA!$Y63-C63))</f>
      </c>
      <c r="CT63" s="66">
        <f>IF(B63="","",IF(ENTRADA!$C63="","Falta fecha. ","")&amp;IF(BP63=0,"Mes fuera del rango de COSTOS_FIJOS. ","")&amp;IF(J63=0,"Sin kg. ","")&amp;IF(E63="","Falta transitaria. ","")&amp;IF(AND(T63&gt;0,U63/T63-1&gt;Tolerancia_Comb),"Combustible al puerto "&amp;TEXT(U63/T63-1,"+0%")&amp;" sobre norma. ","")&amp;IF(AND(AG63&gt;0,AH63/AG63-1&gt;Tolerancia_Comb),"Combustible distribución Occidente "&amp;TEXT(AH63/AG63-1,"+0%")&amp;" sobre norma. ","")&amp;IF(AND(AK63&gt;0,AL63/AK63-1&gt;Tolerancia_Comb),"Combustible traslado Centro "&amp;TEXT(AL63/AK63-1,"+0%")&amp;" sobre norma. ","")&amp;IF(AND(AM63&gt;0,AN63/AM63-1&gt;Tolerancia_Comb),"Combustible distribución Centro "&amp;TEXT(AN63/AM63-1,"+0%")&amp;" sobre norma. ","")&amp;IF(AND(AU63&gt;0,AV63/AU63-1&gt;Tolerancia_Comb),"Combustible traslado Oriente "&amp;TEXT(AV63/AU63-1,"+0%")&amp;" sobre norma. ","")&amp;IF(AND(AW63&gt;0,AX63/AW63-1&gt;Tolerancia_Comb),"Combustible distribución Oriente "&amp;TEXT(AX63/AW63-1,"+0%")&amp;" sobre norma. ","")&amp;IF(AND(ENTRADA!$C63&lt;&gt;"",C63&lt;PRECIOS!$A$6),"Fecha anterior a la 1ª vigencia de precios. ","")&amp;IF(CD63&lt;0,"Contenedor con pérdida. ",""))</f>
      </c>
    </row>
    <row r="64">
      <c r="A64" s="60">
        <f>IF(B64="","",ROW()-5)</f>
      </c>
      <c r="B64" s="63">
        <f>IF(ENTRADA!$B64="","",ENTRADA!$B64)</f>
      </c>
      <c r="C64" s="64">
        <f>IF(B64="","",ENTRADA!$C64)</f>
      </c>
      <c r="D64" s="65">
        <f>IF(B64="","",DATE(YEAR(C64),MONTH(C64),1))</f>
      </c>
      <c r="E64" s="66">
        <f>IF(B64="","",ENTRADA!$D64&amp;"")</f>
      </c>
      <c r="F64" s="66">
        <f>IF(B64="","",ENTRADA!$Z64&amp;"")</f>
      </c>
      <c r="G64" s="67">
        <f>IF(B64="","",N(ENTRADA!$G64))</f>
      </c>
      <c r="H64" s="67">
        <f>IF(B64="","",N(ENTRADA!$H64))</f>
      </c>
      <c r="I64" s="67">
        <f>IF(B64="","",N(ENTRADA!$I64))</f>
      </c>
      <c r="J64" s="68">
        <f>IF(B64="","",G64+H64+I64)</f>
      </c>
      <c r="K64" s="60">
        <f>IF(B64="","",IFERROR(MATCH(SUMPRODUCT(MAX((PRECIOS!$A$6:$A$55&lt;=C64)*PRECIOS!$A$6:$A$55)),PRECIOS!$A$6:$A$55,0),1))</f>
      </c>
      <c r="L64" s="69">
        <f>IF(B64="","",INDEX(PRECIOS!$A$6:$A$55,K64))</f>
      </c>
      <c r="M64" s="37">
        <f>IF(B64="","",G64*INDEX(PRECIOS!$B$6:$B$55,K64))</f>
      </c>
      <c r="N64" s="37">
        <f>IF(B64="","",H64*INDEX(PRECIOS!$C$6:$C$55,K64))</f>
      </c>
      <c r="O64" s="37">
        <f>IF(B64="","",I64*INDEX(PRECIOS!$D$6:$D$55,K64))</f>
      </c>
      <c r="P64" s="37">
        <f>IF(B64="","",N(ENTRADA!$X64))</f>
      </c>
      <c r="Q64" s="70">
        <f>IF(B64="","",M64+N64+O64+P64)</f>
      </c>
      <c r="R64" s="71">
        <f>IF(B64="","",IF(ENTRADA!$J64="",Std_Viajes_Puerto,ENTRADA!$J64))</f>
      </c>
      <c r="S64" s="37">
        <f>IF(B64="","",R64*INDEX(PRECIOS!$F$6:$F$55,K64))</f>
      </c>
      <c r="T64" s="71">
        <f>IF(B64="","",R64*Litros_Puerto_Viaje)</f>
      </c>
      <c r="U64" s="71">
        <f>IF(B64="","",IF(ENTRADA!$K64="",T64,ENTRADA!$K64))</f>
      </c>
      <c r="V64" s="37">
        <f>IF(B64="","",U64*INDEX(PRECIOS!$E$6:$E$55,K64))</f>
      </c>
      <c r="W64" s="37">
        <f>IF(B64="","",IF(ENTRADA!$L64="",R64*INDEX(PRECIOS!$G$6:$G$55,K64),ENTRADA!$L64))</f>
      </c>
      <c r="X64" s="37">
        <f>IF(B64="","",R64*Km_Puerto_Viaje*INDEX(PRECIOS!$N$6:$N$55,K64))</f>
      </c>
      <c r="Y64" s="70">
        <f>IF(B64="","",S64+V64+W64+X64)</f>
      </c>
      <c r="Z64" s="71">
        <f>IF(B64="","",IF(J64=0,0,ROUNDUP(J64/Rend_Desagrupe,0)))</f>
      </c>
      <c r="AA64" s="71">
        <f>IF(B64="","",IF(ENTRADA!$M64="",Z64,ENTRADA!$M64))</f>
      </c>
      <c r="AB64" s="37">
        <f>IF(B64="","",AA64*INDEX(PRECIOS!$H$6:$H$55,K64))</f>
      </c>
      <c r="AC64" s="37">
        <f>IF(B64="","",IF(E64="ENCI",INDEX(PRECIOS!$J$6:$J$55,K64),IF(E64="A.V",INDEX(PRECIOS!$K$6:$K$55,K64),0)))</f>
      </c>
      <c r="AD64" s="37">
        <f>IF(B64="","",N(ENTRADA!$N64))</f>
      </c>
      <c r="AE64" s="70">
        <f>IF(B64="","",AB64+AC64+AD64)</f>
      </c>
      <c r="AF64" s="71">
        <f>IF(B64="","",IF(G64=0,0,ROUNDUP(G64/Cap_Camion_OCC,0)))</f>
      </c>
      <c r="AG64" s="71">
        <f>IF(B64="","",AF64*L_Dist_OCC)</f>
      </c>
      <c r="AH64" s="71">
        <f>IF(B64="","",IF(ENTRADA!$O64="",AG64,ENTRADA!$O64))</f>
      </c>
      <c r="AI64" s="37">
        <f>IF(B64="","",AH64*INDEX(PRECIOS!$E$6:$E$55,K64))</f>
      </c>
      <c r="AJ64" s="71">
        <f>IF(B64="","",IF(H64=0,0,ROUNDUP(H64/Cap_Camion_CEN,0)))</f>
      </c>
      <c r="AK64" s="71">
        <f>IF(B64="","",AJ64*L_Tras_CEN)</f>
      </c>
      <c r="AL64" s="71">
        <f>IF(B64="","",IF(ENTRADA!$P64="",AK64,ENTRADA!$P64))</f>
      </c>
      <c r="AM64" s="71">
        <f>IF(B64="","",AJ64*L_Dist_CEN)</f>
      </c>
      <c r="AN64" s="71">
        <f>IF(B64="","",IF(ENTRADA!$Q64="",AM64,ENTRADA!$Q64))</f>
      </c>
      <c r="AO64" s="37">
        <f>IF(B64="","",(AL64+AN64)*INDEX(PRECIOS!$E$6:$E$55,K64))</f>
      </c>
      <c r="AP64" s="71">
        <f>IF(B64="","",IF(H64=0,0,ROUNDUP(H64/Rend_Desagrupe_CT,0)))</f>
      </c>
      <c r="AQ64" s="71">
        <f>IF(B64="","",IF(ENTRADA!$R64="",AP64,ENTRADA!$R64))</f>
      </c>
      <c r="AR64" s="37">
        <f>IF(B64="","",AQ64*INDEX(PRECIOS!$I$6:$I$55,K64))</f>
      </c>
      <c r="AS64" s="37">
        <f>IF(B64="","",AO64+AR64)</f>
      </c>
      <c r="AT64" s="71">
        <f>IF(B64="","",IF(I64=0,0,ROUNDUP(I64/Cap_Camion_ORI,0)))</f>
      </c>
      <c r="AU64" s="71">
        <f>IF(B64="","",AT64*L_Tras_ORI)</f>
      </c>
      <c r="AV64" s="71">
        <f>IF(B64="","",IF(ENTRADA!$S64="",AU64,ENTRADA!$S64))</f>
      </c>
      <c r="AW64" s="71">
        <f>IF(B64="","",AT64*L_Dist_ORI)</f>
      </c>
      <c r="AX64" s="71">
        <f>IF(B64="","",IF(ENTRADA!$T64="",AW64,ENTRADA!$T64))</f>
      </c>
      <c r="AY64" s="37">
        <f>IF(B64="","",(AV64+AX64)*INDEX(PRECIOS!$E$6:$E$55,K64))</f>
      </c>
      <c r="AZ64" s="71">
        <f>IF(B64="","",IF(I64=0,0,ROUNDUP(I64/Rend_Desagrupe_CT,0)))</f>
      </c>
      <c r="BA64" s="71">
        <f>IF(B64="","",IF(ENTRADA!$U64="",AZ64,ENTRADA!$U64))</f>
      </c>
      <c r="BB64" s="37">
        <f>IF(B64="","",BA64*INDEX(PRECIOS!$I$6:$I$55,K64))</f>
      </c>
      <c r="BC64" s="37">
        <f>IF(B64="","",AY64+BB64)</f>
      </c>
      <c r="BD64" s="70">
        <f>IF(B64="","",AI64+AS64+BC64)</f>
      </c>
      <c r="BE64" s="37">
        <f>IF(B64="","",IF(Base_Comision="% DEL INGRESO",M64*INDEX(PRECIOS!$L$6:$L$55,K64),G64*INDEX(PRECIOS!$M$6:$M$55,K64)))</f>
      </c>
      <c r="BF64" s="37">
        <f>IF(B64="","",IF(Base_Comision="% DEL INGRESO",N64*INDEX(PRECIOS!$L$6:$L$55,K64),H64*INDEX(PRECIOS!$M$6:$M$55,K64)))</f>
      </c>
      <c r="BG64" s="37">
        <f>IF(B64="","",IF(Base_Comision="% DEL INGRESO",O64*INDEX(PRECIOS!$L$6:$L$55,K64),I64*INDEX(PRECIOS!$M$6:$M$55,K64)))</f>
      </c>
      <c r="BH64" s="70">
        <f>IF(B64="","",BE64+BF64+BG64)</f>
      </c>
      <c r="BI64" s="37">
        <f>IF(B64="","",Q64*Pct_Reclamaciones)</f>
      </c>
      <c r="BJ64" s="37">
        <f>IF(B64="","",Q64*Pct_Banco)</f>
      </c>
      <c r="BK64" s="37">
        <f>IF(B64="","",N(ENTRADA!$V64))</f>
      </c>
      <c r="BL64" s="70">
        <f>IF(B64="","",Y64+AE64+BD64+BH64+BI64+BJ64+BK64)</f>
      </c>
      <c r="BM64" s="70">
        <f>IF(B64="","",Q64-BL64)</f>
      </c>
      <c r="BN64" s="72">
        <f>IF(B64="","",IF(Q64=0,0,BM64/Q64))</f>
      </c>
      <c r="BO64" s="73">
        <f>IF(B64="","",IF(J64=0,0,BM64/J64))</f>
      </c>
      <c r="BP64" s="60">
        <f>IF(B64="","",IFERROR(MATCH(D64,COSTOS_FIJOS!$G$5:$AD$5,0),0))</f>
      </c>
      <c r="BQ64" s="60">
        <f>IF(B64="","",COUNTIFS($D$6:$D$305,D64))</f>
      </c>
      <c r="BR64" s="67">
        <f>IF(B64="","",SUMIFS($J$6:$J$305,$D$6:$D$305,D64))</f>
      </c>
      <c r="BS64" s="72">
        <f>IF(B64="","",IF(Metodo_Prorrateo="KG",IF(BR64=0,0,J64/BR64),1/BQ64))</f>
      </c>
      <c r="BT64" s="37">
        <f>IF(B64="","",IF(BP64=0,0,INDEX(COSTOS_FIJOS!$G$38:$AD$38,BP64))*BS64)</f>
      </c>
      <c r="BU64" s="72">
        <f>IF(B64="","",IF(Metodo_Prorrateo="KG",IF(SUMIFS($G$6:$G$305,$D$6:$D$305,D64)=0,0,G64/SUMIFS($G$6:$G$305,$D$6:$D$305,D64)),IF(G64&gt;0,1/COUNTIFS($D$6:$D$305,D64,$G$6:$G$305,"&gt;0"),0)))</f>
      </c>
      <c r="BV64" s="37">
        <f>IF(B64="","",IF(BP64=0,0,INDEX(COSTOS_FIJOS!$G$39:$AD$39,BP64))*BU64)</f>
      </c>
      <c r="BW64" s="72">
        <f>IF(B64="","",IF(Metodo_Prorrateo="KG",IF(SUMIFS($H$6:$H$305,$D$6:$D$305,D64)=0,0,H64/SUMIFS($H$6:$H$305,$D$6:$D$305,D64)),IF(H64&gt;0,1/COUNTIFS($D$6:$D$305,D64,$H$6:$H$305,"&gt;0"),0)))</f>
      </c>
      <c r="BX64" s="37">
        <f>IF(B64="","",IF(BP64=0,0,INDEX(COSTOS_FIJOS!$G$40:$AD$40,BP64))*BW64)</f>
      </c>
      <c r="BY64" s="72">
        <f>IF(B64="","",IF(Metodo_Prorrateo="KG",IF(SUMIFS($I$6:$I$305,$D$6:$D$305,D64)=0,0,I64/SUMIFS($I$6:$I$305,$D$6:$D$305,D64)),IF(I64&gt;0,1/COUNTIFS($D$6:$D$305,D64,$I$6:$I$305,"&gt;0"),0)))</f>
      </c>
      <c r="BZ64" s="37">
        <f>IF(B64="","",IF(BP64=0,0,INDEX(COSTOS_FIJOS!$G$41:$AD$41,BP64))*BY64)</f>
      </c>
      <c r="CA64" s="70">
        <f>IF(B64="","",BT64+BV64+BX64+BZ64)</f>
      </c>
      <c r="CB64" s="37">
        <f>IF(B64="","",Q64*Imp_Ventas_Serv)</f>
      </c>
      <c r="CC64" s="37">
        <f>IF(B64="","",Q64*Contrib_Territorial)</f>
      </c>
      <c r="CD64" s="70">
        <f>IF(B64="","",BM64-CA64-CB64-CC64)</f>
      </c>
      <c r="CE64" s="37">
        <f>IF(B64="","",MAX(0,CD64)*Imp_Utilidades)</f>
      </c>
      <c r="CF64" s="70">
        <f>IF(B64="","",CD64-CE64)</f>
      </c>
      <c r="CG64" s="72">
        <f>IF(B64="","",IF(Q64=0,0,CF64/Q64))</f>
      </c>
      <c r="CH64" s="73">
        <f>IF(B64="","",IF(J64=0,0,(BL64+CA64+CB64+CC64)/J64))</f>
      </c>
      <c r="CI64" s="73">
        <f>IF(B64="","",IF(J64=0,0,Q64/J64))</f>
      </c>
      <c r="CJ64" s="73">
        <f>IF(B64="","",IF(J64=0,0,CD64/J64))</f>
      </c>
      <c r="CK64" s="37">
        <f>IF(B64="","",Y64+AE64+BK64+BT64)</f>
      </c>
      <c r="CL64" s="37">
        <f>IF(B64="","",IF(J64=0,0,(M64+P64*G64/J64)*(1-Pct_Reclamaciones-Pct_Banco-Imp_Ventas_Serv-Contrib_Territorial)-AI64-BE64-BV64-CK64*G64/J64))</f>
      </c>
      <c r="CM64" s="37">
        <f>IF(B64="","",IF(J64=0,0,(N64+P64*H64/J64)*(1-Pct_Reclamaciones-Pct_Banco-Imp_Ventas_Serv-Contrib_Territorial)-AS64-BF64-BX64-CK64*H64/J64))</f>
      </c>
      <c r="CN64" s="37">
        <f>IF(B64="","",IF(J64=0,0,(O64+P64*I64/J64)*(1-Pct_Reclamaciones-Pct_Banco-Imp_Ventas_Serv-Contrib_Territorial)-BC64-BG64-BZ64-CK64*I64/J64))</f>
      </c>
      <c r="CO64" s="37">
        <f>IF(B64="","",IF(J64=0,0,ROUND(CD64-CL64-CM64-CN64,4)))</f>
      </c>
      <c r="CP64" s="71">
        <f>IF(B64="","",T64+AG64+AK64+AM64+AU64+AW64)</f>
      </c>
      <c r="CQ64" s="71">
        <f>IF(B64="","",U64+AH64+AL64+AN64+AV64+AX64)</f>
      </c>
      <c r="CR64" s="72">
        <f>IF(B64="","",IF(CP64=0,0,CQ64/CP64-1))</f>
      </c>
      <c r="CS64" s="60">
        <f>IF(B64="","",IF(ENTRADA!$Y64="","",ENTRADA!$Y64-C64))</f>
      </c>
      <c r="CT64" s="66">
        <f>IF(B64="","",IF(ENTRADA!$C64="","Falta fecha. ","")&amp;IF(BP64=0,"Mes fuera del rango de COSTOS_FIJOS. ","")&amp;IF(J64=0,"Sin kg. ","")&amp;IF(E64="","Falta transitaria. ","")&amp;IF(AND(T64&gt;0,U64/T64-1&gt;Tolerancia_Comb),"Combustible al puerto "&amp;TEXT(U64/T64-1,"+0%")&amp;" sobre norma. ","")&amp;IF(AND(AG64&gt;0,AH64/AG64-1&gt;Tolerancia_Comb),"Combustible distribución Occidente "&amp;TEXT(AH64/AG64-1,"+0%")&amp;" sobre norma. ","")&amp;IF(AND(AK64&gt;0,AL64/AK64-1&gt;Tolerancia_Comb),"Combustible traslado Centro "&amp;TEXT(AL64/AK64-1,"+0%")&amp;" sobre norma. ","")&amp;IF(AND(AM64&gt;0,AN64/AM64-1&gt;Tolerancia_Comb),"Combustible distribución Centro "&amp;TEXT(AN64/AM64-1,"+0%")&amp;" sobre norma. ","")&amp;IF(AND(AU64&gt;0,AV64/AU64-1&gt;Tolerancia_Comb),"Combustible traslado Oriente "&amp;TEXT(AV64/AU64-1,"+0%")&amp;" sobre norma. ","")&amp;IF(AND(AW64&gt;0,AX64/AW64-1&gt;Tolerancia_Comb),"Combustible distribución Oriente "&amp;TEXT(AX64/AW64-1,"+0%")&amp;" sobre norma. ","")&amp;IF(AND(ENTRADA!$C64&lt;&gt;"",C64&lt;PRECIOS!$A$6),"Fecha anterior a la 1ª vigencia de precios. ","")&amp;IF(CD64&lt;0,"Contenedor con pérdida. ",""))</f>
      </c>
    </row>
    <row r="65">
      <c r="A65" s="60">
        <f>IF(B65="","",ROW()-5)</f>
      </c>
      <c r="B65" s="63">
        <f>IF(ENTRADA!$B65="","",ENTRADA!$B65)</f>
      </c>
      <c r="C65" s="64">
        <f>IF(B65="","",ENTRADA!$C65)</f>
      </c>
      <c r="D65" s="65">
        <f>IF(B65="","",DATE(YEAR(C65),MONTH(C65),1))</f>
      </c>
      <c r="E65" s="66">
        <f>IF(B65="","",ENTRADA!$D65&amp;"")</f>
      </c>
      <c r="F65" s="66">
        <f>IF(B65="","",ENTRADA!$Z65&amp;"")</f>
      </c>
      <c r="G65" s="67">
        <f>IF(B65="","",N(ENTRADA!$G65))</f>
      </c>
      <c r="H65" s="67">
        <f>IF(B65="","",N(ENTRADA!$H65))</f>
      </c>
      <c r="I65" s="67">
        <f>IF(B65="","",N(ENTRADA!$I65))</f>
      </c>
      <c r="J65" s="68">
        <f>IF(B65="","",G65+H65+I65)</f>
      </c>
      <c r="K65" s="60">
        <f>IF(B65="","",IFERROR(MATCH(SUMPRODUCT(MAX((PRECIOS!$A$6:$A$55&lt;=C65)*PRECIOS!$A$6:$A$55)),PRECIOS!$A$6:$A$55,0),1))</f>
      </c>
      <c r="L65" s="69">
        <f>IF(B65="","",INDEX(PRECIOS!$A$6:$A$55,K65))</f>
      </c>
      <c r="M65" s="37">
        <f>IF(B65="","",G65*INDEX(PRECIOS!$B$6:$B$55,K65))</f>
      </c>
      <c r="N65" s="37">
        <f>IF(B65="","",H65*INDEX(PRECIOS!$C$6:$C$55,K65))</f>
      </c>
      <c r="O65" s="37">
        <f>IF(B65="","",I65*INDEX(PRECIOS!$D$6:$D$55,K65))</f>
      </c>
      <c r="P65" s="37">
        <f>IF(B65="","",N(ENTRADA!$X65))</f>
      </c>
      <c r="Q65" s="70">
        <f>IF(B65="","",M65+N65+O65+P65)</f>
      </c>
      <c r="R65" s="71">
        <f>IF(B65="","",IF(ENTRADA!$J65="",Std_Viajes_Puerto,ENTRADA!$J65))</f>
      </c>
      <c r="S65" s="37">
        <f>IF(B65="","",R65*INDEX(PRECIOS!$F$6:$F$55,K65))</f>
      </c>
      <c r="T65" s="71">
        <f>IF(B65="","",R65*Litros_Puerto_Viaje)</f>
      </c>
      <c r="U65" s="71">
        <f>IF(B65="","",IF(ENTRADA!$K65="",T65,ENTRADA!$K65))</f>
      </c>
      <c r="V65" s="37">
        <f>IF(B65="","",U65*INDEX(PRECIOS!$E$6:$E$55,K65))</f>
      </c>
      <c r="W65" s="37">
        <f>IF(B65="","",IF(ENTRADA!$L65="",R65*INDEX(PRECIOS!$G$6:$G$55,K65),ENTRADA!$L65))</f>
      </c>
      <c r="X65" s="37">
        <f>IF(B65="","",R65*Km_Puerto_Viaje*INDEX(PRECIOS!$N$6:$N$55,K65))</f>
      </c>
      <c r="Y65" s="70">
        <f>IF(B65="","",S65+V65+W65+X65)</f>
      </c>
      <c r="Z65" s="71">
        <f>IF(B65="","",IF(J65=0,0,ROUNDUP(J65/Rend_Desagrupe,0)))</f>
      </c>
      <c r="AA65" s="71">
        <f>IF(B65="","",IF(ENTRADA!$M65="",Z65,ENTRADA!$M65))</f>
      </c>
      <c r="AB65" s="37">
        <f>IF(B65="","",AA65*INDEX(PRECIOS!$H$6:$H$55,K65))</f>
      </c>
      <c r="AC65" s="37">
        <f>IF(B65="","",IF(E65="ENCI",INDEX(PRECIOS!$J$6:$J$55,K65),IF(E65="A.V",INDEX(PRECIOS!$K$6:$K$55,K65),0)))</f>
      </c>
      <c r="AD65" s="37">
        <f>IF(B65="","",N(ENTRADA!$N65))</f>
      </c>
      <c r="AE65" s="70">
        <f>IF(B65="","",AB65+AC65+AD65)</f>
      </c>
      <c r="AF65" s="71">
        <f>IF(B65="","",IF(G65=0,0,ROUNDUP(G65/Cap_Camion_OCC,0)))</f>
      </c>
      <c r="AG65" s="71">
        <f>IF(B65="","",AF65*L_Dist_OCC)</f>
      </c>
      <c r="AH65" s="71">
        <f>IF(B65="","",IF(ENTRADA!$O65="",AG65,ENTRADA!$O65))</f>
      </c>
      <c r="AI65" s="37">
        <f>IF(B65="","",AH65*INDEX(PRECIOS!$E$6:$E$55,K65))</f>
      </c>
      <c r="AJ65" s="71">
        <f>IF(B65="","",IF(H65=0,0,ROUNDUP(H65/Cap_Camion_CEN,0)))</f>
      </c>
      <c r="AK65" s="71">
        <f>IF(B65="","",AJ65*L_Tras_CEN)</f>
      </c>
      <c r="AL65" s="71">
        <f>IF(B65="","",IF(ENTRADA!$P65="",AK65,ENTRADA!$P65))</f>
      </c>
      <c r="AM65" s="71">
        <f>IF(B65="","",AJ65*L_Dist_CEN)</f>
      </c>
      <c r="AN65" s="71">
        <f>IF(B65="","",IF(ENTRADA!$Q65="",AM65,ENTRADA!$Q65))</f>
      </c>
      <c r="AO65" s="37">
        <f>IF(B65="","",(AL65+AN65)*INDEX(PRECIOS!$E$6:$E$55,K65))</f>
      </c>
      <c r="AP65" s="71">
        <f>IF(B65="","",IF(H65=0,0,ROUNDUP(H65/Rend_Desagrupe_CT,0)))</f>
      </c>
      <c r="AQ65" s="71">
        <f>IF(B65="","",IF(ENTRADA!$R65="",AP65,ENTRADA!$R65))</f>
      </c>
      <c r="AR65" s="37">
        <f>IF(B65="","",AQ65*INDEX(PRECIOS!$I$6:$I$55,K65))</f>
      </c>
      <c r="AS65" s="37">
        <f>IF(B65="","",AO65+AR65)</f>
      </c>
      <c r="AT65" s="71">
        <f>IF(B65="","",IF(I65=0,0,ROUNDUP(I65/Cap_Camion_ORI,0)))</f>
      </c>
      <c r="AU65" s="71">
        <f>IF(B65="","",AT65*L_Tras_ORI)</f>
      </c>
      <c r="AV65" s="71">
        <f>IF(B65="","",IF(ENTRADA!$S65="",AU65,ENTRADA!$S65))</f>
      </c>
      <c r="AW65" s="71">
        <f>IF(B65="","",AT65*L_Dist_ORI)</f>
      </c>
      <c r="AX65" s="71">
        <f>IF(B65="","",IF(ENTRADA!$T65="",AW65,ENTRADA!$T65))</f>
      </c>
      <c r="AY65" s="37">
        <f>IF(B65="","",(AV65+AX65)*INDEX(PRECIOS!$E$6:$E$55,K65))</f>
      </c>
      <c r="AZ65" s="71">
        <f>IF(B65="","",IF(I65=0,0,ROUNDUP(I65/Rend_Desagrupe_CT,0)))</f>
      </c>
      <c r="BA65" s="71">
        <f>IF(B65="","",IF(ENTRADA!$U65="",AZ65,ENTRADA!$U65))</f>
      </c>
      <c r="BB65" s="37">
        <f>IF(B65="","",BA65*INDEX(PRECIOS!$I$6:$I$55,K65))</f>
      </c>
      <c r="BC65" s="37">
        <f>IF(B65="","",AY65+BB65)</f>
      </c>
      <c r="BD65" s="70">
        <f>IF(B65="","",AI65+AS65+BC65)</f>
      </c>
      <c r="BE65" s="37">
        <f>IF(B65="","",IF(Base_Comision="% DEL INGRESO",M65*INDEX(PRECIOS!$L$6:$L$55,K65),G65*INDEX(PRECIOS!$M$6:$M$55,K65)))</f>
      </c>
      <c r="BF65" s="37">
        <f>IF(B65="","",IF(Base_Comision="% DEL INGRESO",N65*INDEX(PRECIOS!$L$6:$L$55,K65),H65*INDEX(PRECIOS!$M$6:$M$55,K65)))</f>
      </c>
      <c r="BG65" s="37">
        <f>IF(B65="","",IF(Base_Comision="% DEL INGRESO",O65*INDEX(PRECIOS!$L$6:$L$55,K65),I65*INDEX(PRECIOS!$M$6:$M$55,K65)))</f>
      </c>
      <c r="BH65" s="70">
        <f>IF(B65="","",BE65+BF65+BG65)</f>
      </c>
      <c r="BI65" s="37">
        <f>IF(B65="","",Q65*Pct_Reclamaciones)</f>
      </c>
      <c r="BJ65" s="37">
        <f>IF(B65="","",Q65*Pct_Banco)</f>
      </c>
      <c r="BK65" s="37">
        <f>IF(B65="","",N(ENTRADA!$V65))</f>
      </c>
      <c r="BL65" s="70">
        <f>IF(B65="","",Y65+AE65+BD65+BH65+BI65+BJ65+BK65)</f>
      </c>
      <c r="BM65" s="70">
        <f>IF(B65="","",Q65-BL65)</f>
      </c>
      <c r="BN65" s="72">
        <f>IF(B65="","",IF(Q65=0,0,BM65/Q65))</f>
      </c>
      <c r="BO65" s="73">
        <f>IF(B65="","",IF(J65=0,0,BM65/J65))</f>
      </c>
      <c r="BP65" s="60">
        <f>IF(B65="","",IFERROR(MATCH(D65,COSTOS_FIJOS!$G$5:$AD$5,0),0))</f>
      </c>
      <c r="BQ65" s="60">
        <f>IF(B65="","",COUNTIFS($D$6:$D$305,D65))</f>
      </c>
      <c r="BR65" s="67">
        <f>IF(B65="","",SUMIFS($J$6:$J$305,$D$6:$D$305,D65))</f>
      </c>
      <c r="BS65" s="72">
        <f>IF(B65="","",IF(Metodo_Prorrateo="KG",IF(BR65=0,0,J65/BR65),1/BQ65))</f>
      </c>
      <c r="BT65" s="37">
        <f>IF(B65="","",IF(BP65=0,0,INDEX(COSTOS_FIJOS!$G$38:$AD$38,BP65))*BS65)</f>
      </c>
      <c r="BU65" s="72">
        <f>IF(B65="","",IF(Metodo_Prorrateo="KG",IF(SUMIFS($G$6:$G$305,$D$6:$D$305,D65)=0,0,G65/SUMIFS($G$6:$G$305,$D$6:$D$305,D65)),IF(G65&gt;0,1/COUNTIFS($D$6:$D$305,D65,$G$6:$G$305,"&gt;0"),0)))</f>
      </c>
      <c r="BV65" s="37">
        <f>IF(B65="","",IF(BP65=0,0,INDEX(COSTOS_FIJOS!$G$39:$AD$39,BP65))*BU65)</f>
      </c>
      <c r="BW65" s="72">
        <f>IF(B65="","",IF(Metodo_Prorrateo="KG",IF(SUMIFS($H$6:$H$305,$D$6:$D$305,D65)=0,0,H65/SUMIFS($H$6:$H$305,$D$6:$D$305,D65)),IF(H65&gt;0,1/COUNTIFS($D$6:$D$305,D65,$H$6:$H$305,"&gt;0"),0)))</f>
      </c>
      <c r="BX65" s="37">
        <f>IF(B65="","",IF(BP65=0,0,INDEX(COSTOS_FIJOS!$G$40:$AD$40,BP65))*BW65)</f>
      </c>
      <c r="BY65" s="72">
        <f>IF(B65="","",IF(Metodo_Prorrateo="KG",IF(SUMIFS($I$6:$I$305,$D$6:$D$305,D65)=0,0,I65/SUMIFS($I$6:$I$305,$D$6:$D$305,D65)),IF(I65&gt;0,1/COUNTIFS($D$6:$D$305,D65,$I$6:$I$305,"&gt;0"),0)))</f>
      </c>
      <c r="BZ65" s="37">
        <f>IF(B65="","",IF(BP65=0,0,INDEX(COSTOS_FIJOS!$G$41:$AD$41,BP65))*BY65)</f>
      </c>
      <c r="CA65" s="70">
        <f>IF(B65="","",BT65+BV65+BX65+BZ65)</f>
      </c>
      <c r="CB65" s="37">
        <f>IF(B65="","",Q65*Imp_Ventas_Serv)</f>
      </c>
      <c r="CC65" s="37">
        <f>IF(B65="","",Q65*Contrib_Territorial)</f>
      </c>
      <c r="CD65" s="70">
        <f>IF(B65="","",BM65-CA65-CB65-CC65)</f>
      </c>
      <c r="CE65" s="37">
        <f>IF(B65="","",MAX(0,CD65)*Imp_Utilidades)</f>
      </c>
      <c r="CF65" s="70">
        <f>IF(B65="","",CD65-CE65)</f>
      </c>
      <c r="CG65" s="72">
        <f>IF(B65="","",IF(Q65=0,0,CF65/Q65))</f>
      </c>
      <c r="CH65" s="73">
        <f>IF(B65="","",IF(J65=0,0,(BL65+CA65+CB65+CC65)/J65))</f>
      </c>
      <c r="CI65" s="73">
        <f>IF(B65="","",IF(J65=0,0,Q65/J65))</f>
      </c>
      <c r="CJ65" s="73">
        <f>IF(B65="","",IF(J65=0,0,CD65/J65))</f>
      </c>
      <c r="CK65" s="37">
        <f>IF(B65="","",Y65+AE65+BK65+BT65)</f>
      </c>
      <c r="CL65" s="37">
        <f>IF(B65="","",IF(J65=0,0,(M65+P65*G65/J65)*(1-Pct_Reclamaciones-Pct_Banco-Imp_Ventas_Serv-Contrib_Territorial)-AI65-BE65-BV65-CK65*G65/J65))</f>
      </c>
      <c r="CM65" s="37">
        <f>IF(B65="","",IF(J65=0,0,(N65+P65*H65/J65)*(1-Pct_Reclamaciones-Pct_Banco-Imp_Ventas_Serv-Contrib_Territorial)-AS65-BF65-BX65-CK65*H65/J65))</f>
      </c>
      <c r="CN65" s="37">
        <f>IF(B65="","",IF(J65=0,0,(O65+P65*I65/J65)*(1-Pct_Reclamaciones-Pct_Banco-Imp_Ventas_Serv-Contrib_Territorial)-BC65-BG65-BZ65-CK65*I65/J65))</f>
      </c>
      <c r="CO65" s="37">
        <f>IF(B65="","",IF(J65=0,0,ROUND(CD65-CL65-CM65-CN65,4)))</f>
      </c>
      <c r="CP65" s="71">
        <f>IF(B65="","",T65+AG65+AK65+AM65+AU65+AW65)</f>
      </c>
      <c r="CQ65" s="71">
        <f>IF(B65="","",U65+AH65+AL65+AN65+AV65+AX65)</f>
      </c>
      <c r="CR65" s="72">
        <f>IF(B65="","",IF(CP65=0,0,CQ65/CP65-1))</f>
      </c>
      <c r="CS65" s="60">
        <f>IF(B65="","",IF(ENTRADA!$Y65="","",ENTRADA!$Y65-C65))</f>
      </c>
      <c r="CT65" s="66">
        <f>IF(B65="","",IF(ENTRADA!$C65="","Falta fecha. ","")&amp;IF(BP65=0,"Mes fuera del rango de COSTOS_FIJOS. ","")&amp;IF(J65=0,"Sin kg. ","")&amp;IF(E65="","Falta transitaria. ","")&amp;IF(AND(T65&gt;0,U65/T65-1&gt;Tolerancia_Comb),"Combustible al puerto "&amp;TEXT(U65/T65-1,"+0%")&amp;" sobre norma. ","")&amp;IF(AND(AG65&gt;0,AH65/AG65-1&gt;Tolerancia_Comb),"Combustible distribución Occidente "&amp;TEXT(AH65/AG65-1,"+0%")&amp;" sobre norma. ","")&amp;IF(AND(AK65&gt;0,AL65/AK65-1&gt;Tolerancia_Comb),"Combustible traslado Centro "&amp;TEXT(AL65/AK65-1,"+0%")&amp;" sobre norma. ","")&amp;IF(AND(AM65&gt;0,AN65/AM65-1&gt;Tolerancia_Comb),"Combustible distribución Centro "&amp;TEXT(AN65/AM65-1,"+0%")&amp;" sobre norma. ","")&amp;IF(AND(AU65&gt;0,AV65/AU65-1&gt;Tolerancia_Comb),"Combustible traslado Oriente "&amp;TEXT(AV65/AU65-1,"+0%")&amp;" sobre norma. ","")&amp;IF(AND(AW65&gt;0,AX65/AW65-1&gt;Tolerancia_Comb),"Combustible distribución Oriente "&amp;TEXT(AX65/AW65-1,"+0%")&amp;" sobre norma. ","")&amp;IF(AND(ENTRADA!$C65&lt;&gt;"",C65&lt;PRECIOS!$A$6),"Fecha anterior a la 1ª vigencia de precios. ","")&amp;IF(CD65&lt;0,"Contenedor con pérdida. ",""))</f>
      </c>
    </row>
    <row r="66">
      <c r="A66" s="60">
        <f>IF(B66="","",ROW()-5)</f>
      </c>
      <c r="B66" s="63">
        <f>IF(ENTRADA!$B66="","",ENTRADA!$B66)</f>
      </c>
      <c r="C66" s="64">
        <f>IF(B66="","",ENTRADA!$C66)</f>
      </c>
      <c r="D66" s="65">
        <f>IF(B66="","",DATE(YEAR(C66),MONTH(C66),1))</f>
      </c>
      <c r="E66" s="66">
        <f>IF(B66="","",ENTRADA!$D66&amp;"")</f>
      </c>
      <c r="F66" s="66">
        <f>IF(B66="","",ENTRADA!$Z66&amp;"")</f>
      </c>
      <c r="G66" s="67">
        <f>IF(B66="","",N(ENTRADA!$G66))</f>
      </c>
      <c r="H66" s="67">
        <f>IF(B66="","",N(ENTRADA!$H66))</f>
      </c>
      <c r="I66" s="67">
        <f>IF(B66="","",N(ENTRADA!$I66))</f>
      </c>
      <c r="J66" s="68">
        <f>IF(B66="","",G66+H66+I66)</f>
      </c>
      <c r="K66" s="60">
        <f>IF(B66="","",IFERROR(MATCH(SUMPRODUCT(MAX((PRECIOS!$A$6:$A$55&lt;=C66)*PRECIOS!$A$6:$A$55)),PRECIOS!$A$6:$A$55,0),1))</f>
      </c>
      <c r="L66" s="69">
        <f>IF(B66="","",INDEX(PRECIOS!$A$6:$A$55,K66))</f>
      </c>
      <c r="M66" s="37">
        <f>IF(B66="","",G66*INDEX(PRECIOS!$B$6:$B$55,K66))</f>
      </c>
      <c r="N66" s="37">
        <f>IF(B66="","",H66*INDEX(PRECIOS!$C$6:$C$55,K66))</f>
      </c>
      <c r="O66" s="37">
        <f>IF(B66="","",I66*INDEX(PRECIOS!$D$6:$D$55,K66))</f>
      </c>
      <c r="P66" s="37">
        <f>IF(B66="","",N(ENTRADA!$X66))</f>
      </c>
      <c r="Q66" s="70">
        <f>IF(B66="","",M66+N66+O66+P66)</f>
      </c>
      <c r="R66" s="71">
        <f>IF(B66="","",IF(ENTRADA!$J66="",Std_Viajes_Puerto,ENTRADA!$J66))</f>
      </c>
      <c r="S66" s="37">
        <f>IF(B66="","",R66*INDEX(PRECIOS!$F$6:$F$55,K66))</f>
      </c>
      <c r="T66" s="71">
        <f>IF(B66="","",R66*Litros_Puerto_Viaje)</f>
      </c>
      <c r="U66" s="71">
        <f>IF(B66="","",IF(ENTRADA!$K66="",T66,ENTRADA!$K66))</f>
      </c>
      <c r="V66" s="37">
        <f>IF(B66="","",U66*INDEX(PRECIOS!$E$6:$E$55,K66))</f>
      </c>
      <c r="W66" s="37">
        <f>IF(B66="","",IF(ENTRADA!$L66="",R66*INDEX(PRECIOS!$G$6:$G$55,K66),ENTRADA!$L66))</f>
      </c>
      <c r="X66" s="37">
        <f>IF(B66="","",R66*Km_Puerto_Viaje*INDEX(PRECIOS!$N$6:$N$55,K66))</f>
      </c>
      <c r="Y66" s="70">
        <f>IF(B66="","",S66+V66+W66+X66)</f>
      </c>
      <c r="Z66" s="71">
        <f>IF(B66="","",IF(J66=0,0,ROUNDUP(J66/Rend_Desagrupe,0)))</f>
      </c>
      <c r="AA66" s="71">
        <f>IF(B66="","",IF(ENTRADA!$M66="",Z66,ENTRADA!$M66))</f>
      </c>
      <c r="AB66" s="37">
        <f>IF(B66="","",AA66*INDEX(PRECIOS!$H$6:$H$55,K66))</f>
      </c>
      <c r="AC66" s="37">
        <f>IF(B66="","",IF(E66="ENCI",INDEX(PRECIOS!$J$6:$J$55,K66),IF(E66="A.V",INDEX(PRECIOS!$K$6:$K$55,K66),0)))</f>
      </c>
      <c r="AD66" s="37">
        <f>IF(B66="","",N(ENTRADA!$N66))</f>
      </c>
      <c r="AE66" s="70">
        <f>IF(B66="","",AB66+AC66+AD66)</f>
      </c>
      <c r="AF66" s="71">
        <f>IF(B66="","",IF(G66=0,0,ROUNDUP(G66/Cap_Camion_OCC,0)))</f>
      </c>
      <c r="AG66" s="71">
        <f>IF(B66="","",AF66*L_Dist_OCC)</f>
      </c>
      <c r="AH66" s="71">
        <f>IF(B66="","",IF(ENTRADA!$O66="",AG66,ENTRADA!$O66))</f>
      </c>
      <c r="AI66" s="37">
        <f>IF(B66="","",AH66*INDEX(PRECIOS!$E$6:$E$55,K66))</f>
      </c>
      <c r="AJ66" s="71">
        <f>IF(B66="","",IF(H66=0,0,ROUNDUP(H66/Cap_Camion_CEN,0)))</f>
      </c>
      <c r="AK66" s="71">
        <f>IF(B66="","",AJ66*L_Tras_CEN)</f>
      </c>
      <c r="AL66" s="71">
        <f>IF(B66="","",IF(ENTRADA!$P66="",AK66,ENTRADA!$P66))</f>
      </c>
      <c r="AM66" s="71">
        <f>IF(B66="","",AJ66*L_Dist_CEN)</f>
      </c>
      <c r="AN66" s="71">
        <f>IF(B66="","",IF(ENTRADA!$Q66="",AM66,ENTRADA!$Q66))</f>
      </c>
      <c r="AO66" s="37">
        <f>IF(B66="","",(AL66+AN66)*INDEX(PRECIOS!$E$6:$E$55,K66))</f>
      </c>
      <c r="AP66" s="71">
        <f>IF(B66="","",IF(H66=0,0,ROUNDUP(H66/Rend_Desagrupe_CT,0)))</f>
      </c>
      <c r="AQ66" s="71">
        <f>IF(B66="","",IF(ENTRADA!$R66="",AP66,ENTRADA!$R66))</f>
      </c>
      <c r="AR66" s="37">
        <f>IF(B66="","",AQ66*INDEX(PRECIOS!$I$6:$I$55,K66))</f>
      </c>
      <c r="AS66" s="37">
        <f>IF(B66="","",AO66+AR66)</f>
      </c>
      <c r="AT66" s="71">
        <f>IF(B66="","",IF(I66=0,0,ROUNDUP(I66/Cap_Camion_ORI,0)))</f>
      </c>
      <c r="AU66" s="71">
        <f>IF(B66="","",AT66*L_Tras_ORI)</f>
      </c>
      <c r="AV66" s="71">
        <f>IF(B66="","",IF(ENTRADA!$S66="",AU66,ENTRADA!$S66))</f>
      </c>
      <c r="AW66" s="71">
        <f>IF(B66="","",AT66*L_Dist_ORI)</f>
      </c>
      <c r="AX66" s="71">
        <f>IF(B66="","",IF(ENTRADA!$T66="",AW66,ENTRADA!$T66))</f>
      </c>
      <c r="AY66" s="37">
        <f>IF(B66="","",(AV66+AX66)*INDEX(PRECIOS!$E$6:$E$55,K66))</f>
      </c>
      <c r="AZ66" s="71">
        <f>IF(B66="","",IF(I66=0,0,ROUNDUP(I66/Rend_Desagrupe_CT,0)))</f>
      </c>
      <c r="BA66" s="71">
        <f>IF(B66="","",IF(ENTRADA!$U66="",AZ66,ENTRADA!$U66))</f>
      </c>
      <c r="BB66" s="37">
        <f>IF(B66="","",BA66*INDEX(PRECIOS!$I$6:$I$55,K66))</f>
      </c>
      <c r="BC66" s="37">
        <f>IF(B66="","",AY66+BB66)</f>
      </c>
      <c r="BD66" s="70">
        <f>IF(B66="","",AI66+AS66+BC66)</f>
      </c>
      <c r="BE66" s="37">
        <f>IF(B66="","",IF(Base_Comision="% DEL INGRESO",M66*INDEX(PRECIOS!$L$6:$L$55,K66),G66*INDEX(PRECIOS!$M$6:$M$55,K66)))</f>
      </c>
      <c r="BF66" s="37">
        <f>IF(B66="","",IF(Base_Comision="% DEL INGRESO",N66*INDEX(PRECIOS!$L$6:$L$55,K66),H66*INDEX(PRECIOS!$M$6:$M$55,K66)))</f>
      </c>
      <c r="BG66" s="37">
        <f>IF(B66="","",IF(Base_Comision="% DEL INGRESO",O66*INDEX(PRECIOS!$L$6:$L$55,K66),I66*INDEX(PRECIOS!$M$6:$M$55,K66)))</f>
      </c>
      <c r="BH66" s="70">
        <f>IF(B66="","",BE66+BF66+BG66)</f>
      </c>
      <c r="BI66" s="37">
        <f>IF(B66="","",Q66*Pct_Reclamaciones)</f>
      </c>
      <c r="BJ66" s="37">
        <f>IF(B66="","",Q66*Pct_Banco)</f>
      </c>
      <c r="BK66" s="37">
        <f>IF(B66="","",N(ENTRADA!$V66))</f>
      </c>
      <c r="BL66" s="70">
        <f>IF(B66="","",Y66+AE66+BD66+BH66+BI66+BJ66+BK66)</f>
      </c>
      <c r="BM66" s="70">
        <f>IF(B66="","",Q66-BL66)</f>
      </c>
      <c r="BN66" s="72">
        <f>IF(B66="","",IF(Q66=0,0,BM66/Q66))</f>
      </c>
      <c r="BO66" s="73">
        <f>IF(B66="","",IF(J66=0,0,BM66/J66))</f>
      </c>
      <c r="BP66" s="60">
        <f>IF(B66="","",IFERROR(MATCH(D66,COSTOS_FIJOS!$G$5:$AD$5,0),0))</f>
      </c>
      <c r="BQ66" s="60">
        <f>IF(B66="","",COUNTIFS($D$6:$D$305,D66))</f>
      </c>
      <c r="BR66" s="67">
        <f>IF(B66="","",SUMIFS($J$6:$J$305,$D$6:$D$305,D66))</f>
      </c>
      <c r="BS66" s="72">
        <f>IF(B66="","",IF(Metodo_Prorrateo="KG",IF(BR66=0,0,J66/BR66),1/BQ66))</f>
      </c>
      <c r="BT66" s="37">
        <f>IF(B66="","",IF(BP66=0,0,INDEX(COSTOS_FIJOS!$G$38:$AD$38,BP66))*BS66)</f>
      </c>
      <c r="BU66" s="72">
        <f>IF(B66="","",IF(Metodo_Prorrateo="KG",IF(SUMIFS($G$6:$G$305,$D$6:$D$305,D66)=0,0,G66/SUMIFS($G$6:$G$305,$D$6:$D$305,D66)),IF(G66&gt;0,1/COUNTIFS($D$6:$D$305,D66,$G$6:$G$305,"&gt;0"),0)))</f>
      </c>
      <c r="BV66" s="37">
        <f>IF(B66="","",IF(BP66=0,0,INDEX(COSTOS_FIJOS!$G$39:$AD$39,BP66))*BU66)</f>
      </c>
      <c r="BW66" s="72">
        <f>IF(B66="","",IF(Metodo_Prorrateo="KG",IF(SUMIFS($H$6:$H$305,$D$6:$D$305,D66)=0,0,H66/SUMIFS($H$6:$H$305,$D$6:$D$305,D66)),IF(H66&gt;0,1/COUNTIFS($D$6:$D$305,D66,$H$6:$H$305,"&gt;0"),0)))</f>
      </c>
      <c r="BX66" s="37">
        <f>IF(B66="","",IF(BP66=0,0,INDEX(COSTOS_FIJOS!$G$40:$AD$40,BP66))*BW66)</f>
      </c>
      <c r="BY66" s="72">
        <f>IF(B66="","",IF(Metodo_Prorrateo="KG",IF(SUMIFS($I$6:$I$305,$D$6:$D$305,D66)=0,0,I66/SUMIFS($I$6:$I$305,$D$6:$D$305,D66)),IF(I66&gt;0,1/COUNTIFS($D$6:$D$305,D66,$I$6:$I$305,"&gt;0"),0)))</f>
      </c>
      <c r="BZ66" s="37">
        <f>IF(B66="","",IF(BP66=0,0,INDEX(COSTOS_FIJOS!$G$41:$AD$41,BP66))*BY66)</f>
      </c>
      <c r="CA66" s="70">
        <f>IF(B66="","",BT66+BV66+BX66+BZ66)</f>
      </c>
      <c r="CB66" s="37">
        <f>IF(B66="","",Q66*Imp_Ventas_Serv)</f>
      </c>
      <c r="CC66" s="37">
        <f>IF(B66="","",Q66*Contrib_Territorial)</f>
      </c>
      <c r="CD66" s="70">
        <f>IF(B66="","",BM66-CA66-CB66-CC66)</f>
      </c>
      <c r="CE66" s="37">
        <f>IF(B66="","",MAX(0,CD66)*Imp_Utilidades)</f>
      </c>
      <c r="CF66" s="70">
        <f>IF(B66="","",CD66-CE66)</f>
      </c>
      <c r="CG66" s="72">
        <f>IF(B66="","",IF(Q66=0,0,CF66/Q66))</f>
      </c>
      <c r="CH66" s="73">
        <f>IF(B66="","",IF(J66=0,0,(BL66+CA66+CB66+CC66)/J66))</f>
      </c>
      <c r="CI66" s="73">
        <f>IF(B66="","",IF(J66=0,0,Q66/J66))</f>
      </c>
      <c r="CJ66" s="73">
        <f>IF(B66="","",IF(J66=0,0,CD66/J66))</f>
      </c>
      <c r="CK66" s="37">
        <f>IF(B66="","",Y66+AE66+BK66+BT66)</f>
      </c>
      <c r="CL66" s="37">
        <f>IF(B66="","",IF(J66=0,0,(M66+P66*G66/J66)*(1-Pct_Reclamaciones-Pct_Banco-Imp_Ventas_Serv-Contrib_Territorial)-AI66-BE66-BV66-CK66*G66/J66))</f>
      </c>
      <c r="CM66" s="37">
        <f>IF(B66="","",IF(J66=0,0,(N66+P66*H66/J66)*(1-Pct_Reclamaciones-Pct_Banco-Imp_Ventas_Serv-Contrib_Territorial)-AS66-BF66-BX66-CK66*H66/J66))</f>
      </c>
      <c r="CN66" s="37">
        <f>IF(B66="","",IF(J66=0,0,(O66+P66*I66/J66)*(1-Pct_Reclamaciones-Pct_Banco-Imp_Ventas_Serv-Contrib_Territorial)-BC66-BG66-BZ66-CK66*I66/J66))</f>
      </c>
      <c r="CO66" s="37">
        <f>IF(B66="","",IF(J66=0,0,ROUND(CD66-CL66-CM66-CN66,4)))</f>
      </c>
      <c r="CP66" s="71">
        <f>IF(B66="","",T66+AG66+AK66+AM66+AU66+AW66)</f>
      </c>
      <c r="CQ66" s="71">
        <f>IF(B66="","",U66+AH66+AL66+AN66+AV66+AX66)</f>
      </c>
      <c r="CR66" s="72">
        <f>IF(B66="","",IF(CP66=0,0,CQ66/CP66-1))</f>
      </c>
      <c r="CS66" s="60">
        <f>IF(B66="","",IF(ENTRADA!$Y66="","",ENTRADA!$Y66-C66))</f>
      </c>
      <c r="CT66" s="66">
        <f>IF(B66="","",IF(ENTRADA!$C66="","Falta fecha. ","")&amp;IF(BP66=0,"Mes fuera del rango de COSTOS_FIJOS. ","")&amp;IF(J66=0,"Sin kg. ","")&amp;IF(E66="","Falta transitaria. ","")&amp;IF(AND(T66&gt;0,U66/T66-1&gt;Tolerancia_Comb),"Combustible al puerto "&amp;TEXT(U66/T66-1,"+0%")&amp;" sobre norma. ","")&amp;IF(AND(AG66&gt;0,AH66/AG66-1&gt;Tolerancia_Comb),"Combustible distribución Occidente "&amp;TEXT(AH66/AG66-1,"+0%")&amp;" sobre norma. ","")&amp;IF(AND(AK66&gt;0,AL66/AK66-1&gt;Tolerancia_Comb),"Combustible traslado Centro "&amp;TEXT(AL66/AK66-1,"+0%")&amp;" sobre norma. ","")&amp;IF(AND(AM66&gt;0,AN66/AM66-1&gt;Tolerancia_Comb),"Combustible distribución Centro "&amp;TEXT(AN66/AM66-1,"+0%")&amp;" sobre norma. ","")&amp;IF(AND(AU66&gt;0,AV66/AU66-1&gt;Tolerancia_Comb),"Combustible traslado Oriente "&amp;TEXT(AV66/AU66-1,"+0%")&amp;" sobre norma. ","")&amp;IF(AND(AW66&gt;0,AX66/AW66-1&gt;Tolerancia_Comb),"Combustible distribución Oriente "&amp;TEXT(AX66/AW66-1,"+0%")&amp;" sobre norma. ","")&amp;IF(AND(ENTRADA!$C66&lt;&gt;"",C66&lt;PRECIOS!$A$6),"Fecha anterior a la 1ª vigencia de precios. ","")&amp;IF(CD66&lt;0,"Contenedor con pérdida. ",""))</f>
      </c>
    </row>
    <row r="67">
      <c r="A67" s="60">
        <f>IF(B67="","",ROW()-5)</f>
      </c>
      <c r="B67" s="63">
        <f>IF(ENTRADA!$B67="","",ENTRADA!$B67)</f>
      </c>
      <c r="C67" s="64">
        <f>IF(B67="","",ENTRADA!$C67)</f>
      </c>
      <c r="D67" s="65">
        <f>IF(B67="","",DATE(YEAR(C67),MONTH(C67),1))</f>
      </c>
      <c r="E67" s="66">
        <f>IF(B67="","",ENTRADA!$D67&amp;"")</f>
      </c>
      <c r="F67" s="66">
        <f>IF(B67="","",ENTRADA!$Z67&amp;"")</f>
      </c>
      <c r="G67" s="67">
        <f>IF(B67="","",N(ENTRADA!$G67))</f>
      </c>
      <c r="H67" s="67">
        <f>IF(B67="","",N(ENTRADA!$H67))</f>
      </c>
      <c r="I67" s="67">
        <f>IF(B67="","",N(ENTRADA!$I67))</f>
      </c>
      <c r="J67" s="68">
        <f>IF(B67="","",G67+H67+I67)</f>
      </c>
      <c r="K67" s="60">
        <f>IF(B67="","",IFERROR(MATCH(SUMPRODUCT(MAX((PRECIOS!$A$6:$A$55&lt;=C67)*PRECIOS!$A$6:$A$55)),PRECIOS!$A$6:$A$55,0),1))</f>
      </c>
      <c r="L67" s="69">
        <f>IF(B67="","",INDEX(PRECIOS!$A$6:$A$55,K67))</f>
      </c>
      <c r="M67" s="37">
        <f>IF(B67="","",G67*INDEX(PRECIOS!$B$6:$B$55,K67))</f>
      </c>
      <c r="N67" s="37">
        <f>IF(B67="","",H67*INDEX(PRECIOS!$C$6:$C$55,K67))</f>
      </c>
      <c r="O67" s="37">
        <f>IF(B67="","",I67*INDEX(PRECIOS!$D$6:$D$55,K67))</f>
      </c>
      <c r="P67" s="37">
        <f>IF(B67="","",N(ENTRADA!$X67))</f>
      </c>
      <c r="Q67" s="70">
        <f>IF(B67="","",M67+N67+O67+P67)</f>
      </c>
      <c r="R67" s="71">
        <f>IF(B67="","",IF(ENTRADA!$J67="",Std_Viajes_Puerto,ENTRADA!$J67))</f>
      </c>
      <c r="S67" s="37">
        <f>IF(B67="","",R67*INDEX(PRECIOS!$F$6:$F$55,K67))</f>
      </c>
      <c r="T67" s="71">
        <f>IF(B67="","",R67*Litros_Puerto_Viaje)</f>
      </c>
      <c r="U67" s="71">
        <f>IF(B67="","",IF(ENTRADA!$K67="",T67,ENTRADA!$K67))</f>
      </c>
      <c r="V67" s="37">
        <f>IF(B67="","",U67*INDEX(PRECIOS!$E$6:$E$55,K67))</f>
      </c>
      <c r="W67" s="37">
        <f>IF(B67="","",IF(ENTRADA!$L67="",R67*INDEX(PRECIOS!$G$6:$G$55,K67),ENTRADA!$L67))</f>
      </c>
      <c r="X67" s="37">
        <f>IF(B67="","",R67*Km_Puerto_Viaje*INDEX(PRECIOS!$N$6:$N$55,K67))</f>
      </c>
      <c r="Y67" s="70">
        <f>IF(B67="","",S67+V67+W67+X67)</f>
      </c>
      <c r="Z67" s="71">
        <f>IF(B67="","",IF(J67=0,0,ROUNDUP(J67/Rend_Desagrupe,0)))</f>
      </c>
      <c r="AA67" s="71">
        <f>IF(B67="","",IF(ENTRADA!$M67="",Z67,ENTRADA!$M67))</f>
      </c>
      <c r="AB67" s="37">
        <f>IF(B67="","",AA67*INDEX(PRECIOS!$H$6:$H$55,K67))</f>
      </c>
      <c r="AC67" s="37">
        <f>IF(B67="","",IF(E67="ENCI",INDEX(PRECIOS!$J$6:$J$55,K67),IF(E67="A.V",INDEX(PRECIOS!$K$6:$K$55,K67),0)))</f>
      </c>
      <c r="AD67" s="37">
        <f>IF(B67="","",N(ENTRADA!$N67))</f>
      </c>
      <c r="AE67" s="70">
        <f>IF(B67="","",AB67+AC67+AD67)</f>
      </c>
      <c r="AF67" s="71">
        <f>IF(B67="","",IF(G67=0,0,ROUNDUP(G67/Cap_Camion_OCC,0)))</f>
      </c>
      <c r="AG67" s="71">
        <f>IF(B67="","",AF67*L_Dist_OCC)</f>
      </c>
      <c r="AH67" s="71">
        <f>IF(B67="","",IF(ENTRADA!$O67="",AG67,ENTRADA!$O67))</f>
      </c>
      <c r="AI67" s="37">
        <f>IF(B67="","",AH67*INDEX(PRECIOS!$E$6:$E$55,K67))</f>
      </c>
      <c r="AJ67" s="71">
        <f>IF(B67="","",IF(H67=0,0,ROUNDUP(H67/Cap_Camion_CEN,0)))</f>
      </c>
      <c r="AK67" s="71">
        <f>IF(B67="","",AJ67*L_Tras_CEN)</f>
      </c>
      <c r="AL67" s="71">
        <f>IF(B67="","",IF(ENTRADA!$P67="",AK67,ENTRADA!$P67))</f>
      </c>
      <c r="AM67" s="71">
        <f>IF(B67="","",AJ67*L_Dist_CEN)</f>
      </c>
      <c r="AN67" s="71">
        <f>IF(B67="","",IF(ENTRADA!$Q67="",AM67,ENTRADA!$Q67))</f>
      </c>
      <c r="AO67" s="37">
        <f>IF(B67="","",(AL67+AN67)*INDEX(PRECIOS!$E$6:$E$55,K67))</f>
      </c>
      <c r="AP67" s="71">
        <f>IF(B67="","",IF(H67=0,0,ROUNDUP(H67/Rend_Desagrupe_CT,0)))</f>
      </c>
      <c r="AQ67" s="71">
        <f>IF(B67="","",IF(ENTRADA!$R67="",AP67,ENTRADA!$R67))</f>
      </c>
      <c r="AR67" s="37">
        <f>IF(B67="","",AQ67*INDEX(PRECIOS!$I$6:$I$55,K67))</f>
      </c>
      <c r="AS67" s="37">
        <f>IF(B67="","",AO67+AR67)</f>
      </c>
      <c r="AT67" s="71">
        <f>IF(B67="","",IF(I67=0,0,ROUNDUP(I67/Cap_Camion_ORI,0)))</f>
      </c>
      <c r="AU67" s="71">
        <f>IF(B67="","",AT67*L_Tras_ORI)</f>
      </c>
      <c r="AV67" s="71">
        <f>IF(B67="","",IF(ENTRADA!$S67="",AU67,ENTRADA!$S67))</f>
      </c>
      <c r="AW67" s="71">
        <f>IF(B67="","",AT67*L_Dist_ORI)</f>
      </c>
      <c r="AX67" s="71">
        <f>IF(B67="","",IF(ENTRADA!$T67="",AW67,ENTRADA!$T67))</f>
      </c>
      <c r="AY67" s="37">
        <f>IF(B67="","",(AV67+AX67)*INDEX(PRECIOS!$E$6:$E$55,K67))</f>
      </c>
      <c r="AZ67" s="71">
        <f>IF(B67="","",IF(I67=0,0,ROUNDUP(I67/Rend_Desagrupe_CT,0)))</f>
      </c>
      <c r="BA67" s="71">
        <f>IF(B67="","",IF(ENTRADA!$U67="",AZ67,ENTRADA!$U67))</f>
      </c>
      <c r="BB67" s="37">
        <f>IF(B67="","",BA67*INDEX(PRECIOS!$I$6:$I$55,K67))</f>
      </c>
      <c r="BC67" s="37">
        <f>IF(B67="","",AY67+BB67)</f>
      </c>
      <c r="BD67" s="70">
        <f>IF(B67="","",AI67+AS67+BC67)</f>
      </c>
      <c r="BE67" s="37">
        <f>IF(B67="","",IF(Base_Comision="% DEL INGRESO",M67*INDEX(PRECIOS!$L$6:$L$55,K67),G67*INDEX(PRECIOS!$M$6:$M$55,K67)))</f>
      </c>
      <c r="BF67" s="37">
        <f>IF(B67="","",IF(Base_Comision="% DEL INGRESO",N67*INDEX(PRECIOS!$L$6:$L$55,K67),H67*INDEX(PRECIOS!$M$6:$M$55,K67)))</f>
      </c>
      <c r="BG67" s="37">
        <f>IF(B67="","",IF(Base_Comision="% DEL INGRESO",O67*INDEX(PRECIOS!$L$6:$L$55,K67),I67*INDEX(PRECIOS!$M$6:$M$55,K67)))</f>
      </c>
      <c r="BH67" s="70">
        <f>IF(B67="","",BE67+BF67+BG67)</f>
      </c>
      <c r="BI67" s="37">
        <f>IF(B67="","",Q67*Pct_Reclamaciones)</f>
      </c>
      <c r="BJ67" s="37">
        <f>IF(B67="","",Q67*Pct_Banco)</f>
      </c>
      <c r="BK67" s="37">
        <f>IF(B67="","",N(ENTRADA!$V67))</f>
      </c>
      <c r="BL67" s="70">
        <f>IF(B67="","",Y67+AE67+BD67+BH67+BI67+BJ67+BK67)</f>
      </c>
      <c r="BM67" s="70">
        <f>IF(B67="","",Q67-BL67)</f>
      </c>
      <c r="BN67" s="72">
        <f>IF(B67="","",IF(Q67=0,0,BM67/Q67))</f>
      </c>
      <c r="BO67" s="73">
        <f>IF(B67="","",IF(J67=0,0,BM67/J67))</f>
      </c>
      <c r="BP67" s="60">
        <f>IF(B67="","",IFERROR(MATCH(D67,COSTOS_FIJOS!$G$5:$AD$5,0),0))</f>
      </c>
      <c r="BQ67" s="60">
        <f>IF(B67="","",COUNTIFS($D$6:$D$305,D67))</f>
      </c>
      <c r="BR67" s="67">
        <f>IF(B67="","",SUMIFS($J$6:$J$305,$D$6:$D$305,D67))</f>
      </c>
      <c r="BS67" s="72">
        <f>IF(B67="","",IF(Metodo_Prorrateo="KG",IF(BR67=0,0,J67/BR67),1/BQ67))</f>
      </c>
      <c r="BT67" s="37">
        <f>IF(B67="","",IF(BP67=0,0,INDEX(COSTOS_FIJOS!$G$38:$AD$38,BP67))*BS67)</f>
      </c>
      <c r="BU67" s="72">
        <f>IF(B67="","",IF(Metodo_Prorrateo="KG",IF(SUMIFS($G$6:$G$305,$D$6:$D$305,D67)=0,0,G67/SUMIFS($G$6:$G$305,$D$6:$D$305,D67)),IF(G67&gt;0,1/COUNTIFS($D$6:$D$305,D67,$G$6:$G$305,"&gt;0"),0)))</f>
      </c>
      <c r="BV67" s="37">
        <f>IF(B67="","",IF(BP67=0,0,INDEX(COSTOS_FIJOS!$G$39:$AD$39,BP67))*BU67)</f>
      </c>
      <c r="BW67" s="72">
        <f>IF(B67="","",IF(Metodo_Prorrateo="KG",IF(SUMIFS($H$6:$H$305,$D$6:$D$305,D67)=0,0,H67/SUMIFS($H$6:$H$305,$D$6:$D$305,D67)),IF(H67&gt;0,1/COUNTIFS($D$6:$D$305,D67,$H$6:$H$305,"&gt;0"),0)))</f>
      </c>
      <c r="BX67" s="37">
        <f>IF(B67="","",IF(BP67=0,0,INDEX(COSTOS_FIJOS!$G$40:$AD$40,BP67))*BW67)</f>
      </c>
      <c r="BY67" s="72">
        <f>IF(B67="","",IF(Metodo_Prorrateo="KG",IF(SUMIFS($I$6:$I$305,$D$6:$D$305,D67)=0,0,I67/SUMIFS($I$6:$I$305,$D$6:$D$305,D67)),IF(I67&gt;0,1/COUNTIFS($D$6:$D$305,D67,$I$6:$I$305,"&gt;0"),0)))</f>
      </c>
      <c r="BZ67" s="37">
        <f>IF(B67="","",IF(BP67=0,0,INDEX(COSTOS_FIJOS!$G$41:$AD$41,BP67))*BY67)</f>
      </c>
      <c r="CA67" s="70">
        <f>IF(B67="","",BT67+BV67+BX67+BZ67)</f>
      </c>
      <c r="CB67" s="37">
        <f>IF(B67="","",Q67*Imp_Ventas_Serv)</f>
      </c>
      <c r="CC67" s="37">
        <f>IF(B67="","",Q67*Contrib_Territorial)</f>
      </c>
      <c r="CD67" s="70">
        <f>IF(B67="","",BM67-CA67-CB67-CC67)</f>
      </c>
      <c r="CE67" s="37">
        <f>IF(B67="","",MAX(0,CD67)*Imp_Utilidades)</f>
      </c>
      <c r="CF67" s="70">
        <f>IF(B67="","",CD67-CE67)</f>
      </c>
      <c r="CG67" s="72">
        <f>IF(B67="","",IF(Q67=0,0,CF67/Q67))</f>
      </c>
      <c r="CH67" s="73">
        <f>IF(B67="","",IF(J67=0,0,(BL67+CA67+CB67+CC67)/J67))</f>
      </c>
      <c r="CI67" s="73">
        <f>IF(B67="","",IF(J67=0,0,Q67/J67))</f>
      </c>
      <c r="CJ67" s="73">
        <f>IF(B67="","",IF(J67=0,0,CD67/J67))</f>
      </c>
      <c r="CK67" s="37">
        <f>IF(B67="","",Y67+AE67+BK67+BT67)</f>
      </c>
      <c r="CL67" s="37">
        <f>IF(B67="","",IF(J67=0,0,(M67+P67*G67/J67)*(1-Pct_Reclamaciones-Pct_Banco-Imp_Ventas_Serv-Contrib_Territorial)-AI67-BE67-BV67-CK67*G67/J67))</f>
      </c>
      <c r="CM67" s="37">
        <f>IF(B67="","",IF(J67=0,0,(N67+P67*H67/J67)*(1-Pct_Reclamaciones-Pct_Banco-Imp_Ventas_Serv-Contrib_Territorial)-AS67-BF67-BX67-CK67*H67/J67))</f>
      </c>
      <c r="CN67" s="37">
        <f>IF(B67="","",IF(J67=0,0,(O67+P67*I67/J67)*(1-Pct_Reclamaciones-Pct_Banco-Imp_Ventas_Serv-Contrib_Territorial)-BC67-BG67-BZ67-CK67*I67/J67))</f>
      </c>
      <c r="CO67" s="37">
        <f>IF(B67="","",IF(J67=0,0,ROUND(CD67-CL67-CM67-CN67,4)))</f>
      </c>
      <c r="CP67" s="71">
        <f>IF(B67="","",T67+AG67+AK67+AM67+AU67+AW67)</f>
      </c>
      <c r="CQ67" s="71">
        <f>IF(B67="","",U67+AH67+AL67+AN67+AV67+AX67)</f>
      </c>
      <c r="CR67" s="72">
        <f>IF(B67="","",IF(CP67=0,0,CQ67/CP67-1))</f>
      </c>
      <c r="CS67" s="60">
        <f>IF(B67="","",IF(ENTRADA!$Y67="","",ENTRADA!$Y67-C67))</f>
      </c>
      <c r="CT67" s="66">
        <f>IF(B67="","",IF(ENTRADA!$C67="","Falta fecha. ","")&amp;IF(BP67=0,"Mes fuera del rango de COSTOS_FIJOS. ","")&amp;IF(J67=0,"Sin kg. ","")&amp;IF(E67="","Falta transitaria. ","")&amp;IF(AND(T67&gt;0,U67/T67-1&gt;Tolerancia_Comb),"Combustible al puerto "&amp;TEXT(U67/T67-1,"+0%")&amp;" sobre norma. ","")&amp;IF(AND(AG67&gt;0,AH67/AG67-1&gt;Tolerancia_Comb),"Combustible distribución Occidente "&amp;TEXT(AH67/AG67-1,"+0%")&amp;" sobre norma. ","")&amp;IF(AND(AK67&gt;0,AL67/AK67-1&gt;Tolerancia_Comb),"Combustible traslado Centro "&amp;TEXT(AL67/AK67-1,"+0%")&amp;" sobre norma. ","")&amp;IF(AND(AM67&gt;0,AN67/AM67-1&gt;Tolerancia_Comb),"Combustible distribución Centro "&amp;TEXT(AN67/AM67-1,"+0%")&amp;" sobre norma. ","")&amp;IF(AND(AU67&gt;0,AV67/AU67-1&gt;Tolerancia_Comb),"Combustible traslado Oriente "&amp;TEXT(AV67/AU67-1,"+0%")&amp;" sobre norma. ","")&amp;IF(AND(AW67&gt;0,AX67/AW67-1&gt;Tolerancia_Comb),"Combustible distribución Oriente "&amp;TEXT(AX67/AW67-1,"+0%")&amp;" sobre norma. ","")&amp;IF(AND(ENTRADA!$C67&lt;&gt;"",C67&lt;PRECIOS!$A$6),"Fecha anterior a la 1ª vigencia de precios. ","")&amp;IF(CD67&lt;0,"Contenedor con pérdida. ",""))</f>
      </c>
    </row>
    <row r="68">
      <c r="A68" s="60">
        <f>IF(B68="","",ROW()-5)</f>
      </c>
      <c r="B68" s="63">
        <f>IF(ENTRADA!$B68="","",ENTRADA!$B68)</f>
      </c>
      <c r="C68" s="64">
        <f>IF(B68="","",ENTRADA!$C68)</f>
      </c>
      <c r="D68" s="65">
        <f>IF(B68="","",DATE(YEAR(C68),MONTH(C68),1))</f>
      </c>
      <c r="E68" s="66">
        <f>IF(B68="","",ENTRADA!$D68&amp;"")</f>
      </c>
      <c r="F68" s="66">
        <f>IF(B68="","",ENTRADA!$Z68&amp;"")</f>
      </c>
      <c r="G68" s="67">
        <f>IF(B68="","",N(ENTRADA!$G68))</f>
      </c>
      <c r="H68" s="67">
        <f>IF(B68="","",N(ENTRADA!$H68))</f>
      </c>
      <c r="I68" s="67">
        <f>IF(B68="","",N(ENTRADA!$I68))</f>
      </c>
      <c r="J68" s="68">
        <f>IF(B68="","",G68+H68+I68)</f>
      </c>
      <c r="K68" s="60">
        <f>IF(B68="","",IFERROR(MATCH(SUMPRODUCT(MAX((PRECIOS!$A$6:$A$55&lt;=C68)*PRECIOS!$A$6:$A$55)),PRECIOS!$A$6:$A$55,0),1))</f>
      </c>
      <c r="L68" s="69">
        <f>IF(B68="","",INDEX(PRECIOS!$A$6:$A$55,K68))</f>
      </c>
      <c r="M68" s="37">
        <f>IF(B68="","",G68*INDEX(PRECIOS!$B$6:$B$55,K68))</f>
      </c>
      <c r="N68" s="37">
        <f>IF(B68="","",H68*INDEX(PRECIOS!$C$6:$C$55,K68))</f>
      </c>
      <c r="O68" s="37">
        <f>IF(B68="","",I68*INDEX(PRECIOS!$D$6:$D$55,K68))</f>
      </c>
      <c r="P68" s="37">
        <f>IF(B68="","",N(ENTRADA!$X68))</f>
      </c>
      <c r="Q68" s="70">
        <f>IF(B68="","",M68+N68+O68+P68)</f>
      </c>
      <c r="R68" s="71">
        <f>IF(B68="","",IF(ENTRADA!$J68="",Std_Viajes_Puerto,ENTRADA!$J68))</f>
      </c>
      <c r="S68" s="37">
        <f>IF(B68="","",R68*INDEX(PRECIOS!$F$6:$F$55,K68))</f>
      </c>
      <c r="T68" s="71">
        <f>IF(B68="","",R68*Litros_Puerto_Viaje)</f>
      </c>
      <c r="U68" s="71">
        <f>IF(B68="","",IF(ENTRADA!$K68="",T68,ENTRADA!$K68))</f>
      </c>
      <c r="V68" s="37">
        <f>IF(B68="","",U68*INDEX(PRECIOS!$E$6:$E$55,K68))</f>
      </c>
      <c r="W68" s="37">
        <f>IF(B68="","",IF(ENTRADA!$L68="",R68*INDEX(PRECIOS!$G$6:$G$55,K68),ENTRADA!$L68))</f>
      </c>
      <c r="X68" s="37">
        <f>IF(B68="","",R68*Km_Puerto_Viaje*INDEX(PRECIOS!$N$6:$N$55,K68))</f>
      </c>
      <c r="Y68" s="70">
        <f>IF(B68="","",S68+V68+W68+X68)</f>
      </c>
      <c r="Z68" s="71">
        <f>IF(B68="","",IF(J68=0,0,ROUNDUP(J68/Rend_Desagrupe,0)))</f>
      </c>
      <c r="AA68" s="71">
        <f>IF(B68="","",IF(ENTRADA!$M68="",Z68,ENTRADA!$M68))</f>
      </c>
      <c r="AB68" s="37">
        <f>IF(B68="","",AA68*INDEX(PRECIOS!$H$6:$H$55,K68))</f>
      </c>
      <c r="AC68" s="37">
        <f>IF(B68="","",IF(E68="ENCI",INDEX(PRECIOS!$J$6:$J$55,K68),IF(E68="A.V",INDEX(PRECIOS!$K$6:$K$55,K68),0)))</f>
      </c>
      <c r="AD68" s="37">
        <f>IF(B68="","",N(ENTRADA!$N68))</f>
      </c>
      <c r="AE68" s="70">
        <f>IF(B68="","",AB68+AC68+AD68)</f>
      </c>
      <c r="AF68" s="71">
        <f>IF(B68="","",IF(G68=0,0,ROUNDUP(G68/Cap_Camion_OCC,0)))</f>
      </c>
      <c r="AG68" s="71">
        <f>IF(B68="","",AF68*L_Dist_OCC)</f>
      </c>
      <c r="AH68" s="71">
        <f>IF(B68="","",IF(ENTRADA!$O68="",AG68,ENTRADA!$O68))</f>
      </c>
      <c r="AI68" s="37">
        <f>IF(B68="","",AH68*INDEX(PRECIOS!$E$6:$E$55,K68))</f>
      </c>
      <c r="AJ68" s="71">
        <f>IF(B68="","",IF(H68=0,0,ROUNDUP(H68/Cap_Camion_CEN,0)))</f>
      </c>
      <c r="AK68" s="71">
        <f>IF(B68="","",AJ68*L_Tras_CEN)</f>
      </c>
      <c r="AL68" s="71">
        <f>IF(B68="","",IF(ENTRADA!$P68="",AK68,ENTRADA!$P68))</f>
      </c>
      <c r="AM68" s="71">
        <f>IF(B68="","",AJ68*L_Dist_CEN)</f>
      </c>
      <c r="AN68" s="71">
        <f>IF(B68="","",IF(ENTRADA!$Q68="",AM68,ENTRADA!$Q68))</f>
      </c>
      <c r="AO68" s="37">
        <f>IF(B68="","",(AL68+AN68)*INDEX(PRECIOS!$E$6:$E$55,K68))</f>
      </c>
      <c r="AP68" s="71">
        <f>IF(B68="","",IF(H68=0,0,ROUNDUP(H68/Rend_Desagrupe_CT,0)))</f>
      </c>
      <c r="AQ68" s="71">
        <f>IF(B68="","",IF(ENTRADA!$R68="",AP68,ENTRADA!$R68))</f>
      </c>
      <c r="AR68" s="37">
        <f>IF(B68="","",AQ68*INDEX(PRECIOS!$I$6:$I$55,K68))</f>
      </c>
      <c r="AS68" s="37">
        <f>IF(B68="","",AO68+AR68)</f>
      </c>
      <c r="AT68" s="71">
        <f>IF(B68="","",IF(I68=0,0,ROUNDUP(I68/Cap_Camion_ORI,0)))</f>
      </c>
      <c r="AU68" s="71">
        <f>IF(B68="","",AT68*L_Tras_ORI)</f>
      </c>
      <c r="AV68" s="71">
        <f>IF(B68="","",IF(ENTRADA!$S68="",AU68,ENTRADA!$S68))</f>
      </c>
      <c r="AW68" s="71">
        <f>IF(B68="","",AT68*L_Dist_ORI)</f>
      </c>
      <c r="AX68" s="71">
        <f>IF(B68="","",IF(ENTRADA!$T68="",AW68,ENTRADA!$T68))</f>
      </c>
      <c r="AY68" s="37">
        <f>IF(B68="","",(AV68+AX68)*INDEX(PRECIOS!$E$6:$E$55,K68))</f>
      </c>
      <c r="AZ68" s="71">
        <f>IF(B68="","",IF(I68=0,0,ROUNDUP(I68/Rend_Desagrupe_CT,0)))</f>
      </c>
      <c r="BA68" s="71">
        <f>IF(B68="","",IF(ENTRADA!$U68="",AZ68,ENTRADA!$U68))</f>
      </c>
      <c r="BB68" s="37">
        <f>IF(B68="","",BA68*INDEX(PRECIOS!$I$6:$I$55,K68))</f>
      </c>
      <c r="BC68" s="37">
        <f>IF(B68="","",AY68+BB68)</f>
      </c>
      <c r="BD68" s="70">
        <f>IF(B68="","",AI68+AS68+BC68)</f>
      </c>
      <c r="BE68" s="37">
        <f>IF(B68="","",IF(Base_Comision="% DEL INGRESO",M68*INDEX(PRECIOS!$L$6:$L$55,K68),G68*INDEX(PRECIOS!$M$6:$M$55,K68)))</f>
      </c>
      <c r="BF68" s="37">
        <f>IF(B68="","",IF(Base_Comision="% DEL INGRESO",N68*INDEX(PRECIOS!$L$6:$L$55,K68),H68*INDEX(PRECIOS!$M$6:$M$55,K68)))</f>
      </c>
      <c r="BG68" s="37">
        <f>IF(B68="","",IF(Base_Comision="% DEL INGRESO",O68*INDEX(PRECIOS!$L$6:$L$55,K68),I68*INDEX(PRECIOS!$M$6:$M$55,K68)))</f>
      </c>
      <c r="BH68" s="70">
        <f>IF(B68="","",BE68+BF68+BG68)</f>
      </c>
      <c r="BI68" s="37">
        <f>IF(B68="","",Q68*Pct_Reclamaciones)</f>
      </c>
      <c r="BJ68" s="37">
        <f>IF(B68="","",Q68*Pct_Banco)</f>
      </c>
      <c r="BK68" s="37">
        <f>IF(B68="","",N(ENTRADA!$V68))</f>
      </c>
      <c r="BL68" s="70">
        <f>IF(B68="","",Y68+AE68+BD68+BH68+BI68+BJ68+BK68)</f>
      </c>
      <c r="BM68" s="70">
        <f>IF(B68="","",Q68-BL68)</f>
      </c>
      <c r="BN68" s="72">
        <f>IF(B68="","",IF(Q68=0,0,BM68/Q68))</f>
      </c>
      <c r="BO68" s="73">
        <f>IF(B68="","",IF(J68=0,0,BM68/J68))</f>
      </c>
      <c r="BP68" s="60">
        <f>IF(B68="","",IFERROR(MATCH(D68,COSTOS_FIJOS!$G$5:$AD$5,0),0))</f>
      </c>
      <c r="BQ68" s="60">
        <f>IF(B68="","",COUNTIFS($D$6:$D$305,D68))</f>
      </c>
      <c r="BR68" s="67">
        <f>IF(B68="","",SUMIFS($J$6:$J$305,$D$6:$D$305,D68))</f>
      </c>
      <c r="BS68" s="72">
        <f>IF(B68="","",IF(Metodo_Prorrateo="KG",IF(BR68=0,0,J68/BR68),1/BQ68))</f>
      </c>
      <c r="BT68" s="37">
        <f>IF(B68="","",IF(BP68=0,0,INDEX(COSTOS_FIJOS!$G$38:$AD$38,BP68))*BS68)</f>
      </c>
      <c r="BU68" s="72">
        <f>IF(B68="","",IF(Metodo_Prorrateo="KG",IF(SUMIFS($G$6:$G$305,$D$6:$D$305,D68)=0,0,G68/SUMIFS($G$6:$G$305,$D$6:$D$305,D68)),IF(G68&gt;0,1/COUNTIFS($D$6:$D$305,D68,$G$6:$G$305,"&gt;0"),0)))</f>
      </c>
      <c r="BV68" s="37">
        <f>IF(B68="","",IF(BP68=0,0,INDEX(COSTOS_FIJOS!$G$39:$AD$39,BP68))*BU68)</f>
      </c>
      <c r="BW68" s="72">
        <f>IF(B68="","",IF(Metodo_Prorrateo="KG",IF(SUMIFS($H$6:$H$305,$D$6:$D$305,D68)=0,0,H68/SUMIFS($H$6:$H$305,$D$6:$D$305,D68)),IF(H68&gt;0,1/COUNTIFS($D$6:$D$305,D68,$H$6:$H$305,"&gt;0"),0)))</f>
      </c>
      <c r="BX68" s="37">
        <f>IF(B68="","",IF(BP68=0,0,INDEX(COSTOS_FIJOS!$G$40:$AD$40,BP68))*BW68)</f>
      </c>
      <c r="BY68" s="72">
        <f>IF(B68="","",IF(Metodo_Prorrateo="KG",IF(SUMIFS($I$6:$I$305,$D$6:$D$305,D68)=0,0,I68/SUMIFS($I$6:$I$305,$D$6:$D$305,D68)),IF(I68&gt;0,1/COUNTIFS($D$6:$D$305,D68,$I$6:$I$305,"&gt;0"),0)))</f>
      </c>
      <c r="BZ68" s="37">
        <f>IF(B68="","",IF(BP68=0,0,INDEX(COSTOS_FIJOS!$G$41:$AD$41,BP68))*BY68)</f>
      </c>
      <c r="CA68" s="70">
        <f>IF(B68="","",BT68+BV68+BX68+BZ68)</f>
      </c>
      <c r="CB68" s="37">
        <f>IF(B68="","",Q68*Imp_Ventas_Serv)</f>
      </c>
      <c r="CC68" s="37">
        <f>IF(B68="","",Q68*Contrib_Territorial)</f>
      </c>
      <c r="CD68" s="70">
        <f>IF(B68="","",BM68-CA68-CB68-CC68)</f>
      </c>
      <c r="CE68" s="37">
        <f>IF(B68="","",MAX(0,CD68)*Imp_Utilidades)</f>
      </c>
      <c r="CF68" s="70">
        <f>IF(B68="","",CD68-CE68)</f>
      </c>
      <c r="CG68" s="72">
        <f>IF(B68="","",IF(Q68=0,0,CF68/Q68))</f>
      </c>
      <c r="CH68" s="73">
        <f>IF(B68="","",IF(J68=0,0,(BL68+CA68+CB68+CC68)/J68))</f>
      </c>
      <c r="CI68" s="73">
        <f>IF(B68="","",IF(J68=0,0,Q68/J68))</f>
      </c>
      <c r="CJ68" s="73">
        <f>IF(B68="","",IF(J68=0,0,CD68/J68))</f>
      </c>
      <c r="CK68" s="37">
        <f>IF(B68="","",Y68+AE68+BK68+BT68)</f>
      </c>
      <c r="CL68" s="37">
        <f>IF(B68="","",IF(J68=0,0,(M68+P68*G68/J68)*(1-Pct_Reclamaciones-Pct_Banco-Imp_Ventas_Serv-Contrib_Territorial)-AI68-BE68-BV68-CK68*G68/J68))</f>
      </c>
      <c r="CM68" s="37">
        <f>IF(B68="","",IF(J68=0,0,(N68+P68*H68/J68)*(1-Pct_Reclamaciones-Pct_Banco-Imp_Ventas_Serv-Contrib_Territorial)-AS68-BF68-BX68-CK68*H68/J68))</f>
      </c>
      <c r="CN68" s="37">
        <f>IF(B68="","",IF(J68=0,0,(O68+P68*I68/J68)*(1-Pct_Reclamaciones-Pct_Banco-Imp_Ventas_Serv-Contrib_Territorial)-BC68-BG68-BZ68-CK68*I68/J68))</f>
      </c>
      <c r="CO68" s="37">
        <f>IF(B68="","",IF(J68=0,0,ROUND(CD68-CL68-CM68-CN68,4)))</f>
      </c>
      <c r="CP68" s="71">
        <f>IF(B68="","",T68+AG68+AK68+AM68+AU68+AW68)</f>
      </c>
      <c r="CQ68" s="71">
        <f>IF(B68="","",U68+AH68+AL68+AN68+AV68+AX68)</f>
      </c>
      <c r="CR68" s="72">
        <f>IF(B68="","",IF(CP68=0,0,CQ68/CP68-1))</f>
      </c>
      <c r="CS68" s="60">
        <f>IF(B68="","",IF(ENTRADA!$Y68="","",ENTRADA!$Y68-C68))</f>
      </c>
      <c r="CT68" s="66">
        <f>IF(B68="","",IF(ENTRADA!$C68="","Falta fecha. ","")&amp;IF(BP68=0,"Mes fuera del rango de COSTOS_FIJOS. ","")&amp;IF(J68=0,"Sin kg. ","")&amp;IF(E68="","Falta transitaria. ","")&amp;IF(AND(T68&gt;0,U68/T68-1&gt;Tolerancia_Comb),"Combustible al puerto "&amp;TEXT(U68/T68-1,"+0%")&amp;" sobre norma. ","")&amp;IF(AND(AG68&gt;0,AH68/AG68-1&gt;Tolerancia_Comb),"Combustible distribución Occidente "&amp;TEXT(AH68/AG68-1,"+0%")&amp;" sobre norma. ","")&amp;IF(AND(AK68&gt;0,AL68/AK68-1&gt;Tolerancia_Comb),"Combustible traslado Centro "&amp;TEXT(AL68/AK68-1,"+0%")&amp;" sobre norma. ","")&amp;IF(AND(AM68&gt;0,AN68/AM68-1&gt;Tolerancia_Comb),"Combustible distribución Centro "&amp;TEXT(AN68/AM68-1,"+0%")&amp;" sobre norma. ","")&amp;IF(AND(AU68&gt;0,AV68/AU68-1&gt;Tolerancia_Comb),"Combustible traslado Oriente "&amp;TEXT(AV68/AU68-1,"+0%")&amp;" sobre norma. ","")&amp;IF(AND(AW68&gt;0,AX68/AW68-1&gt;Tolerancia_Comb),"Combustible distribución Oriente "&amp;TEXT(AX68/AW68-1,"+0%")&amp;" sobre norma. ","")&amp;IF(AND(ENTRADA!$C68&lt;&gt;"",C68&lt;PRECIOS!$A$6),"Fecha anterior a la 1ª vigencia de precios. ","")&amp;IF(CD68&lt;0,"Contenedor con pérdida. ",""))</f>
      </c>
    </row>
    <row r="69">
      <c r="A69" s="60">
        <f>IF(B69="","",ROW()-5)</f>
      </c>
      <c r="B69" s="63">
        <f>IF(ENTRADA!$B69="","",ENTRADA!$B69)</f>
      </c>
      <c r="C69" s="64">
        <f>IF(B69="","",ENTRADA!$C69)</f>
      </c>
      <c r="D69" s="65">
        <f>IF(B69="","",DATE(YEAR(C69),MONTH(C69),1))</f>
      </c>
      <c r="E69" s="66">
        <f>IF(B69="","",ENTRADA!$D69&amp;"")</f>
      </c>
      <c r="F69" s="66">
        <f>IF(B69="","",ENTRADA!$Z69&amp;"")</f>
      </c>
      <c r="G69" s="67">
        <f>IF(B69="","",N(ENTRADA!$G69))</f>
      </c>
      <c r="H69" s="67">
        <f>IF(B69="","",N(ENTRADA!$H69))</f>
      </c>
      <c r="I69" s="67">
        <f>IF(B69="","",N(ENTRADA!$I69))</f>
      </c>
      <c r="J69" s="68">
        <f>IF(B69="","",G69+H69+I69)</f>
      </c>
      <c r="K69" s="60">
        <f>IF(B69="","",IFERROR(MATCH(SUMPRODUCT(MAX((PRECIOS!$A$6:$A$55&lt;=C69)*PRECIOS!$A$6:$A$55)),PRECIOS!$A$6:$A$55,0),1))</f>
      </c>
      <c r="L69" s="69">
        <f>IF(B69="","",INDEX(PRECIOS!$A$6:$A$55,K69))</f>
      </c>
      <c r="M69" s="37">
        <f>IF(B69="","",G69*INDEX(PRECIOS!$B$6:$B$55,K69))</f>
      </c>
      <c r="N69" s="37">
        <f>IF(B69="","",H69*INDEX(PRECIOS!$C$6:$C$55,K69))</f>
      </c>
      <c r="O69" s="37">
        <f>IF(B69="","",I69*INDEX(PRECIOS!$D$6:$D$55,K69))</f>
      </c>
      <c r="P69" s="37">
        <f>IF(B69="","",N(ENTRADA!$X69))</f>
      </c>
      <c r="Q69" s="70">
        <f>IF(B69="","",M69+N69+O69+P69)</f>
      </c>
      <c r="R69" s="71">
        <f>IF(B69="","",IF(ENTRADA!$J69="",Std_Viajes_Puerto,ENTRADA!$J69))</f>
      </c>
      <c r="S69" s="37">
        <f>IF(B69="","",R69*INDEX(PRECIOS!$F$6:$F$55,K69))</f>
      </c>
      <c r="T69" s="71">
        <f>IF(B69="","",R69*Litros_Puerto_Viaje)</f>
      </c>
      <c r="U69" s="71">
        <f>IF(B69="","",IF(ENTRADA!$K69="",T69,ENTRADA!$K69))</f>
      </c>
      <c r="V69" s="37">
        <f>IF(B69="","",U69*INDEX(PRECIOS!$E$6:$E$55,K69))</f>
      </c>
      <c r="W69" s="37">
        <f>IF(B69="","",IF(ENTRADA!$L69="",R69*INDEX(PRECIOS!$G$6:$G$55,K69),ENTRADA!$L69))</f>
      </c>
      <c r="X69" s="37">
        <f>IF(B69="","",R69*Km_Puerto_Viaje*INDEX(PRECIOS!$N$6:$N$55,K69))</f>
      </c>
      <c r="Y69" s="70">
        <f>IF(B69="","",S69+V69+W69+X69)</f>
      </c>
      <c r="Z69" s="71">
        <f>IF(B69="","",IF(J69=0,0,ROUNDUP(J69/Rend_Desagrupe,0)))</f>
      </c>
      <c r="AA69" s="71">
        <f>IF(B69="","",IF(ENTRADA!$M69="",Z69,ENTRADA!$M69))</f>
      </c>
      <c r="AB69" s="37">
        <f>IF(B69="","",AA69*INDEX(PRECIOS!$H$6:$H$55,K69))</f>
      </c>
      <c r="AC69" s="37">
        <f>IF(B69="","",IF(E69="ENCI",INDEX(PRECIOS!$J$6:$J$55,K69),IF(E69="A.V",INDEX(PRECIOS!$K$6:$K$55,K69),0)))</f>
      </c>
      <c r="AD69" s="37">
        <f>IF(B69="","",N(ENTRADA!$N69))</f>
      </c>
      <c r="AE69" s="70">
        <f>IF(B69="","",AB69+AC69+AD69)</f>
      </c>
      <c r="AF69" s="71">
        <f>IF(B69="","",IF(G69=0,0,ROUNDUP(G69/Cap_Camion_OCC,0)))</f>
      </c>
      <c r="AG69" s="71">
        <f>IF(B69="","",AF69*L_Dist_OCC)</f>
      </c>
      <c r="AH69" s="71">
        <f>IF(B69="","",IF(ENTRADA!$O69="",AG69,ENTRADA!$O69))</f>
      </c>
      <c r="AI69" s="37">
        <f>IF(B69="","",AH69*INDEX(PRECIOS!$E$6:$E$55,K69))</f>
      </c>
      <c r="AJ69" s="71">
        <f>IF(B69="","",IF(H69=0,0,ROUNDUP(H69/Cap_Camion_CEN,0)))</f>
      </c>
      <c r="AK69" s="71">
        <f>IF(B69="","",AJ69*L_Tras_CEN)</f>
      </c>
      <c r="AL69" s="71">
        <f>IF(B69="","",IF(ENTRADA!$P69="",AK69,ENTRADA!$P69))</f>
      </c>
      <c r="AM69" s="71">
        <f>IF(B69="","",AJ69*L_Dist_CEN)</f>
      </c>
      <c r="AN69" s="71">
        <f>IF(B69="","",IF(ENTRADA!$Q69="",AM69,ENTRADA!$Q69))</f>
      </c>
      <c r="AO69" s="37">
        <f>IF(B69="","",(AL69+AN69)*INDEX(PRECIOS!$E$6:$E$55,K69))</f>
      </c>
      <c r="AP69" s="71">
        <f>IF(B69="","",IF(H69=0,0,ROUNDUP(H69/Rend_Desagrupe_CT,0)))</f>
      </c>
      <c r="AQ69" s="71">
        <f>IF(B69="","",IF(ENTRADA!$R69="",AP69,ENTRADA!$R69))</f>
      </c>
      <c r="AR69" s="37">
        <f>IF(B69="","",AQ69*INDEX(PRECIOS!$I$6:$I$55,K69))</f>
      </c>
      <c r="AS69" s="37">
        <f>IF(B69="","",AO69+AR69)</f>
      </c>
      <c r="AT69" s="71">
        <f>IF(B69="","",IF(I69=0,0,ROUNDUP(I69/Cap_Camion_ORI,0)))</f>
      </c>
      <c r="AU69" s="71">
        <f>IF(B69="","",AT69*L_Tras_ORI)</f>
      </c>
      <c r="AV69" s="71">
        <f>IF(B69="","",IF(ENTRADA!$S69="",AU69,ENTRADA!$S69))</f>
      </c>
      <c r="AW69" s="71">
        <f>IF(B69="","",AT69*L_Dist_ORI)</f>
      </c>
      <c r="AX69" s="71">
        <f>IF(B69="","",IF(ENTRADA!$T69="",AW69,ENTRADA!$T69))</f>
      </c>
      <c r="AY69" s="37">
        <f>IF(B69="","",(AV69+AX69)*INDEX(PRECIOS!$E$6:$E$55,K69))</f>
      </c>
      <c r="AZ69" s="71">
        <f>IF(B69="","",IF(I69=0,0,ROUNDUP(I69/Rend_Desagrupe_CT,0)))</f>
      </c>
      <c r="BA69" s="71">
        <f>IF(B69="","",IF(ENTRADA!$U69="",AZ69,ENTRADA!$U69))</f>
      </c>
      <c r="BB69" s="37">
        <f>IF(B69="","",BA69*INDEX(PRECIOS!$I$6:$I$55,K69))</f>
      </c>
      <c r="BC69" s="37">
        <f>IF(B69="","",AY69+BB69)</f>
      </c>
      <c r="BD69" s="70">
        <f>IF(B69="","",AI69+AS69+BC69)</f>
      </c>
      <c r="BE69" s="37">
        <f>IF(B69="","",IF(Base_Comision="% DEL INGRESO",M69*INDEX(PRECIOS!$L$6:$L$55,K69),G69*INDEX(PRECIOS!$M$6:$M$55,K69)))</f>
      </c>
      <c r="BF69" s="37">
        <f>IF(B69="","",IF(Base_Comision="% DEL INGRESO",N69*INDEX(PRECIOS!$L$6:$L$55,K69),H69*INDEX(PRECIOS!$M$6:$M$55,K69)))</f>
      </c>
      <c r="BG69" s="37">
        <f>IF(B69="","",IF(Base_Comision="% DEL INGRESO",O69*INDEX(PRECIOS!$L$6:$L$55,K69),I69*INDEX(PRECIOS!$M$6:$M$55,K69)))</f>
      </c>
      <c r="BH69" s="70">
        <f>IF(B69="","",BE69+BF69+BG69)</f>
      </c>
      <c r="BI69" s="37">
        <f>IF(B69="","",Q69*Pct_Reclamaciones)</f>
      </c>
      <c r="BJ69" s="37">
        <f>IF(B69="","",Q69*Pct_Banco)</f>
      </c>
      <c r="BK69" s="37">
        <f>IF(B69="","",N(ENTRADA!$V69))</f>
      </c>
      <c r="BL69" s="70">
        <f>IF(B69="","",Y69+AE69+BD69+BH69+BI69+BJ69+BK69)</f>
      </c>
      <c r="BM69" s="70">
        <f>IF(B69="","",Q69-BL69)</f>
      </c>
      <c r="BN69" s="72">
        <f>IF(B69="","",IF(Q69=0,0,BM69/Q69))</f>
      </c>
      <c r="BO69" s="73">
        <f>IF(B69="","",IF(J69=0,0,BM69/J69))</f>
      </c>
      <c r="BP69" s="60">
        <f>IF(B69="","",IFERROR(MATCH(D69,COSTOS_FIJOS!$G$5:$AD$5,0),0))</f>
      </c>
      <c r="BQ69" s="60">
        <f>IF(B69="","",COUNTIFS($D$6:$D$305,D69))</f>
      </c>
      <c r="BR69" s="67">
        <f>IF(B69="","",SUMIFS($J$6:$J$305,$D$6:$D$305,D69))</f>
      </c>
      <c r="BS69" s="72">
        <f>IF(B69="","",IF(Metodo_Prorrateo="KG",IF(BR69=0,0,J69/BR69),1/BQ69))</f>
      </c>
      <c r="BT69" s="37">
        <f>IF(B69="","",IF(BP69=0,0,INDEX(COSTOS_FIJOS!$G$38:$AD$38,BP69))*BS69)</f>
      </c>
      <c r="BU69" s="72">
        <f>IF(B69="","",IF(Metodo_Prorrateo="KG",IF(SUMIFS($G$6:$G$305,$D$6:$D$305,D69)=0,0,G69/SUMIFS($G$6:$G$305,$D$6:$D$305,D69)),IF(G69&gt;0,1/COUNTIFS($D$6:$D$305,D69,$G$6:$G$305,"&gt;0"),0)))</f>
      </c>
      <c r="BV69" s="37">
        <f>IF(B69="","",IF(BP69=0,0,INDEX(COSTOS_FIJOS!$G$39:$AD$39,BP69))*BU69)</f>
      </c>
      <c r="BW69" s="72">
        <f>IF(B69="","",IF(Metodo_Prorrateo="KG",IF(SUMIFS($H$6:$H$305,$D$6:$D$305,D69)=0,0,H69/SUMIFS($H$6:$H$305,$D$6:$D$305,D69)),IF(H69&gt;0,1/COUNTIFS($D$6:$D$305,D69,$H$6:$H$305,"&gt;0"),0)))</f>
      </c>
      <c r="BX69" s="37">
        <f>IF(B69="","",IF(BP69=0,0,INDEX(COSTOS_FIJOS!$G$40:$AD$40,BP69))*BW69)</f>
      </c>
      <c r="BY69" s="72">
        <f>IF(B69="","",IF(Metodo_Prorrateo="KG",IF(SUMIFS($I$6:$I$305,$D$6:$D$305,D69)=0,0,I69/SUMIFS($I$6:$I$305,$D$6:$D$305,D69)),IF(I69&gt;0,1/COUNTIFS($D$6:$D$305,D69,$I$6:$I$305,"&gt;0"),0)))</f>
      </c>
      <c r="BZ69" s="37">
        <f>IF(B69="","",IF(BP69=0,0,INDEX(COSTOS_FIJOS!$G$41:$AD$41,BP69))*BY69)</f>
      </c>
      <c r="CA69" s="70">
        <f>IF(B69="","",BT69+BV69+BX69+BZ69)</f>
      </c>
      <c r="CB69" s="37">
        <f>IF(B69="","",Q69*Imp_Ventas_Serv)</f>
      </c>
      <c r="CC69" s="37">
        <f>IF(B69="","",Q69*Contrib_Territorial)</f>
      </c>
      <c r="CD69" s="70">
        <f>IF(B69="","",BM69-CA69-CB69-CC69)</f>
      </c>
      <c r="CE69" s="37">
        <f>IF(B69="","",MAX(0,CD69)*Imp_Utilidades)</f>
      </c>
      <c r="CF69" s="70">
        <f>IF(B69="","",CD69-CE69)</f>
      </c>
      <c r="CG69" s="72">
        <f>IF(B69="","",IF(Q69=0,0,CF69/Q69))</f>
      </c>
      <c r="CH69" s="73">
        <f>IF(B69="","",IF(J69=0,0,(BL69+CA69+CB69+CC69)/J69))</f>
      </c>
      <c r="CI69" s="73">
        <f>IF(B69="","",IF(J69=0,0,Q69/J69))</f>
      </c>
      <c r="CJ69" s="73">
        <f>IF(B69="","",IF(J69=0,0,CD69/J69))</f>
      </c>
      <c r="CK69" s="37">
        <f>IF(B69="","",Y69+AE69+BK69+BT69)</f>
      </c>
      <c r="CL69" s="37">
        <f>IF(B69="","",IF(J69=0,0,(M69+P69*G69/J69)*(1-Pct_Reclamaciones-Pct_Banco-Imp_Ventas_Serv-Contrib_Territorial)-AI69-BE69-BV69-CK69*G69/J69))</f>
      </c>
      <c r="CM69" s="37">
        <f>IF(B69="","",IF(J69=0,0,(N69+P69*H69/J69)*(1-Pct_Reclamaciones-Pct_Banco-Imp_Ventas_Serv-Contrib_Territorial)-AS69-BF69-BX69-CK69*H69/J69))</f>
      </c>
      <c r="CN69" s="37">
        <f>IF(B69="","",IF(J69=0,0,(O69+P69*I69/J69)*(1-Pct_Reclamaciones-Pct_Banco-Imp_Ventas_Serv-Contrib_Territorial)-BC69-BG69-BZ69-CK69*I69/J69))</f>
      </c>
      <c r="CO69" s="37">
        <f>IF(B69="","",IF(J69=0,0,ROUND(CD69-CL69-CM69-CN69,4)))</f>
      </c>
      <c r="CP69" s="71">
        <f>IF(B69="","",T69+AG69+AK69+AM69+AU69+AW69)</f>
      </c>
      <c r="CQ69" s="71">
        <f>IF(B69="","",U69+AH69+AL69+AN69+AV69+AX69)</f>
      </c>
      <c r="CR69" s="72">
        <f>IF(B69="","",IF(CP69=0,0,CQ69/CP69-1))</f>
      </c>
      <c r="CS69" s="60">
        <f>IF(B69="","",IF(ENTRADA!$Y69="","",ENTRADA!$Y69-C69))</f>
      </c>
      <c r="CT69" s="66">
        <f>IF(B69="","",IF(ENTRADA!$C69="","Falta fecha. ","")&amp;IF(BP69=0,"Mes fuera del rango de COSTOS_FIJOS. ","")&amp;IF(J69=0,"Sin kg. ","")&amp;IF(E69="","Falta transitaria. ","")&amp;IF(AND(T69&gt;0,U69/T69-1&gt;Tolerancia_Comb),"Combustible al puerto "&amp;TEXT(U69/T69-1,"+0%")&amp;" sobre norma. ","")&amp;IF(AND(AG69&gt;0,AH69/AG69-1&gt;Tolerancia_Comb),"Combustible distribución Occidente "&amp;TEXT(AH69/AG69-1,"+0%")&amp;" sobre norma. ","")&amp;IF(AND(AK69&gt;0,AL69/AK69-1&gt;Tolerancia_Comb),"Combustible traslado Centro "&amp;TEXT(AL69/AK69-1,"+0%")&amp;" sobre norma. ","")&amp;IF(AND(AM69&gt;0,AN69/AM69-1&gt;Tolerancia_Comb),"Combustible distribución Centro "&amp;TEXT(AN69/AM69-1,"+0%")&amp;" sobre norma. ","")&amp;IF(AND(AU69&gt;0,AV69/AU69-1&gt;Tolerancia_Comb),"Combustible traslado Oriente "&amp;TEXT(AV69/AU69-1,"+0%")&amp;" sobre norma. ","")&amp;IF(AND(AW69&gt;0,AX69/AW69-1&gt;Tolerancia_Comb),"Combustible distribución Oriente "&amp;TEXT(AX69/AW69-1,"+0%")&amp;" sobre norma. ","")&amp;IF(AND(ENTRADA!$C69&lt;&gt;"",C69&lt;PRECIOS!$A$6),"Fecha anterior a la 1ª vigencia de precios. ","")&amp;IF(CD69&lt;0,"Contenedor con pérdida. ",""))</f>
      </c>
    </row>
    <row r="70">
      <c r="A70" s="60">
        <f>IF(B70="","",ROW()-5)</f>
      </c>
      <c r="B70" s="63">
        <f>IF(ENTRADA!$B70="","",ENTRADA!$B70)</f>
      </c>
      <c r="C70" s="64">
        <f>IF(B70="","",ENTRADA!$C70)</f>
      </c>
      <c r="D70" s="65">
        <f>IF(B70="","",DATE(YEAR(C70),MONTH(C70),1))</f>
      </c>
      <c r="E70" s="66">
        <f>IF(B70="","",ENTRADA!$D70&amp;"")</f>
      </c>
      <c r="F70" s="66">
        <f>IF(B70="","",ENTRADA!$Z70&amp;"")</f>
      </c>
      <c r="G70" s="67">
        <f>IF(B70="","",N(ENTRADA!$G70))</f>
      </c>
      <c r="H70" s="67">
        <f>IF(B70="","",N(ENTRADA!$H70))</f>
      </c>
      <c r="I70" s="67">
        <f>IF(B70="","",N(ENTRADA!$I70))</f>
      </c>
      <c r="J70" s="68">
        <f>IF(B70="","",G70+H70+I70)</f>
      </c>
      <c r="K70" s="60">
        <f>IF(B70="","",IFERROR(MATCH(SUMPRODUCT(MAX((PRECIOS!$A$6:$A$55&lt;=C70)*PRECIOS!$A$6:$A$55)),PRECIOS!$A$6:$A$55,0),1))</f>
      </c>
      <c r="L70" s="69">
        <f>IF(B70="","",INDEX(PRECIOS!$A$6:$A$55,K70))</f>
      </c>
      <c r="M70" s="37">
        <f>IF(B70="","",G70*INDEX(PRECIOS!$B$6:$B$55,K70))</f>
      </c>
      <c r="N70" s="37">
        <f>IF(B70="","",H70*INDEX(PRECIOS!$C$6:$C$55,K70))</f>
      </c>
      <c r="O70" s="37">
        <f>IF(B70="","",I70*INDEX(PRECIOS!$D$6:$D$55,K70))</f>
      </c>
      <c r="P70" s="37">
        <f>IF(B70="","",N(ENTRADA!$X70))</f>
      </c>
      <c r="Q70" s="70">
        <f>IF(B70="","",M70+N70+O70+P70)</f>
      </c>
      <c r="R70" s="71">
        <f>IF(B70="","",IF(ENTRADA!$J70="",Std_Viajes_Puerto,ENTRADA!$J70))</f>
      </c>
      <c r="S70" s="37">
        <f>IF(B70="","",R70*INDEX(PRECIOS!$F$6:$F$55,K70))</f>
      </c>
      <c r="T70" s="71">
        <f>IF(B70="","",R70*Litros_Puerto_Viaje)</f>
      </c>
      <c r="U70" s="71">
        <f>IF(B70="","",IF(ENTRADA!$K70="",T70,ENTRADA!$K70))</f>
      </c>
      <c r="V70" s="37">
        <f>IF(B70="","",U70*INDEX(PRECIOS!$E$6:$E$55,K70))</f>
      </c>
      <c r="W70" s="37">
        <f>IF(B70="","",IF(ENTRADA!$L70="",R70*INDEX(PRECIOS!$G$6:$G$55,K70),ENTRADA!$L70))</f>
      </c>
      <c r="X70" s="37">
        <f>IF(B70="","",R70*Km_Puerto_Viaje*INDEX(PRECIOS!$N$6:$N$55,K70))</f>
      </c>
      <c r="Y70" s="70">
        <f>IF(B70="","",S70+V70+W70+X70)</f>
      </c>
      <c r="Z70" s="71">
        <f>IF(B70="","",IF(J70=0,0,ROUNDUP(J70/Rend_Desagrupe,0)))</f>
      </c>
      <c r="AA70" s="71">
        <f>IF(B70="","",IF(ENTRADA!$M70="",Z70,ENTRADA!$M70))</f>
      </c>
      <c r="AB70" s="37">
        <f>IF(B70="","",AA70*INDEX(PRECIOS!$H$6:$H$55,K70))</f>
      </c>
      <c r="AC70" s="37">
        <f>IF(B70="","",IF(E70="ENCI",INDEX(PRECIOS!$J$6:$J$55,K70),IF(E70="A.V",INDEX(PRECIOS!$K$6:$K$55,K70),0)))</f>
      </c>
      <c r="AD70" s="37">
        <f>IF(B70="","",N(ENTRADA!$N70))</f>
      </c>
      <c r="AE70" s="70">
        <f>IF(B70="","",AB70+AC70+AD70)</f>
      </c>
      <c r="AF70" s="71">
        <f>IF(B70="","",IF(G70=0,0,ROUNDUP(G70/Cap_Camion_OCC,0)))</f>
      </c>
      <c r="AG70" s="71">
        <f>IF(B70="","",AF70*L_Dist_OCC)</f>
      </c>
      <c r="AH70" s="71">
        <f>IF(B70="","",IF(ENTRADA!$O70="",AG70,ENTRADA!$O70))</f>
      </c>
      <c r="AI70" s="37">
        <f>IF(B70="","",AH70*INDEX(PRECIOS!$E$6:$E$55,K70))</f>
      </c>
      <c r="AJ70" s="71">
        <f>IF(B70="","",IF(H70=0,0,ROUNDUP(H70/Cap_Camion_CEN,0)))</f>
      </c>
      <c r="AK70" s="71">
        <f>IF(B70="","",AJ70*L_Tras_CEN)</f>
      </c>
      <c r="AL70" s="71">
        <f>IF(B70="","",IF(ENTRADA!$P70="",AK70,ENTRADA!$P70))</f>
      </c>
      <c r="AM70" s="71">
        <f>IF(B70="","",AJ70*L_Dist_CEN)</f>
      </c>
      <c r="AN70" s="71">
        <f>IF(B70="","",IF(ENTRADA!$Q70="",AM70,ENTRADA!$Q70))</f>
      </c>
      <c r="AO70" s="37">
        <f>IF(B70="","",(AL70+AN70)*INDEX(PRECIOS!$E$6:$E$55,K70))</f>
      </c>
      <c r="AP70" s="71">
        <f>IF(B70="","",IF(H70=0,0,ROUNDUP(H70/Rend_Desagrupe_CT,0)))</f>
      </c>
      <c r="AQ70" s="71">
        <f>IF(B70="","",IF(ENTRADA!$R70="",AP70,ENTRADA!$R70))</f>
      </c>
      <c r="AR70" s="37">
        <f>IF(B70="","",AQ70*INDEX(PRECIOS!$I$6:$I$55,K70))</f>
      </c>
      <c r="AS70" s="37">
        <f>IF(B70="","",AO70+AR70)</f>
      </c>
      <c r="AT70" s="71">
        <f>IF(B70="","",IF(I70=0,0,ROUNDUP(I70/Cap_Camion_ORI,0)))</f>
      </c>
      <c r="AU70" s="71">
        <f>IF(B70="","",AT70*L_Tras_ORI)</f>
      </c>
      <c r="AV70" s="71">
        <f>IF(B70="","",IF(ENTRADA!$S70="",AU70,ENTRADA!$S70))</f>
      </c>
      <c r="AW70" s="71">
        <f>IF(B70="","",AT70*L_Dist_ORI)</f>
      </c>
      <c r="AX70" s="71">
        <f>IF(B70="","",IF(ENTRADA!$T70="",AW70,ENTRADA!$T70))</f>
      </c>
      <c r="AY70" s="37">
        <f>IF(B70="","",(AV70+AX70)*INDEX(PRECIOS!$E$6:$E$55,K70))</f>
      </c>
      <c r="AZ70" s="71">
        <f>IF(B70="","",IF(I70=0,0,ROUNDUP(I70/Rend_Desagrupe_CT,0)))</f>
      </c>
      <c r="BA70" s="71">
        <f>IF(B70="","",IF(ENTRADA!$U70="",AZ70,ENTRADA!$U70))</f>
      </c>
      <c r="BB70" s="37">
        <f>IF(B70="","",BA70*INDEX(PRECIOS!$I$6:$I$55,K70))</f>
      </c>
      <c r="BC70" s="37">
        <f>IF(B70="","",AY70+BB70)</f>
      </c>
      <c r="BD70" s="70">
        <f>IF(B70="","",AI70+AS70+BC70)</f>
      </c>
      <c r="BE70" s="37">
        <f>IF(B70="","",IF(Base_Comision="% DEL INGRESO",M70*INDEX(PRECIOS!$L$6:$L$55,K70),G70*INDEX(PRECIOS!$M$6:$M$55,K70)))</f>
      </c>
      <c r="BF70" s="37">
        <f>IF(B70="","",IF(Base_Comision="% DEL INGRESO",N70*INDEX(PRECIOS!$L$6:$L$55,K70),H70*INDEX(PRECIOS!$M$6:$M$55,K70)))</f>
      </c>
      <c r="BG70" s="37">
        <f>IF(B70="","",IF(Base_Comision="% DEL INGRESO",O70*INDEX(PRECIOS!$L$6:$L$55,K70),I70*INDEX(PRECIOS!$M$6:$M$55,K70)))</f>
      </c>
      <c r="BH70" s="70">
        <f>IF(B70="","",BE70+BF70+BG70)</f>
      </c>
      <c r="BI70" s="37">
        <f>IF(B70="","",Q70*Pct_Reclamaciones)</f>
      </c>
      <c r="BJ70" s="37">
        <f>IF(B70="","",Q70*Pct_Banco)</f>
      </c>
      <c r="BK70" s="37">
        <f>IF(B70="","",N(ENTRADA!$V70))</f>
      </c>
      <c r="BL70" s="70">
        <f>IF(B70="","",Y70+AE70+BD70+BH70+BI70+BJ70+BK70)</f>
      </c>
      <c r="BM70" s="70">
        <f>IF(B70="","",Q70-BL70)</f>
      </c>
      <c r="BN70" s="72">
        <f>IF(B70="","",IF(Q70=0,0,BM70/Q70))</f>
      </c>
      <c r="BO70" s="73">
        <f>IF(B70="","",IF(J70=0,0,BM70/J70))</f>
      </c>
      <c r="BP70" s="60">
        <f>IF(B70="","",IFERROR(MATCH(D70,COSTOS_FIJOS!$G$5:$AD$5,0),0))</f>
      </c>
      <c r="BQ70" s="60">
        <f>IF(B70="","",COUNTIFS($D$6:$D$305,D70))</f>
      </c>
      <c r="BR70" s="67">
        <f>IF(B70="","",SUMIFS($J$6:$J$305,$D$6:$D$305,D70))</f>
      </c>
      <c r="BS70" s="72">
        <f>IF(B70="","",IF(Metodo_Prorrateo="KG",IF(BR70=0,0,J70/BR70),1/BQ70))</f>
      </c>
      <c r="BT70" s="37">
        <f>IF(B70="","",IF(BP70=0,0,INDEX(COSTOS_FIJOS!$G$38:$AD$38,BP70))*BS70)</f>
      </c>
      <c r="BU70" s="72">
        <f>IF(B70="","",IF(Metodo_Prorrateo="KG",IF(SUMIFS($G$6:$G$305,$D$6:$D$305,D70)=0,0,G70/SUMIFS($G$6:$G$305,$D$6:$D$305,D70)),IF(G70&gt;0,1/COUNTIFS($D$6:$D$305,D70,$G$6:$G$305,"&gt;0"),0)))</f>
      </c>
      <c r="BV70" s="37">
        <f>IF(B70="","",IF(BP70=0,0,INDEX(COSTOS_FIJOS!$G$39:$AD$39,BP70))*BU70)</f>
      </c>
      <c r="BW70" s="72">
        <f>IF(B70="","",IF(Metodo_Prorrateo="KG",IF(SUMIFS($H$6:$H$305,$D$6:$D$305,D70)=0,0,H70/SUMIFS($H$6:$H$305,$D$6:$D$305,D70)),IF(H70&gt;0,1/COUNTIFS($D$6:$D$305,D70,$H$6:$H$305,"&gt;0"),0)))</f>
      </c>
      <c r="BX70" s="37">
        <f>IF(B70="","",IF(BP70=0,0,INDEX(COSTOS_FIJOS!$G$40:$AD$40,BP70))*BW70)</f>
      </c>
      <c r="BY70" s="72">
        <f>IF(B70="","",IF(Metodo_Prorrateo="KG",IF(SUMIFS($I$6:$I$305,$D$6:$D$305,D70)=0,0,I70/SUMIFS($I$6:$I$305,$D$6:$D$305,D70)),IF(I70&gt;0,1/COUNTIFS($D$6:$D$305,D70,$I$6:$I$305,"&gt;0"),0)))</f>
      </c>
      <c r="BZ70" s="37">
        <f>IF(B70="","",IF(BP70=0,0,INDEX(COSTOS_FIJOS!$G$41:$AD$41,BP70))*BY70)</f>
      </c>
      <c r="CA70" s="70">
        <f>IF(B70="","",BT70+BV70+BX70+BZ70)</f>
      </c>
      <c r="CB70" s="37">
        <f>IF(B70="","",Q70*Imp_Ventas_Serv)</f>
      </c>
      <c r="CC70" s="37">
        <f>IF(B70="","",Q70*Contrib_Territorial)</f>
      </c>
      <c r="CD70" s="70">
        <f>IF(B70="","",BM70-CA70-CB70-CC70)</f>
      </c>
      <c r="CE70" s="37">
        <f>IF(B70="","",MAX(0,CD70)*Imp_Utilidades)</f>
      </c>
      <c r="CF70" s="70">
        <f>IF(B70="","",CD70-CE70)</f>
      </c>
      <c r="CG70" s="72">
        <f>IF(B70="","",IF(Q70=0,0,CF70/Q70))</f>
      </c>
      <c r="CH70" s="73">
        <f>IF(B70="","",IF(J70=0,0,(BL70+CA70+CB70+CC70)/J70))</f>
      </c>
      <c r="CI70" s="73">
        <f>IF(B70="","",IF(J70=0,0,Q70/J70))</f>
      </c>
      <c r="CJ70" s="73">
        <f>IF(B70="","",IF(J70=0,0,CD70/J70))</f>
      </c>
      <c r="CK70" s="37">
        <f>IF(B70="","",Y70+AE70+BK70+BT70)</f>
      </c>
      <c r="CL70" s="37">
        <f>IF(B70="","",IF(J70=0,0,(M70+P70*G70/J70)*(1-Pct_Reclamaciones-Pct_Banco-Imp_Ventas_Serv-Contrib_Territorial)-AI70-BE70-BV70-CK70*G70/J70))</f>
      </c>
      <c r="CM70" s="37">
        <f>IF(B70="","",IF(J70=0,0,(N70+P70*H70/J70)*(1-Pct_Reclamaciones-Pct_Banco-Imp_Ventas_Serv-Contrib_Territorial)-AS70-BF70-BX70-CK70*H70/J70))</f>
      </c>
      <c r="CN70" s="37">
        <f>IF(B70="","",IF(J70=0,0,(O70+P70*I70/J70)*(1-Pct_Reclamaciones-Pct_Banco-Imp_Ventas_Serv-Contrib_Territorial)-BC70-BG70-BZ70-CK70*I70/J70))</f>
      </c>
      <c r="CO70" s="37">
        <f>IF(B70="","",IF(J70=0,0,ROUND(CD70-CL70-CM70-CN70,4)))</f>
      </c>
      <c r="CP70" s="71">
        <f>IF(B70="","",T70+AG70+AK70+AM70+AU70+AW70)</f>
      </c>
      <c r="CQ70" s="71">
        <f>IF(B70="","",U70+AH70+AL70+AN70+AV70+AX70)</f>
      </c>
      <c r="CR70" s="72">
        <f>IF(B70="","",IF(CP70=0,0,CQ70/CP70-1))</f>
      </c>
      <c r="CS70" s="60">
        <f>IF(B70="","",IF(ENTRADA!$Y70="","",ENTRADA!$Y70-C70))</f>
      </c>
      <c r="CT70" s="66">
        <f>IF(B70="","",IF(ENTRADA!$C70="","Falta fecha. ","")&amp;IF(BP70=0,"Mes fuera del rango de COSTOS_FIJOS. ","")&amp;IF(J70=0,"Sin kg. ","")&amp;IF(E70="","Falta transitaria. ","")&amp;IF(AND(T70&gt;0,U70/T70-1&gt;Tolerancia_Comb),"Combustible al puerto "&amp;TEXT(U70/T70-1,"+0%")&amp;" sobre norma. ","")&amp;IF(AND(AG70&gt;0,AH70/AG70-1&gt;Tolerancia_Comb),"Combustible distribución Occidente "&amp;TEXT(AH70/AG70-1,"+0%")&amp;" sobre norma. ","")&amp;IF(AND(AK70&gt;0,AL70/AK70-1&gt;Tolerancia_Comb),"Combustible traslado Centro "&amp;TEXT(AL70/AK70-1,"+0%")&amp;" sobre norma. ","")&amp;IF(AND(AM70&gt;0,AN70/AM70-1&gt;Tolerancia_Comb),"Combustible distribución Centro "&amp;TEXT(AN70/AM70-1,"+0%")&amp;" sobre norma. ","")&amp;IF(AND(AU70&gt;0,AV70/AU70-1&gt;Tolerancia_Comb),"Combustible traslado Oriente "&amp;TEXT(AV70/AU70-1,"+0%")&amp;" sobre norma. ","")&amp;IF(AND(AW70&gt;0,AX70/AW70-1&gt;Tolerancia_Comb),"Combustible distribución Oriente "&amp;TEXT(AX70/AW70-1,"+0%")&amp;" sobre norma. ","")&amp;IF(AND(ENTRADA!$C70&lt;&gt;"",C70&lt;PRECIOS!$A$6),"Fecha anterior a la 1ª vigencia de precios. ","")&amp;IF(CD70&lt;0,"Contenedor con pérdida. ",""))</f>
      </c>
    </row>
    <row r="71">
      <c r="A71" s="60">
        <f>IF(B71="","",ROW()-5)</f>
      </c>
      <c r="B71" s="63">
        <f>IF(ENTRADA!$B71="","",ENTRADA!$B71)</f>
      </c>
      <c r="C71" s="64">
        <f>IF(B71="","",ENTRADA!$C71)</f>
      </c>
      <c r="D71" s="65">
        <f>IF(B71="","",DATE(YEAR(C71),MONTH(C71),1))</f>
      </c>
      <c r="E71" s="66">
        <f>IF(B71="","",ENTRADA!$D71&amp;"")</f>
      </c>
      <c r="F71" s="66">
        <f>IF(B71="","",ENTRADA!$Z71&amp;"")</f>
      </c>
      <c r="G71" s="67">
        <f>IF(B71="","",N(ENTRADA!$G71))</f>
      </c>
      <c r="H71" s="67">
        <f>IF(B71="","",N(ENTRADA!$H71))</f>
      </c>
      <c r="I71" s="67">
        <f>IF(B71="","",N(ENTRADA!$I71))</f>
      </c>
      <c r="J71" s="68">
        <f>IF(B71="","",G71+H71+I71)</f>
      </c>
      <c r="K71" s="60">
        <f>IF(B71="","",IFERROR(MATCH(SUMPRODUCT(MAX((PRECIOS!$A$6:$A$55&lt;=C71)*PRECIOS!$A$6:$A$55)),PRECIOS!$A$6:$A$55,0),1))</f>
      </c>
      <c r="L71" s="69">
        <f>IF(B71="","",INDEX(PRECIOS!$A$6:$A$55,K71))</f>
      </c>
      <c r="M71" s="37">
        <f>IF(B71="","",G71*INDEX(PRECIOS!$B$6:$B$55,K71))</f>
      </c>
      <c r="N71" s="37">
        <f>IF(B71="","",H71*INDEX(PRECIOS!$C$6:$C$55,K71))</f>
      </c>
      <c r="O71" s="37">
        <f>IF(B71="","",I71*INDEX(PRECIOS!$D$6:$D$55,K71))</f>
      </c>
      <c r="P71" s="37">
        <f>IF(B71="","",N(ENTRADA!$X71))</f>
      </c>
      <c r="Q71" s="70">
        <f>IF(B71="","",M71+N71+O71+P71)</f>
      </c>
      <c r="R71" s="71">
        <f>IF(B71="","",IF(ENTRADA!$J71="",Std_Viajes_Puerto,ENTRADA!$J71))</f>
      </c>
      <c r="S71" s="37">
        <f>IF(B71="","",R71*INDEX(PRECIOS!$F$6:$F$55,K71))</f>
      </c>
      <c r="T71" s="71">
        <f>IF(B71="","",R71*Litros_Puerto_Viaje)</f>
      </c>
      <c r="U71" s="71">
        <f>IF(B71="","",IF(ENTRADA!$K71="",T71,ENTRADA!$K71))</f>
      </c>
      <c r="V71" s="37">
        <f>IF(B71="","",U71*INDEX(PRECIOS!$E$6:$E$55,K71))</f>
      </c>
      <c r="W71" s="37">
        <f>IF(B71="","",IF(ENTRADA!$L71="",R71*INDEX(PRECIOS!$G$6:$G$55,K71),ENTRADA!$L71))</f>
      </c>
      <c r="X71" s="37">
        <f>IF(B71="","",R71*Km_Puerto_Viaje*INDEX(PRECIOS!$N$6:$N$55,K71))</f>
      </c>
      <c r="Y71" s="70">
        <f>IF(B71="","",S71+V71+W71+X71)</f>
      </c>
      <c r="Z71" s="71">
        <f>IF(B71="","",IF(J71=0,0,ROUNDUP(J71/Rend_Desagrupe,0)))</f>
      </c>
      <c r="AA71" s="71">
        <f>IF(B71="","",IF(ENTRADA!$M71="",Z71,ENTRADA!$M71))</f>
      </c>
      <c r="AB71" s="37">
        <f>IF(B71="","",AA71*INDEX(PRECIOS!$H$6:$H$55,K71))</f>
      </c>
      <c r="AC71" s="37">
        <f>IF(B71="","",IF(E71="ENCI",INDEX(PRECIOS!$J$6:$J$55,K71),IF(E71="A.V",INDEX(PRECIOS!$K$6:$K$55,K71),0)))</f>
      </c>
      <c r="AD71" s="37">
        <f>IF(B71="","",N(ENTRADA!$N71))</f>
      </c>
      <c r="AE71" s="70">
        <f>IF(B71="","",AB71+AC71+AD71)</f>
      </c>
      <c r="AF71" s="71">
        <f>IF(B71="","",IF(G71=0,0,ROUNDUP(G71/Cap_Camion_OCC,0)))</f>
      </c>
      <c r="AG71" s="71">
        <f>IF(B71="","",AF71*L_Dist_OCC)</f>
      </c>
      <c r="AH71" s="71">
        <f>IF(B71="","",IF(ENTRADA!$O71="",AG71,ENTRADA!$O71))</f>
      </c>
      <c r="AI71" s="37">
        <f>IF(B71="","",AH71*INDEX(PRECIOS!$E$6:$E$55,K71))</f>
      </c>
      <c r="AJ71" s="71">
        <f>IF(B71="","",IF(H71=0,0,ROUNDUP(H71/Cap_Camion_CEN,0)))</f>
      </c>
      <c r="AK71" s="71">
        <f>IF(B71="","",AJ71*L_Tras_CEN)</f>
      </c>
      <c r="AL71" s="71">
        <f>IF(B71="","",IF(ENTRADA!$P71="",AK71,ENTRADA!$P71))</f>
      </c>
      <c r="AM71" s="71">
        <f>IF(B71="","",AJ71*L_Dist_CEN)</f>
      </c>
      <c r="AN71" s="71">
        <f>IF(B71="","",IF(ENTRADA!$Q71="",AM71,ENTRADA!$Q71))</f>
      </c>
      <c r="AO71" s="37">
        <f>IF(B71="","",(AL71+AN71)*INDEX(PRECIOS!$E$6:$E$55,K71))</f>
      </c>
      <c r="AP71" s="71">
        <f>IF(B71="","",IF(H71=0,0,ROUNDUP(H71/Rend_Desagrupe_CT,0)))</f>
      </c>
      <c r="AQ71" s="71">
        <f>IF(B71="","",IF(ENTRADA!$R71="",AP71,ENTRADA!$R71))</f>
      </c>
      <c r="AR71" s="37">
        <f>IF(B71="","",AQ71*INDEX(PRECIOS!$I$6:$I$55,K71))</f>
      </c>
      <c r="AS71" s="37">
        <f>IF(B71="","",AO71+AR71)</f>
      </c>
      <c r="AT71" s="71">
        <f>IF(B71="","",IF(I71=0,0,ROUNDUP(I71/Cap_Camion_ORI,0)))</f>
      </c>
      <c r="AU71" s="71">
        <f>IF(B71="","",AT71*L_Tras_ORI)</f>
      </c>
      <c r="AV71" s="71">
        <f>IF(B71="","",IF(ENTRADA!$S71="",AU71,ENTRADA!$S71))</f>
      </c>
      <c r="AW71" s="71">
        <f>IF(B71="","",AT71*L_Dist_ORI)</f>
      </c>
      <c r="AX71" s="71">
        <f>IF(B71="","",IF(ENTRADA!$T71="",AW71,ENTRADA!$T71))</f>
      </c>
      <c r="AY71" s="37">
        <f>IF(B71="","",(AV71+AX71)*INDEX(PRECIOS!$E$6:$E$55,K71))</f>
      </c>
      <c r="AZ71" s="71">
        <f>IF(B71="","",IF(I71=0,0,ROUNDUP(I71/Rend_Desagrupe_CT,0)))</f>
      </c>
      <c r="BA71" s="71">
        <f>IF(B71="","",IF(ENTRADA!$U71="",AZ71,ENTRADA!$U71))</f>
      </c>
      <c r="BB71" s="37">
        <f>IF(B71="","",BA71*INDEX(PRECIOS!$I$6:$I$55,K71))</f>
      </c>
      <c r="BC71" s="37">
        <f>IF(B71="","",AY71+BB71)</f>
      </c>
      <c r="BD71" s="70">
        <f>IF(B71="","",AI71+AS71+BC71)</f>
      </c>
      <c r="BE71" s="37">
        <f>IF(B71="","",IF(Base_Comision="% DEL INGRESO",M71*INDEX(PRECIOS!$L$6:$L$55,K71),G71*INDEX(PRECIOS!$M$6:$M$55,K71)))</f>
      </c>
      <c r="BF71" s="37">
        <f>IF(B71="","",IF(Base_Comision="% DEL INGRESO",N71*INDEX(PRECIOS!$L$6:$L$55,K71),H71*INDEX(PRECIOS!$M$6:$M$55,K71)))</f>
      </c>
      <c r="BG71" s="37">
        <f>IF(B71="","",IF(Base_Comision="% DEL INGRESO",O71*INDEX(PRECIOS!$L$6:$L$55,K71),I71*INDEX(PRECIOS!$M$6:$M$55,K71)))</f>
      </c>
      <c r="BH71" s="70">
        <f>IF(B71="","",BE71+BF71+BG71)</f>
      </c>
      <c r="BI71" s="37">
        <f>IF(B71="","",Q71*Pct_Reclamaciones)</f>
      </c>
      <c r="BJ71" s="37">
        <f>IF(B71="","",Q71*Pct_Banco)</f>
      </c>
      <c r="BK71" s="37">
        <f>IF(B71="","",N(ENTRADA!$V71))</f>
      </c>
      <c r="BL71" s="70">
        <f>IF(B71="","",Y71+AE71+BD71+BH71+BI71+BJ71+BK71)</f>
      </c>
      <c r="BM71" s="70">
        <f>IF(B71="","",Q71-BL71)</f>
      </c>
      <c r="BN71" s="72">
        <f>IF(B71="","",IF(Q71=0,0,BM71/Q71))</f>
      </c>
      <c r="BO71" s="73">
        <f>IF(B71="","",IF(J71=0,0,BM71/J71))</f>
      </c>
      <c r="BP71" s="60">
        <f>IF(B71="","",IFERROR(MATCH(D71,COSTOS_FIJOS!$G$5:$AD$5,0),0))</f>
      </c>
      <c r="BQ71" s="60">
        <f>IF(B71="","",COUNTIFS($D$6:$D$305,D71))</f>
      </c>
      <c r="BR71" s="67">
        <f>IF(B71="","",SUMIFS($J$6:$J$305,$D$6:$D$305,D71))</f>
      </c>
      <c r="BS71" s="72">
        <f>IF(B71="","",IF(Metodo_Prorrateo="KG",IF(BR71=0,0,J71/BR71),1/BQ71))</f>
      </c>
      <c r="BT71" s="37">
        <f>IF(B71="","",IF(BP71=0,0,INDEX(COSTOS_FIJOS!$G$38:$AD$38,BP71))*BS71)</f>
      </c>
      <c r="BU71" s="72">
        <f>IF(B71="","",IF(Metodo_Prorrateo="KG",IF(SUMIFS($G$6:$G$305,$D$6:$D$305,D71)=0,0,G71/SUMIFS($G$6:$G$305,$D$6:$D$305,D71)),IF(G71&gt;0,1/COUNTIFS($D$6:$D$305,D71,$G$6:$G$305,"&gt;0"),0)))</f>
      </c>
      <c r="BV71" s="37">
        <f>IF(B71="","",IF(BP71=0,0,INDEX(COSTOS_FIJOS!$G$39:$AD$39,BP71))*BU71)</f>
      </c>
      <c r="BW71" s="72">
        <f>IF(B71="","",IF(Metodo_Prorrateo="KG",IF(SUMIFS($H$6:$H$305,$D$6:$D$305,D71)=0,0,H71/SUMIFS($H$6:$H$305,$D$6:$D$305,D71)),IF(H71&gt;0,1/COUNTIFS($D$6:$D$305,D71,$H$6:$H$305,"&gt;0"),0)))</f>
      </c>
      <c r="BX71" s="37">
        <f>IF(B71="","",IF(BP71=0,0,INDEX(COSTOS_FIJOS!$G$40:$AD$40,BP71))*BW71)</f>
      </c>
      <c r="BY71" s="72">
        <f>IF(B71="","",IF(Metodo_Prorrateo="KG",IF(SUMIFS($I$6:$I$305,$D$6:$D$305,D71)=0,0,I71/SUMIFS($I$6:$I$305,$D$6:$D$305,D71)),IF(I71&gt;0,1/COUNTIFS($D$6:$D$305,D71,$I$6:$I$305,"&gt;0"),0)))</f>
      </c>
      <c r="BZ71" s="37">
        <f>IF(B71="","",IF(BP71=0,0,INDEX(COSTOS_FIJOS!$G$41:$AD$41,BP71))*BY71)</f>
      </c>
      <c r="CA71" s="70">
        <f>IF(B71="","",BT71+BV71+BX71+BZ71)</f>
      </c>
      <c r="CB71" s="37">
        <f>IF(B71="","",Q71*Imp_Ventas_Serv)</f>
      </c>
      <c r="CC71" s="37">
        <f>IF(B71="","",Q71*Contrib_Territorial)</f>
      </c>
      <c r="CD71" s="70">
        <f>IF(B71="","",BM71-CA71-CB71-CC71)</f>
      </c>
      <c r="CE71" s="37">
        <f>IF(B71="","",MAX(0,CD71)*Imp_Utilidades)</f>
      </c>
      <c r="CF71" s="70">
        <f>IF(B71="","",CD71-CE71)</f>
      </c>
      <c r="CG71" s="72">
        <f>IF(B71="","",IF(Q71=0,0,CF71/Q71))</f>
      </c>
      <c r="CH71" s="73">
        <f>IF(B71="","",IF(J71=0,0,(BL71+CA71+CB71+CC71)/J71))</f>
      </c>
      <c r="CI71" s="73">
        <f>IF(B71="","",IF(J71=0,0,Q71/J71))</f>
      </c>
      <c r="CJ71" s="73">
        <f>IF(B71="","",IF(J71=0,0,CD71/J71))</f>
      </c>
      <c r="CK71" s="37">
        <f>IF(B71="","",Y71+AE71+BK71+BT71)</f>
      </c>
      <c r="CL71" s="37">
        <f>IF(B71="","",IF(J71=0,0,(M71+P71*G71/J71)*(1-Pct_Reclamaciones-Pct_Banco-Imp_Ventas_Serv-Contrib_Territorial)-AI71-BE71-BV71-CK71*G71/J71))</f>
      </c>
      <c r="CM71" s="37">
        <f>IF(B71="","",IF(J71=0,0,(N71+P71*H71/J71)*(1-Pct_Reclamaciones-Pct_Banco-Imp_Ventas_Serv-Contrib_Territorial)-AS71-BF71-BX71-CK71*H71/J71))</f>
      </c>
      <c r="CN71" s="37">
        <f>IF(B71="","",IF(J71=0,0,(O71+P71*I71/J71)*(1-Pct_Reclamaciones-Pct_Banco-Imp_Ventas_Serv-Contrib_Territorial)-BC71-BG71-BZ71-CK71*I71/J71))</f>
      </c>
      <c r="CO71" s="37">
        <f>IF(B71="","",IF(J71=0,0,ROUND(CD71-CL71-CM71-CN71,4)))</f>
      </c>
      <c r="CP71" s="71">
        <f>IF(B71="","",T71+AG71+AK71+AM71+AU71+AW71)</f>
      </c>
      <c r="CQ71" s="71">
        <f>IF(B71="","",U71+AH71+AL71+AN71+AV71+AX71)</f>
      </c>
      <c r="CR71" s="72">
        <f>IF(B71="","",IF(CP71=0,0,CQ71/CP71-1))</f>
      </c>
      <c r="CS71" s="60">
        <f>IF(B71="","",IF(ENTRADA!$Y71="","",ENTRADA!$Y71-C71))</f>
      </c>
      <c r="CT71" s="66">
        <f>IF(B71="","",IF(ENTRADA!$C71="","Falta fecha. ","")&amp;IF(BP71=0,"Mes fuera del rango de COSTOS_FIJOS. ","")&amp;IF(J71=0,"Sin kg. ","")&amp;IF(E71="","Falta transitaria. ","")&amp;IF(AND(T71&gt;0,U71/T71-1&gt;Tolerancia_Comb),"Combustible al puerto "&amp;TEXT(U71/T71-1,"+0%")&amp;" sobre norma. ","")&amp;IF(AND(AG71&gt;0,AH71/AG71-1&gt;Tolerancia_Comb),"Combustible distribución Occidente "&amp;TEXT(AH71/AG71-1,"+0%")&amp;" sobre norma. ","")&amp;IF(AND(AK71&gt;0,AL71/AK71-1&gt;Tolerancia_Comb),"Combustible traslado Centro "&amp;TEXT(AL71/AK71-1,"+0%")&amp;" sobre norma. ","")&amp;IF(AND(AM71&gt;0,AN71/AM71-1&gt;Tolerancia_Comb),"Combustible distribución Centro "&amp;TEXT(AN71/AM71-1,"+0%")&amp;" sobre norma. ","")&amp;IF(AND(AU71&gt;0,AV71/AU71-1&gt;Tolerancia_Comb),"Combustible traslado Oriente "&amp;TEXT(AV71/AU71-1,"+0%")&amp;" sobre norma. ","")&amp;IF(AND(AW71&gt;0,AX71/AW71-1&gt;Tolerancia_Comb),"Combustible distribución Oriente "&amp;TEXT(AX71/AW71-1,"+0%")&amp;" sobre norma. ","")&amp;IF(AND(ENTRADA!$C71&lt;&gt;"",C71&lt;PRECIOS!$A$6),"Fecha anterior a la 1ª vigencia de precios. ","")&amp;IF(CD71&lt;0,"Contenedor con pérdida. ",""))</f>
      </c>
    </row>
    <row r="72">
      <c r="A72" s="60">
        <f>IF(B72="","",ROW()-5)</f>
      </c>
      <c r="B72" s="63">
        <f>IF(ENTRADA!$B72="","",ENTRADA!$B72)</f>
      </c>
      <c r="C72" s="64">
        <f>IF(B72="","",ENTRADA!$C72)</f>
      </c>
      <c r="D72" s="65">
        <f>IF(B72="","",DATE(YEAR(C72),MONTH(C72),1))</f>
      </c>
      <c r="E72" s="66">
        <f>IF(B72="","",ENTRADA!$D72&amp;"")</f>
      </c>
      <c r="F72" s="66">
        <f>IF(B72="","",ENTRADA!$Z72&amp;"")</f>
      </c>
      <c r="G72" s="67">
        <f>IF(B72="","",N(ENTRADA!$G72))</f>
      </c>
      <c r="H72" s="67">
        <f>IF(B72="","",N(ENTRADA!$H72))</f>
      </c>
      <c r="I72" s="67">
        <f>IF(B72="","",N(ENTRADA!$I72))</f>
      </c>
      <c r="J72" s="68">
        <f>IF(B72="","",G72+H72+I72)</f>
      </c>
      <c r="K72" s="60">
        <f>IF(B72="","",IFERROR(MATCH(SUMPRODUCT(MAX((PRECIOS!$A$6:$A$55&lt;=C72)*PRECIOS!$A$6:$A$55)),PRECIOS!$A$6:$A$55,0),1))</f>
      </c>
      <c r="L72" s="69">
        <f>IF(B72="","",INDEX(PRECIOS!$A$6:$A$55,K72))</f>
      </c>
      <c r="M72" s="37">
        <f>IF(B72="","",G72*INDEX(PRECIOS!$B$6:$B$55,K72))</f>
      </c>
      <c r="N72" s="37">
        <f>IF(B72="","",H72*INDEX(PRECIOS!$C$6:$C$55,K72))</f>
      </c>
      <c r="O72" s="37">
        <f>IF(B72="","",I72*INDEX(PRECIOS!$D$6:$D$55,K72))</f>
      </c>
      <c r="P72" s="37">
        <f>IF(B72="","",N(ENTRADA!$X72))</f>
      </c>
      <c r="Q72" s="70">
        <f>IF(B72="","",M72+N72+O72+P72)</f>
      </c>
      <c r="R72" s="71">
        <f>IF(B72="","",IF(ENTRADA!$J72="",Std_Viajes_Puerto,ENTRADA!$J72))</f>
      </c>
      <c r="S72" s="37">
        <f>IF(B72="","",R72*INDEX(PRECIOS!$F$6:$F$55,K72))</f>
      </c>
      <c r="T72" s="71">
        <f>IF(B72="","",R72*Litros_Puerto_Viaje)</f>
      </c>
      <c r="U72" s="71">
        <f>IF(B72="","",IF(ENTRADA!$K72="",T72,ENTRADA!$K72))</f>
      </c>
      <c r="V72" s="37">
        <f>IF(B72="","",U72*INDEX(PRECIOS!$E$6:$E$55,K72))</f>
      </c>
      <c r="W72" s="37">
        <f>IF(B72="","",IF(ENTRADA!$L72="",R72*INDEX(PRECIOS!$G$6:$G$55,K72),ENTRADA!$L72))</f>
      </c>
      <c r="X72" s="37">
        <f>IF(B72="","",R72*Km_Puerto_Viaje*INDEX(PRECIOS!$N$6:$N$55,K72))</f>
      </c>
      <c r="Y72" s="70">
        <f>IF(B72="","",S72+V72+W72+X72)</f>
      </c>
      <c r="Z72" s="71">
        <f>IF(B72="","",IF(J72=0,0,ROUNDUP(J72/Rend_Desagrupe,0)))</f>
      </c>
      <c r="AA72" s="71">
        <f>IF(B72="","",IF(ENTRADA!$M72="",Z72,ENTRADA!$M72))</f>
      </c>
      <c r="AB72" s="37">
        <f>IF(B72="","",AA72*INDEX(PRECIOS!$H$6:$H$55,K72))</f>
      </c>
      <c r="AC72" s="37">
        <f>IF(B72="","",IF(E72="ENCI",INDEX(PRECIOS!$J$6:$J$55,K72),IF(E72="A.V",INDEX(PRECIOS!$K$6:$K$55,K72),0)))</f>
      </c>
      <c r="AD72" s="37">
        <f>IF(B72="","",N(ENTRADA!$N72))</f>
      </c>
      <c r="AE72" s="70">
        <f>IF(B72="","",AB72+AC72+AD72)</f>
      </c>
      <c r="AF72" s="71">
        <f>IF(B72="","",IF(G72=0,0,ROUNDUP(G72/Cap_Camion_OCC,0)))</f>
      </c>
      <c r="AG72" s="71">
        <f>IF(B72="","",AF72*L_Dist_OCC)</f>
      </c>
      <c r="AH72" s="71">
        <f>IF(B72="","",IF(ENTRADA!$O72="",AG72,ENTRADA!$O72))</f>
      </c>
      <c r="AI72" s="37">
        <f>IF(B72="","",AH72*INDEX(PRECIOS!$E$6:$E$55,K72))</f>
      </c>
      <c r="AJ72" s="71">
        <f>IF(B72="","",IF(H72=0,0,ROUNDUP(H72/Cap_Camion_CEN,0)))</f>
      </c>
      <c r="AK72" s="71">
        <f>IF(B72="","",AJ72*L_Tras_CEN)</f>
      </c>
      <c r="AL72" s="71">
        <f>IF(B72="","",IF(ENTRADA!$P72="",AK72,ENTRADA!$P72))</f>
      </c>
      <c r="AM72" s="71">
        <f>IF(B72="","",AJ72*L_Dist_CEN)</f>
      </c>
      <c r="AN72" s="71">
        <f>IF(B72="","",IF(ENTRADA!$Q72="",AM72,ENTRADA!$Q72))</f>
      </c>
      <c r="AO72" s="37">
        <f>IF(B72="","",(AL72+AN72)*INDEX(PRECIOS!$E$6:$E$55,K72))</f>
      </c>
      <c r="AP72" s="71">
        <f>IF(B72="","",IF(H72=0,0,ROUNDUP(H72/Rend_Desagrupe_CT,0)))</f>
      </c>
      <c r="AQ72" s="71">
        <f>IF(B72="","",IF(ENTRADA!$R72="",AP72,ENTRADA!$R72))</f>
      </c>
      <c r="AR72" s="37">
        <f>IF(B72="","",AQ72*INDEX(PRECIOS!$I$6:$I$55,K72))</f>
      </c>
      <c r="AS72" s="37">
        <f>IF(B72="","",AO72+AR72)</f>
      </c>
      <c r="AT72" s="71">
        <f>IF(B72="","",IF(I72=0,0,ROUNDUP(I72/Cap_Camion_ORI,0)))</f>
      </c>
      <c r="AU72" s="71">
        <f>IF(B72="","",AT72*L_Tras_ORI)</f>
      </c>
      <c r="AV72" s="71">
        <f>IF(B72="","",IF(ENTRADA!$S72="",AU72,ENTRADA!$S72))</f>
      </c>
      <c r="AW72" s="71">
        <f>IF(B72="","",AT72*L_Dist_ORI)</f>
      </c>
      <c r="AX72" s="71">
        <f>IF(B72="","",IF(ENTRADA!$T72="",AW72,ENTRADA!$T72))</f>
      </c>
      <c r="AY72" s="37">
        <f>IF(B72="","",(AV72+AX72)*INDEX(PRECIOS!$E$6:$E$55,K72))</f>
      </c>
      <c r="AZ72" s="71">
        <f>IF(B72="","",IF(I72=0,0,ROUNDUP(I72/Rend_Desagrupe_CT,0)))</f>
      </c>
      <c r="BA72" s="71">
        <f>IF(B72="","",IF(ENTRADA!$U72="",AZ72,ENTRADA!$U72))</f>
      </c>
      <c r="BB72" s="37">
        <f>IF(B72="","",BA72*INDEX(PRECIOS!$I$6:$I$55,K72))</f>
      </c>
      <c r="BC72" s="37">
        <f>IF(B72="","",AY72+BB72)</f>
      </c>
      <c r="BD72" s="70">
        <f>IF(B72="","",AI72+AS72+BC72)</f>
      </c>
      <c r="BE72" s="37">
        <f>IF(B72="","",IF(Base_Comision="% DEL INGRESO",M72*INDEX(PRECIOS!$L$6:$L$55,K72),G72*INDEX(PRECIOS!$M$6:$M$55,K72)))</f>
      </c>
      <c r="BF72" s="37">
        <f>IF(B72="","",IF(Base_Comision="% DEL INGRESO",N72*INDEX(PRECIOS!$L$6:$L$55,K72),H72*INDEX(PRECIOS!$M$6:$M$55,K72)))</f>
      </c>
      <c r="BG72" s="37">
        <f>IF(B72="","",IF(Base_Comision="% DEL INGRESO",O72*INDEX(PRECIOS!$L$6:$L$55,K72),I72*INDEX(PRECIOS!$M$6:$M$55,K72)))</f>
      </c>
      <c r="BH72" s="70">
        <f>IF(B72="","",BE72+BF72+BG72)</f>
      </c>
      <c r="BI72" s="37">
        <f>IF(B72="","",Q72*Pct_Reclamaciones)</f>
      </c>
      <c r="BJ72" s="37">
        <f>IF(B72="","",Q72*Pct_Banco)</f>
      </c>
      <c r="BK72" s="37">
        <f>IF(B72="","",N(ENTRADA!$V72))</f>
      </c>
      <c r="BL72" s="70">
        <f>IF(B72="","",Y72+AE72+BD72+BH72+BI72+BJ72+BK72)</f>
      </c>
      <c r="BM72" s="70">
        <f>IF(B72="","",Q72-BL72)</f>
      </c>
      <c r="BN72" s="72">
        <f>IF(B72="","",IF(Q72=0,0,BM72/Q72))</f>
      </c>
      <c r="BO72" s="73">
        <f>IF(B72="","",IF(J72=0,0,BM72/J72))</f>
      </c>
      <c r="BP72" s="60">
        <f>IF(B72="","",IFERROR(MATCH(D72,COSTOS_FIJOS!$G$5:$AD$5,0),0))</f>
      </c>
      <c r="BQ72" s="60">
        <f>IF(B72="","",COUNTIFS($D$6:$D$305,D72))</f>
      </c>
      <c r="BR72" s="67">
        <f>IF(B72="","",SUMIFS($J$6:$J$305,$D$6:$D$305,D72))</f>
      </c>
      <c r="BS72" s="72">
        <f>IF(B72="","",IF(Metodo_Prorrateo="KG",IF(BR72=0,0,J72/BR72),1/BQ72))</f>
      </c>
      <c r="BT72" s="37">
        <f>IF(B72="","",IF(BP72=0,0,INDEX(COSTOS_FIJOS!$G$38:$AD$38,BP72))*BS72)</f>
      </c>
      <c r="BU72" s="72">
        <f>IF(B72="","",IF(Metodo_Prorrateo="KG",IF(SUMIFS($G$6:$G$305,$D$6:$D$305,D72)=0,0,G72/SUMIFS($G$6:$G$305,$D$6:$D$305,D72)),IF(G72&gt;0,1/COUNTIFS($D$6:$D$305,D72,$G$6:$G$305,"&gt;0"),0)))</f>
      </c>
      <c r="BV72" s="37">
        <f>IF(B72="","",IF(BP72=0,0,INDEX(COSTOS_FIJOS!$G$39:$AD$39,BP72))*BU72)</f>
      </c>
      <c r="BW72" s="72">
        <f>IF(B72="","",IF(Metodo_Prorrateo="KG",IF(SUMIFS($H$6:$H$305,$D$6:$D$305,D72)=0,0,H72/SUMIFS($H$6:$H$305,$D$6:$D$305,D72)),IF(H72&gt;0,1/COUNTIFS($D$6:$D$305,D72,$H$6:$H$305,"&gt;0"),0)))</f>
      </c>
      <c r="BX72" s="37">
        <f>IF(B72="","",IF(BP72=0,0,INDEX(COSTOS_FIJOS!$G$40:$AD$40,BP72))*BW72)</f>
      </c>
      <c r="BY72" s="72">
        <f>IF(B72="","",IF(Metodo_Prorrateo="KG",IF(SUMIFS($I$6:$I$305,$D$6:$D$305,D72)=0,0,I72/SUMIFS($I$6:$I$305,$D$6:$D$305,D72)),IF(I72&gt;0,1/COUNTIFS($D$6:$D$305,D72,$I$6:$I$305,"&gt;0"),0)))</f>
      </c>
      <c r="BZ72" s="37">
        <f>IF(B72="","",IF(BP72=0,0,INDEX(COSTOS_FIJOS!$G$41:$AD$41,BP72))*BY72)</f>
      </c>
      <c r="CA72" s="70">
        <f>IF(B72="","",BT72+BV72+BX72+BZ72)</f>
      </c>
      <c r="CB72" s="37">
        <f>IF(B72="","",Q72*Imp_Ventas_Serv)</f>
      </c>
      <c r="CC72" s="37">
        <f>IF(B72="","",Q72*Contrib_Territorial)</f>
      </c>
      <c r="CD72" s="70">
        <f>IF(B72="","",BM72-CA72-CB72-CC72)</f>
      </c>
      <c r="CE72" s="37">
        <f>IF(B72="","",MAX(0,CD72)*Imp_Utilidades)</f>
      </c>
      <c r="CF72" s="70">
        <f>IF(B72="","",CD72-CE72)</f>
      </c>
      <c r="CG72" s="72">
        <f>IF(B72="","",IF(Q72=0,0,CF72/Q72))</f>
      </c>
      <c r="CH72" s="73">
        <f>IF(B72="","",IF(J72=0,0,(BL72+CA72+CB72+CC72)/J72))</f>
      </c>
      <c r="CI72" s="73">
        <f>IF(B72="","",IF(J72=0,0,Q72/J72))</f>
      </c>
      <c r="CJ72" s="73">
        <f>IF(B72="","",IF(J72=0,0,CD72/J72))</f>
      </c>
      <c r="CK72" s="37">
        <f>IF(B72="","",Y72+AE72+BK72+BT72)</f>
      </c>
      <c r="CL72" s="37">
        <f>IF(B72="","",IF(J72=0,0,(M72+P72*G72/J72)*(1-Pct_Reclamaciones-Pct_Banco-Imp_Ventas_Serv-Contrib_Territorial)-AI72-BE72-BV72-CK72*G72/J72))</f>
      </c>
      <c r="CM72" s="37">
        <f>IF(B72="","",IF(J72=0,0,(N72+P72*H72/J72)*(1-Pct_Reclamaciones-Pct_Banco-Imp_Ventas_Serv-Contrib_Territorial)-AS72-BF72-BX72-CK72*H72/J72))</f>
      </c>
      <c r="CN72" s="37">
        <f>IF(B72="","",IF(J72=0,0,(O72+P72*I72/J72)*(1-Pct_Reclamaciones-Pct_Banco-Imp_Ventas_Serv-Contrib_Territorial)-BC72-BG72-BZ72-CK72*I72/J72))</f>
      </c>
      <c r="CO72" s="37">
        <f>IF(B72="","",IF(J72=0,0,ROUND(CD72-CL72-CM72-CN72,4)))</f>
      </c>
      <c r="CP72" s="71">
        <f>IF(B72="","",T72+AG72+AK72+AM72+AU72+AW72)</f>
      </c>
      <c r="CQ72" s="71">
        <f>IF(B72="","",U72+AH72+AL72+AN72+AV72+AX72)</f>
      </c>
      <c r="CR72" s="72">
        <f>IF(B72="","",IF(CP72=0,0,CQ72/CP72-1))</f>
      </c>
      <c r="CS72" s="60">
        <f>IF(B72="","",IF(ENTRADA!$Y72="","",ENTRADA!$Y72-C72))</f>
      </c>
      <c r="CT72" s="66">
        <f>IF(B72="","",IF(ENTRADA!$C72="","Falta fecha. ","")&amp;IF(BP72=0,"Mes fuera del rango de COSTOS_FIJOS. ","")&amp;IF(J72=0,"Sin kg. ","")&amp;IF(E72="","Falta transitaria. ","")&amp;IF(AND(T72&gt;0,U72/T72-1&gt;Tolerancia_Comb),"Combustible al puerto "&amp;TEXT(U72/T72-1,"+0%")&amp;" sobre norma. ","")&amp;IF(AND(AG72&gt;0,AH72/AG72-1&gt;Tolerancia_Comb),"Combustible distribución Occidente "&amp;TEXT(AH72/AG72-1,"+0%")&amp;" sobre norma. ","")&amp;IF(AND(AK72&gt;0,AL72/AK72-1&gt;Tolerancia_Comb),"Combustible traslado Centro "&amp;TEXT(AL72/AK72-1,"+0%")&amp;" sobre norma. ","")&amp;IF(AND(AM72&gt;0,AN72/AM72-1&gt;Tolerancia_Comb),"Combustible distribución Centro "&amp;TEXT(AN72/AM72-1,"+0%")&amp;" sobre norma. ","")&amp;IF(AND(AU72&gt;0,AV72/AU72-1&gt;Tolerancia_Comb),"Combustible traslado Oriente "&amp;TEXT(AV72/AU72-1,"+0%")&amp;" sobre norma. ","")&amp;IF(AND(AW72&gt;0,AX72/AW72-1&gt;Tolerancia_Comb),"Combustible distribución Oriente "&amp;TEXT(AX72/AW72-1,"+0%")&amp;" sobre norma. ","")&amp;IF(AND(ENTRADA!$C72&lt;&gt;"",C72&lt;PRECIOS!$A$6),"Fecha anterior a la 1ª vigencia de precios. ","")&amp;IF(CD72&lt;0,"Contenedor con pérdida. ",""))</f>
      </c>
    </row>
    <row r="73">
      <c r="A73" s="60">
        <f>IF(B73="","",ROW()-5)</f>
      </c>
      <c r="B73" s="63">
        <f>IF(ENTRADA!$B73="","",ENTRADA!$B73)</f>
      </c>
      <c r="C73" s="64">
        <f>IF(B73="","",ENTRADA!$C73)</f>
      </c>
      <c r="D73" s="65">
        <f>IF(B73="","",DATE(YEAR(C73),MONTH(C73),1))</f>
      </c>
      <c r="E73" s="66">
        <f>IF(B73="","",ENTRADA!$D73&amp;"")</f>
      </c>
      <c r="F73" s="66">
        <f>IF(B73="","",ENTRADA!$Z73&amp;"")</f>
      </c>
      <c r="G73" s="67">
        <f>IF(B73="","",N(ENTRADA!$G73))</f>
      </c>
      <c r="H73" s="67">
        <f>IF(B73="","",N(ENTRADA!$H73))</f>
      </c>
      <c r="I73" s="67">
        <f>IF(B73="","",N(ENTRADA!$I73))</f>
      </c>
      <c r="J73" s="68">
        <f>IF(B73="","",G73+H73+I73)</f>
      </c>
      <c r="K73" s="60">
        <f>IF(B73="","",IFERROR(MATCH(SUMPRODUCT(MAX((PRECIOS!$A$6:$A$55&lt;=C73)*PRECIOS!$A$6:$A$55)),PRECIOS!$A$6:$A$55,0),1))</f>
      </c>
      <c r="L73" s="69">
        <f>IF(B73="","",INDEX(PRECIOS!$A$6:$A$55,K73))</f>
      </c>
      <c r="M73" s="37">
        <f>IF(B73="","",G73*INDEX(PRECIOS!$B$6:$B$55,K73))</f>
      </c>
      <c r="N73" s="37">
        <f>IF(B73="","",H73*INDEX(PRECIOS!$C$6:$C$55,K73))</f>
      </c>
      <c r="O73" s="37">
        <f>IF(B73="","",I73*INDEX(PRECIOS!$D$6:$D$55,K73))</f>
      </c>
      <c r="P73" s="37">
        <f>IF(B73="","",N(ENTRADA!$X73))</f>
      </c>
      <c r="Q73" s="70">
        <f>IF(B73="","",M73+N73+O73+P73)</f>
      </c>
      <c r="R73" s="71">
        <f>IF(B73="","",IF(ENTRADA!$J73="",Std_Viajes_Puerto,ENTRADA!$J73))</f>
      </c>
      <c r="S73" s="37">
        <f>IF(B73="","",R73*INDEX(PRECIOS!$F$6:$F$55,K73))</f>
      </c>
      <c r="T73" s="71">
        <f>IF(B73="","",R73*Litros_Puerto_Viaje)</f>
      </c>
      <c r="U73" s="71">
        <f>IF(B73="","",IF(ENTRADA!$K73="",T73,ENTRADA!$K73))</f>
      </c>
      <c r="V73" s="37">
        <f>IF(B73="","",U73*INDEX(PRECIOS!$E$6:$E$55,K73))</f>
      </c>
      <c r="W73" s="37">
        <f>IF(B73="","",IF(ENTRADA!$L73="",R73*INDEX(PRECIOS!$G$6:$G$55,K73),ENTRADA!$L73))</f>
      </c>
      <c r="X73" s="37">
        <f>IF(B73="","",R73*Km_Puerto_Viaje*INDEX(PRECIOS!$N$6:$N$55,K73))</f>
      </c>
      <c r="Y73" s="70">
        <f>IF(B73="","",S73+V73+W73+X73)</f>
      </c>
      <c r="Z73" s="71">
        <f>IF(B73="","",IF(J73=0,0,ROUNDUP(J73/Rend_Desagrupe,0)))</f>
      </c>
      <c r="AA73" s="71">
        <f>IF(B73="","",IF(ENTRADA!$M73="",Z73,ENTRADA!$M73))</f>
      </c>
      <c r="AB73" s="37">
        <f>IF(B73="","",AA73*INDEX(PRECIOS!$H$6:$H$55,K73))</f>
      </c>
      <c r="AC73" s="37">
        <f>IF(B73="","",IF(E73="ENCI",INDEX(PRECIOS!$J$6:$J$55,K73),IF(E73="A.V",INDEX(PRECIOS!$K$6:$K$55,K73),0)))</f>
      </c>
      <c r="AD73" s="37">
        <f>IF(B73="","",N(ENTRADA!$N73))</f>
      </c>
      <c r="AE73" s="70">
        <f>IF(B73="","",AB73+AC73+AD73)</f>
      </c>
      <c r="AF73" s="71">
        <f>IF(B73="","",IF(G73=0,0,ROUNDUP(G73/Cap_Camion_OCC,0)))</f>
      </c>
      <c r="AG73" s="71">
        <f>IF(B73="","",AF73*L_Dist_OCC)</f>
      </c>
      <c r="AH73" s="71">
        <f>IF(B73="","",IF(ENTRADA!$O73="",AG73,ENTRADA!$O73))</f>
      </c>
      <c r="AI73" s="37">
        <f>IF(B73="","",AH73*INDEX(PRECIOS!$E$6:$E$55,K73))</f>
      </c>
      <c r="AJ73" s="71">
        <f>IF(B73="","",IF(H73=0,0,ROUNDUP(H73/Cap_Camion_CEN,0)))</f>
      </c>
      <c r="AK73" s="71">
        <f>IF(B73="","",AJ73*L_Tras_CEN)</f>
      </c>
      <c r="AL73" s="71">
        <f>IF(B73="","",IF(ENTRADA!$P73="",AK73,ENTRADA!$P73))</f>
      </c>
      <c r="AM73" s="71">
        <f>IF(B73="","",AJ73*L_Dist_CEN)</f>
      </c>
      <c r="AN73" s="71">
        <f>IF(B73="","",IF(ENTRADA!$Q73="",AM73,ENTRADA!$Q73))</f>
      </c>
      <c r="AO73" s="37">
        <f>IF(B73="","",(AL73+AN73)*INDEX(PRECIOS!$E$6:$E$55,K73))</f>
      </c>
      <c r="AP73" s="71">
        <f>IF(B73="","",IF(H73=0,0,ROUNDUP(H73/Rend_Desagrupe_CT,0)))</f>
      </c>
      <c r="AQ73" s="71">
        <f>IF(B73="","",IF(ENTRADA!$R73="",AP73,ENTRADA!$R73))</f>
      </c>
      <c r="AR73" s="37">
        <f>IF(B73="","",AQ73*INDEX(PRECIOS!$I$6:$I$55,K73))</f>
      </c>
      <c r="AS73" s="37">
        <f>IF(B73="","",AO73+AR73)</f>
      </c>
      <c r="AT73" s="71">
        <f>IF(B73="","",IF(I73=0,0,ROUNDUP(I73/Cap_Camion_ORI,0)))</f>
      </c>
      <c r="AU73" s="71">
        <f>IF(B73="","",AT73*L_Tras_ORI)</f>
      </c>
      <c r="AV73" s="71">
        <f>IF(B73="","",IF(ENTRADA!$S73="",AU73,ENTRADA!$S73))</f>
      </c>
      <c r="AW73" s="71">
        <f>IF(B73="","",AT73*L_Dist_ORI)</f>
      </c>
      <c r="AX73" s="71">
        <f>IF(B73="","",IF(ENTRADA!$T73="",AW73,ENTRADA!$T73))</f>
      </c>
      <c r="AY73" s="37">
        <f>IF(B73="","",(AV73+AX73)*INDEX(PRECIOS!$E$6:$E$55,K73))</f>
      </c>
      <c r="AZ73" s="71">
        <f>IF(B73="","",IF(I73=0,0,ROUNDUP(I73/Rend_Desagrupe_CT,0)))</f>
      </c>
      <c r="BA73" s="71">
        <f>IF(B73="","",IF(ENTRADA!$U73="",AZ73,ENTRADA!$U73))</f>
      </c>
      <c r="BB73" s="37">
        <f>IF(B73="","",BA73*INDEX(PRECIOS!$I$6:$I$55,K73))</f>
      </c>
      <c r="BC73" s="37">
        <f>IF(B73="","",AY73+BB73)</f>
      </c>
      <c r="BD73" s="70">
        <f>IF(B73="","",AI73+AS73+BC73)</f>
      </c>
      <c r="BE73" s="37">
        <f>IF(B73="","",IF(Base_Comision="% DEL INGRESO",M73*INDEX(PRECIOS!$L$6:$L$55,K73),G73*INDEX(PRECIOS!$M$6:$M$55,K73)))</f>
      </c>
      <c r="BF73" s="37">
        <f>IF(B73="","",IF(Base_Comision="% DEL INGRESO",N73*INDEX(PRECIOS!$L$6:$L$55,K73),H73*INDEX(PRECIOS!$M$6:$M$55,K73)))</f>
      </c>
      <c r="BG73" s="37">
        <f>IF(B73="","",IF(Base_Comision="% DEL INGRESO",O73*INDEX(PRECIOS!$L$6:$L$55,K73),I73*INDEX(PRECIOS!$M$6:$M$55,K73)))</f>
      </c>
      <c r="BH73" s="70">
        <f>IF(B73="","",BE73+BF73+BG73)</f>
      </c>
      <c r="BI73" s="37">
        <f>IF(B73="","",Q73*Pct_Reclamaciones)</f>
      </c>
      <c r="BJ73" s="37">
        <f>IF(B73="","",Q73*Pct_Banco)</f>
      </c>
      <c r="BK73" s="37">
        <f>IF(B73="","",N(ENTRADA!$V73))</f>
      </c>
      <c r="BL73" s="70">
        <f>IF(B73="","",Y73+AE73+BD73+BH73+BI73+BJ73+BK73)</f>
      </c>
      <c r="BM73" s="70">
        <f>IF(B73="","",Q73-BL73)</f>
      </c>
      <c r="BN73" s="72">
        <f>IF(B73="","",IF(Q73=0,0,BM73/Q73))</f>
      </c>
      <c r="BO73" s="73">
        <f>IF(B73="","",IF(J73=0,0,BM73/J73))</f>
      </c>
      <c r="BP73" s="60">
        <f>IF(B73="","",IFERROR(MATCH(D73,COSTOS_FIJOS!$G$5:$AD$5,0),0))</f>
      </c>
      <c r="BQ73" s="60">
        <f>IF(B73="","",COUNTIFS($D$6:$D$305,D73))</f>
      </c>
      <c r="BR73" s="67">
        <f>IF(B73="","",SUMIFS($J$6:$J$305,$D$6:$D$305,D73))</f>
      </c>
      <c r="BS73" s="72">
        <f>IF(B73="","",IF(Metodo_Prorrateo="KG",IF(BR73=0,0,J73/BR73),1/BQ73))</f>
      </c>
      <c r="BT73" s="37">
        <f>IF(B73="","",IF(BP73=0,0,INDEX(COSTOS_FIJOS!$G$38:$AD$38,BP73))*BS73)</f>
      </c>
      <c r="BU73" s="72">
        <f>IF(B73="","",IF(Metodo_Prorrateo="KG",IF(SUMIFS($G$6:$G$305,$D$6:$D$305,D73)=0,0,G73/SUMIFS($G$6:$G$305,$D$6:$D$305,D73)),IF(G73&gt;0,1/COUNTIFS($D$6:$D$305,D73,$G$6:$G$305,"&gt;0"),0)))</f>
      </c>
      <c r="BV73" s="37">
        <f>IF(B73="","",IF(BP73=0,0,INDEX(COSTOS_FIJOS!$G$39:$AD$39,BP73))*BU73)</f>
      </c>
      <c r="BW73" s="72">
        <f>IF(B73="","",IF(Metodo_Prorrateo="KG",IF(SUMIFS($H$6:$H$305,$D$6:$D$305,D73)=0,0,H73/SUMIFS($H$6:$H$305,$D$6:$D$305,D73)),IF(H73&gt;0,1/COUNTIFS($D$6:$D$305,D73,$H$6:$H$305,"&gt;0"),0)))</f>
      </c>
      <c r="BX73" s="37">
        <f>IF(B73="","",IF(BP73=0,0,INDEX(COSTOS_FIJOS!$G$40:$AD$40,BP73))*BW73)</f>
      </c>
      <c r="BY73" s="72">
        <f>IF(B73="","",IF(Metodo_Prorrateo="KG",IF(SUMIFS($I$6:$I$305,$D$6:$D$305,D73)=0,0,I73/SUMIFS($I$6:$I$305,$D$6:$D$305,D73)),IF(I73&gt;0,1/COUNTIFS($D$6:$D$305,D73,$I$6:$I$305,"&gt;0"),0)))</f>
      </c>
      <c r="BZ73" s="37">
        <f>IF(B73="","",IF(BP73=0,0,INDEX(COSTOS_FIJOS!$G$41:$AD$41,BP73))*BY73)</f>
      </c>
      <c r="CA73" s="70">
        <f>IF(B73="","",BT73+BV73+BX73+BZ73)</f>
      </c>
      <c r="CB73" s="37">
        <f>IF(B73="","",Q73*Imp_Ventas_Serv)</f>
      </c>
      <c r="CC73" s="37">
        <f>IF(B73="","",Q73*Contrib_Territorial)</f>
      </c>
      <c r="CD73" s="70">
        <f>IF(B73="","",BM73-CA73-CB73-CC73)</f>
      </c>
      <c r="CE73" s="37">
        <f>IF(B73="","",MAX(0,CD73)*Imp_Utilidades)</f>
      </c>
      <c r="CF73" s="70">
        <f>IF(B73="","",CD73-CE73)</f>
      </c>
      <c r="CG73" s="72">
        <f>IF(B73="","",IF(Q73=0,0,CF73/Q73))</f>
      </c>
      <c r="CH73" s="73">
        <f>IF(B73="","",IF(J73=0,0,(BL73+CA73+CB73+CC73)/J73))</f>
      </c>
      <c r="CI73" s="73">
        <f>IF(B73="","",IF(J73=0,0,Q73/J73))</f>
      </c>
      <c r="CJ73" s="73">
        <f>IF(B73="","",IF(J73=0,0,CD73/J73))</f>
      </c>
      <c r="CK73" s="37">
        <f>IF(B73="","",Y73+AE73+BK73+BT73)</f>
      </c>
      <c r="CL73" s="37">
        <f>IF(B73="","",IF(J73=0,0,(M73+P73*G73/J73)*(1-Pct_Reclamaciones-Pct_Banco-Imp_Ventas_Serv-Contrib_Territorial)-AI73-BE73-BV73-CK73*G73/J73))</f>
      </c>
      <c r="CM73" s="37">
        <f>IF(B73="","",IF(J73=0,0,(N73+P73*H73/J73)*(1-Pct_Reclamaciones-Pct_Banco-Imp_Ventas_Serv-Contrib_Territorial)-AS73-BF73-BX73-CK73*H73/J73))</f>
      </c>
      <c r="CN73" s="37">
        <f>IF(B73="","",IF(J73=0,0,(O73+P73*I73/J73)*(1-Pct_Reclamaciones-Pct_Banco-Imp_Ventas_Serv-Contrib_Territorial)-BC73-BG73-BZ73-CK73*I73/J73))</f>
      </c>
      <c r="CO73" s="37">
        <f>IF(B73="","",IF(J73=0,0,ROUND(CD73-CL73-CM73-CN73,4)))</f>
      </c>
      <c r="CP73" s="71">
        <f>IF(B73="","",T73+AG73+AK73+AM73+AU73+AW73)</f>
      </c>
      <c r="CQ73" s="71">
        <f>IF(B73="","",U73+AH73+AL73+AN73+AV73+AX73)</f>
      </c>
      <c r="CR73" s="72">
        <f>IF(B73="","",IF(CP73=0,0,CQ73/CP73-1))</f>
      </c>
      <c r="CS73" s="60">
        <f>IF(B73="","",IF(ENTRADA!$Y73="","",ENTRADA!$Y73-C73))</f>
      </c>
      <c r="CT73" s="66">
        <f>IF(B73="","",IF(ENTRADA!$C73="","Falta fecha. ","")&amp;IF(BP73=0,"Mes fuera del rango de COSTOS_FIJOS. ","")&amp;IF(J73=0,"Sin kg. ","")&amp;IF(E73="","Falta transitaria. ","")&amp;IF(AND(T73&gt;0,U73/T73-1&gt;Tolerancia_Comb),"Combustible al puerto "&amp;TEXT(U73/T73-1,"+0%")&amp;" sobre norma. ","")&amp;IF(AND(AG73&gt;0,AH73/AG73-1&gt;Tolerancia_Comb),"Combustible distribución Occidente "&amp;TEXT(AH73/AG73-1,"+0%")&amp;" sobre norma. ","")&amp;IF(AND(AK73&gt;0,AL73/AK73-1&gt;Tolerancia_Comb),"Combustible traslado Centro "&amp;TEXT(AL73/AK73-1,"+0%")&amp;" sobre norma. ","")&amp;IF(AND(AM73&gt;0,AN73/AM73-1&gt;Tolerancia_Comb),"Combustible distribución Centro "&amp;TEXT(AN73/AM73-1,"+0%")&amp;" sobre norma. ","")&amp;IF(AND(AU73&gt;0,AV73/AU73-1&gt;Tolerancia_Comb),"Combustible traslado Oriente "&amp;TEXT(AV73/AU73-1,"+0%")&amp;" sobre norma. ","")&amp;IF(AND(AW73&gt;0,AX73/AW73-1&gt;Tolerancia_Comb),"Combustible distribución Oriente "&amp;TEXT(AX73/AW73-1,"+0%")&amp;" sobre norma. ","")&amp;IF(AND(ENTRADA!$C73&lt;&gt;"",C73&lt;PRECIOS!$A$6),"Fecha anterior a la 1ª vigencia de precios. ","")&amp;IF(CD73&lt;0,"Contenedor con pérdida. ",""))</f>
      </c>
    </row>
    <row r="74">
      <c r="A74" s="60">
        <f>IF(B74="","",ROW()-5)</f>
      </c>
      <c r="B74" s="63">
        <f>IF(ENTRADA!$B74="","",ENTRADA!$B74)</f>
      </c>
      <c r="C74" s="64">
        <f>IF(B74="","",ENTRADA!$C74)</f>
      </c>
      <c r="D74" s="65">
        <f>IF(B74="","",DATE(YEAR(C74),MONTH(C74),1))</f>
      </c>
      <c r="E74" s="66">
        <f>IF(B74="","",ENTRADA!$D74&amp;"")</f>
      </c>
      <c r="F74" s="66">
        <f>IF(B74="","",ENTRADA!$Z74&amp;"")</f>
      </c>
      <c r="G74" s="67">
        <f>IF(B74="","",N(ENTRADA!$G74))</f>
      </c>
      <c r="H74" s="67">
        <f>IF(B74="","",N(ENTRADA!$H74))</f>
      </c>
      <c r="I74" s="67">
        <f>IF(B74="","",N(ENTRADA!$I74))</f>
      </c>
      <c r="J74" s="68">
        <f>IF(B74="","",G74+H74+I74)</f>
      </c>
      <c r="K74" s="60">
        <f>IF(B74="","",IFERROR(MATCH(SUMPRODUCT(MAX((PRECIOS!$A$6:$A$55&lt;=C74)*PRECIOS!$A$6:$A$55)),PRECIOS!$A$6:$A$55,0),1))</f>
      </c>
      <c r="L74" s="69">
        <f>IF(B74="","",INDEX(PRECIOS!$A$6:$A$55,K74))</f>
      </c>
      <c r="M74" s="37">
        <f>IF(B74="","",G74*INDEX(PRECIOS!$B$6:$B$55,K74))</f>
      </c>
      <c r="N74" s="37">
        <f>IF(B74="","",H74*INDEX(PRECIOS!$C$6:$C$55,K74))</f>
      </c>
      <c r="O74" s="37">
        <f>IF(B74="","",I74*INDEX(PRECIOS!$D$6:$D$55,K74))</f>
      </c>
      <c r="P74" s="37">
        <f>IF(B74="","",N(ENTRADA!$X74))</f>
      </c>
      <c r="Q74" s="70">
        <f>IF(B74="","",M74+N74+O74+P74)</f>
      </c>
      <c r="R74" s="71">
        <f>IF(B74="","",IF(ENTRADA!$J74="",Std_Viajes_Puerto,ENTRADA!$J74))</f>
      </c>
      <c r="S74" s="37">
        <f>IF(B74="","",R74*INDEX(PRECIOS!$F$6:$F$55,K74))</f>
      </c>
      <c r="T74" s="71">
        <f>IF(B74="","",R74*Litros_Puerto_Viaje)</f>
      </c>
      <c r="U74" s="71">
        <f>IF(B74="","",IF(ENTRADA!$K74="",T74,ENTRADA!$K74))</f>
      </c>
      <c r="V74" s="37">
        <f>IF(B74="","",U74*INDEX(PRECIOS!$E$6:$E$55,K74))</f>
      </c>
      <c r="W74" s="37">
        <f>IF(B74="","",IF(ENTRADA!$L74="",R74*INDEX(PRECIOS!$G$6:$G$55,K74),ENTRADA!$L74))</f>
      </c>
      <c r="X74" s="37">
        <f>IF(B74="","",R74*Km_Puerto_Viaje*INDEX(PRECIOS!$N$6:$N$55,K74))</f>
      </c>
      <c r="Y74" s="70">
        <f>IF(B74="","",S74+V74+W74+X74)</f>
      </c>
      <c r="Z74" s="71">
        <f>IF(B74="","",IF(J74=0,0,ROUNDUP(J74/Rend_Desagrupe,0)))</f>
      </c>
      <c r="AA74" s="71">
        <f>IF(B74="","",IF(ENTRADA!$M74="",Z74,ENTRADA!$M74))</f>
      </c>
      <c r="AB74" s="37">
        <f>IF(B74="","",AA74*INDEX(PRECIOS!$H$6:$H$55,K74))</f>
      </c>
      <c r="AC74" s="37">
        <f>IF(B74="","",IF(E74="ENCI",INDEX(PRECIOS!$J$6:$J$55,K74),IF(E74="A.V",INDEX(PRECIOS!$K$6:$K$55,K74),0)))</f>
      </c>
      <c r="AD74" s="37">
        <f>IF(B74="","",N(ENTRADA!$N74))</f>
      </c>
      <c r="AE74" s="70">
        <f>IF(B74="","",AB74+AC74+AD74)</f>
      </c>
      <c r="AF74" s="71">
        <f>IF(B74="","",IF(G74=0,0,ROUNDUP(G74/Cap_Camion_OCC,0)))</f>
      </c>
      <c r="AG74" s="71">
        <f>IF(B74="","",AF74*L_Dist_OCC)</f>
      </c>
      <c r="AH74" s="71">
        <f>IF(B74="","",IF(ENTRADA!$O74="",AG74,ENTRADA!$O74))</f>
      </c>
      <c r="AI74" s="37">
        <f>IF(B74="","",AH74*INDEX(PRECIOS!$E$6:$E$55,K74))</f>
      </c>
      <c r="AJ74" s="71">
        <f>IF(B74="","",IF(H74=0,0,ROUNDUP(H74/Cap_Camion_CEN,0)))</f>
      </c>
      <c r="AK74" s="71">
        <f>IF(B74="","",AJ74*L_Tras_CEN)</f>
      </c>
      <c r="AL74" s="71">
        <f>IF(B74="","",IF(ENTRADA!$P74="",AK74,ENTRADA!$P74))</f>
      </c>
      <c r="AM74" s="71">
        <f>IF(B74="","",AJ74*L_Dist_CEN)</f>
      </c>
      <c r="AN74" s="71">
        <f>IF(B74="","",IF(ENTRADA!$Q74="",AM74,ENTRADA!$Q74))</f>
      </c>
      <c r="AO74" s="37">
        <f>IF(B74="","",(AL74+AN74)*INDEX(PRECIOS!$E$6:$E$55,K74))</f>
      </c>
      <c r="AP74" s="71">
        <f>IF(B74="","",IF(H74=0,0,ROUNDUP(H74/Rend_Desagrupe_CT,0)))</f>
      </c>
      <c r="AQ74" s="71">
        <f>IF(B74="","",IF(ENTRADA!$R74="",AP74,ENTRADA!$R74))</f>
      </c>
      <c r="AR74" s="37">
        <f>IF(B74="","",AQ74*INDEX(PRECIOS!$I$6:$I$55,K74))</f>
      </c>
      <c r="AS74" s="37">
        <f>IF(B74="","",AO74+AR74)</f>
      </c>
      <c r="AT74" s="71">
        <f>IF(B74="","",IF(I74=0,0,ROUNDUP(I74/Cap_Camion_ORI,0)))</f>
      </c>
      <c r="AU74" s="71">
        <f>IF(B74="","",AT74*L_Tras_ORI)</f>
      </c>
      <c r="AV74" s="71">
        <f>IF(B74="","",IF(ENTRADA!$S74="",AU74,ENTRADA!$S74))</f>
      </c>
      <c r="AW74" s="71">
        <f>IF(B74="","",AT74*L_Dist_ORI)</f>
      </c>
      <c r="AX74" s="71">
        <f>IF(B74="","",IF(ENTRADA!$T74="",AW74,ENTRADA!$T74))</f>
      </c>
      <c r="AY74" s="37">
        <f>IF(B74="","",(AV74+AX74)*INDEX(PRECIOS!$E$6:$E$55,K74))</f>
      </c>
      <c r="AZ74" s="71">
        <f>IF(B74="","",IF(I74=0,0,ROUNDUP(I74/Rend_Desagrupe_CT,0)))</f>
      </c>
      <c r="BA74" s="71">
        <f>IF(B74="","",IF(ENTRADA!$U74="",AZ74,ENTRADA!$U74))</f>
      </c>
      <c r="BB74" s="37">
        <f>IF(B74="","",BA74*INDEX(PRECIOS!$I$6:$I$55,K74))</f>
      </c>
      <c r="BC74" s="37">
        <f>IF(B74="","",AY74+BB74)</f>
      </c>
      <c r="BD74" s="70">
        <f>IF(B74="","",AI74+AS74+BC74)</f>
      </c>
      <c r="BE74" s="37">
        <f>IF(B74="","",IF(Base_Comision="% DEL INGRESO",M74*INDEX(PRECIOS!$L$6:$L$55,K74),G74*INDEX(PRECIOS!$M$6:$M$55,K74)))</f>
      </c>
      <c r="BF74" s="37">
        <f>IF(B74="","",IF(Base_Comision="% DEL INGRESO",N74*INDEX(PRECIOS!$L$6:$L$55,K74),H74*INDEX(PRECIOS!$M$6:$M$55,K74)))</f>
      </c>
      <c r="BG74" s="37">
        <f>IF(B74="","",IF(Base_Comision="% DEL INGRESO",O74*INDEX(PRECIOS!$L$6:$L$55,K74),I74*INDEX(PRECIOS!$M$6:$M$55,K74)))</f>
      </c>
      <c r="BH74" s="70">
        <f>IF(B74="","",BE74+BF74+BG74)</f>
      </c>
      <c r="BI74" s="37">
        <f>IF(B74="","",Q74*Pct_Reclamaciones)</f>
      </c>
      <c r="BJ74" s="37">
        <f>IF(B74="","",Q74*Pct_Banco)</f>
      </c>
      <c r="BK74" s="37">
        <f>IF(B74="","",N(ENTRADA!$V74))</f>
      </c>
      <c r="BL74" s="70">
        <f>IF(B74="","",Y74+AE74+BD74+BH74+BI74+BJ74+BK74)</f>
      </c>
      <c r="BM74" s="70">
        <f>IF(B74="","",Q74-BL74)</f>
      </c>
      <c r="BN74" s="72">
        <f>IF(B74="","",IF(Q74=0,0,BM74/Q74))</f>
      </c>
      <c r="BO74" s="73">
        <f>IF(B74="","",IF(J74=0,0,BM74/J74))</f>
      </c>
      <c r="BP74" s="60">
        <f>IF(B74="","",IFERROR(MATCH(D74,COSTOS_FIJOS!$G$5:$AD$5,0),0))</f>
      </c>
      <c r="BQ74" s="60">
        <f>IF(B74="","",COUNTIFS($D$6:$D$305,D74))</f>
      </c>
      <c r="BR74" s="67">
        <f>IF(B74="","",SUMIFS($J$6:$J$305,$D$6:$D$305,D74))</f>
      </c>
      <c r="BS74" s="72">
        <f>IF(B74="","",IF(Metodo_Prorrateo="KG",IF(BR74=0,0,J74/BR74),1/BQ74))</f>
      </c>
      <c r="BT74" s="37">
        <f>IF(B74="","",IF(BP74=0,0,INDEX(COSTOS_FIJOS!$G$38:$AD$38,BP74))*BS74)</f>
      </c>
      <c r="BU74" s="72">
        <f>IF(B74="","",IF(Metodo_Prorrateo="KG",IF(SUMIFS($G$6:$G$305,$D$6:$D$305,D74)=0,0,G74/SUMIFS($G$6:$G$305,$D$6:$D$305,D74)),IF(G74&gt;0,1/COUNTIFS($D$6:$D$305,D74,$G$6:$G$305,"&gt;0"),0)))</f>
      </c>
      <c r="BV74" s="37">
        <f>IF(B74="","",IF(BP74=0,0,INDEX(COSTOS_FIJOS!$G$39:$AD$39,BP74))*BU74)</f>
      </c>
      <c r="BW74" s="72">
        <f>IF(B74="","",IF(Metodo_Prorrateo="KG",IF(SUMIFS($H$6:$H$305,$D$6:$D$305,D74)=0,0,H74/SUMIFS($H$6:$H$305,$D$6:$D$305,D74)),IF(H74&gt;0,1/COUNTIFS($D$6:$D$305,D74,$H$6:$H$305,"&gt;0"),0)))</f>
      </c>
      <c r="BX74" s="37">
        <f>IF(B74="","",IF(BP74=0,0,INDEX(COSTOS_FIJOS!$G$40:$AD$40,BP74))*BW74)</f>
      </c>
      <c r="BY74" s="72">
        <f>IF(B74="","",IF(Metodo_Prorrateo="KG",IF(SUMIFS($I$6:$I$305,$D$6:$D$305,D74)=0,0,I74/SUMIFS($I$6:$I$305,$D$6:$D$305,D74)),IF(I74&gt;0,1/COUNTIFS($D$6:$D$305,D74,$I$6:$I$305,"&gt;0"),0)))</f>
      </c>
      <c r="BZ74" s="37">
        <f>IF(B74="","",IF(BP74=0,0,INDEX(COSTOS_FIJOS!$G$41:$AD$41,BP74))*BY74)</f>
      </c>
      <c r="CA74" s="70">
        <f>IF(B74="","",BT74+BV74+BX74+BZ74)</f>
      </c>
      <c r="CB74" s="37">
        <f>IF(B74="","",Q74*Imp_Ventas_Serv)</f>
      </c>
      <c r="CC74" s="37">
        <f>IF(B74="","",Q74*Contrib_Territorial)</f>
      </c>
      <c r="CD74" s="70">
        <f>IF(B74="","",BM74-CA74-CB74-CC74)</f>
      </c>
      <c r="CE74" s="37">
        <f>IF(B74="","",MAX(0,CD74)*Imp_Utilidades)</f>
      </c>
      <c r="CF74" s="70">
        <f>IF(B74="","",CD74-CE74)</f>
      </c>
      <c r="CG74" s="72">
        <f>IF(B74="","",IF(Q74=0,0,CF74/Q74))</f>
      </c>
      <c r="CH74" s="73">
        <f>IF(B74="","",IF(J74=0,0,(BL74+CA74+CB74+CC74)/J74))</f>
      </c>
      <c r="CI74" s="73">
        <f>IF(B74="","",IF(J74=0,0,Q74/J74))</f>
      </c>
      <c r="CJ74" s="73">
        <f>IF(B74="","",IF(J74=0,0,CD74/J74))</f>
      </c>
      <c r="CK74" s="37">
        <f>IF(B74="","",Y74+AE74+BK74+BT74)</f>
      </c>
      <c r="CL74" s="37">
        <f>IF(B74="","",IF(J74=0,0,(M74+P74*G74/J74)*(1-Pct_Reclamaciones-Pct_Banco-Imp_Ventas_Serv-Contrib_Territorial)-AI74-BE74-BV74-CK74*G74/J74))</f>
      </c>
      <c r="CM74" s="37">
        <f>IF(B74="","",IF(J74=0,0,(N74+P74*H74/J74)*(1-Pct_Reclamaciones-Pct_Banco-Imp_Ventas_Serv-Contrib_Territorial)-AS74-BF74-BX74-CK74*H74/J74))</f>
      </c>
      <c r="CN74" s="37">
        <f>IF(B74="","",IF(J74=0,0,(O74+P74*I74/J74)*(1-Pct_Reclamaciones-Pct_Banco-Imp_Ventas_Serv-Contrib_Territorial)-BC74-BG74-BZ74-CK74*I74/J74))</f>
      </c>
      <c r="CO74" s="37">
        <f>IF(B74="","",IF(J74=0,0,ROUND(CD74-CL74-CM74-CN74,4)))</f>
      </c>
      <c r="CP74" s="71">
        <f>IF(B74="","",T74+AG74+AK74+AM74+AU74+AW74)</f>
      </c>
      <c r="CQ74" s="71">
        <f>IF(B74="","",U74+AH74+AL74+AN74+AV74+AX74)</f>
      </c>
      <c r="CR74" s="72">
        <f>IF(B74="","",IF(CP74=0,0,CQ74/CP74-1))</f>
      </c>
      <c r="CS74" s="60">
        <f>IF(B74="","",IF(ENTRADA!$Y74="","",ENTRADA!$Y74-C74))</f>
      </c>
      <c r="CT74" s="66">
        <f>IF(B74="","",IF(ENTRADA!$C74="","Falta fecha. ","")&amp;IF(BP74=0,"Mes fuera del rango de COSTOS_FIJOS. ","")&amp;IF(J74=0,"Sin kg. ","")&amp;IF(E74="","Falta transitaria. ","")&amp;IF(AND(T74&gt;0,U74/T74-1&gt;Tolerancia_Comb),"Combustible al puerto "&amp;TEXT(U74/T74-1,"+0%")&amp;" sobre norma. ","")&amp;IF(AND(AG74&gt;0,AH74/AG74-1&gt;Tolerancia_Comb),"Combustible distribución Occidente "&amp;TEXT(AH74/AG74-1,"+0%")&amp;" sobre norma. ","")&amp;IF(AND(AK74&gt;0,AL74/AK74-1&gt;Tolerancia_Comb),"Combustible traslado Centro "&amp;TEXT(AL74/AK74-1,"+0%")&amp;" sobre norma. ","")&amp;IF(AND(AM74&gt;0,AN74/AM74-1&gt;Tolerancia_Comb),"Combustible distribución Centro "&amp;TEXT(AN74/AM74-1,"+0%")&amp;" sobre norma. ","")&amp;IF(AND(AU74&gt;0,AV74/AU74-1&gt;Tolerancia_Comb),"Combustible traslado Oriente "&amp;TEXT(AV74/AU74-1,"+0%")&amp;" sobre norma. ","")&amp;IF(AND(AW74&gt;0,AX74/AW74-1&gt;Tolerancia_Comb),"Combustible distribución Oriente "&amp;TEXT(AX74/AW74-1,"+0%")&amp;" sobre norma. ","")&amp;IF(AND(ENTRADA!$C74&lt;&gt;"",C74&lt;PRECIOS!$A$6),"Fecha anterior a la 1ª vigencia de precios. ","")&amp;IF(CD74&lt;0,"Contenedor con pérdida. ",""))</f>
      </c>
    </row>
    <row r="75">
      <c r="A75" s="60">
        <f>IF(B75="","",ROW()-5)</f>
      </c>
      <c r="B75" s="63">
        <f>IF(ENTRADA!$B75="","",ENTRADA!$B75)</f>
      </c>
      <c r="C75" s="64">
        <f>IF(B75="","",ENTRADA!$C75)</f>
      </c>
      <c r="D75" s="65">
        <f>IF(B75="","",DATE(YEAR(C75),MONTH(C75),1))</f>
      </c>
      <c r="E75" s="66">
        <f>IF(B75="","",ENTRADA!$D75&amp;"")</f>
      </c>
      <c r="F75" s="66">
        <f>IF(B75="","",ENTRADA!$Z75&amp;"")</f>
      </c>
      <c r="G75" s="67">
        <f>IF(B75="","",N(ENTRADA!$G75))</f>
      </c>
      <c r="H75" s="67">
        <f>IF(B75="","",N(ENTRADA!$H75))</f>
      </c>
      <c r="I75" s="67">
        <f>IF(B75="","",N(ENTRADA!$I75))</f>
      </c>
      <c r="J75" s="68">
        <f>IF(B75="","",G75+H75+I75)</f>
      </c>
      <c r="K75" s="60">
        <f>IF(B75="","",IFERROR(MATCH(SUMPRODUCT(MAX((PRECIOS!$A$6:$A$55&lt;=C75)*PRECIOS!$A$6:$A$55)),PRECIOS!$A$6:$A$55,0),1))</f>
      </c>
      <c r="L75" s="69">
        <f>IF(B75="","",INDEX(PRECIOS!$A$6:$A$55,K75))</f>
      </c>
      <c r="M75" s="37">
        <f>IF(B75="","",G75*INDEX(PRECIOS!$B$6:$B$55,K75))</f>
      </c>
      <c r="N75" s="37">
        <f>IF(B75="","",H75*INDEX(PRECIOS!$C$6:$C$55,K75))</f>
      </c>
      <c r="O75" s="37">
        <f>IF(B75="","",I75*INDEX(PRECIOS!$D$6:$D$55,K75))</f>
      </c>
      <c r="P75" s="37">
        <f>IF(B75="","",N(ENTRADA!$X75))</f>
      </c>
      <c r="Q75" s="70">
        <f>IF(B75="","",M75+N75+O75+P75)</f>
      </c>
      <c r="R75" s="71">
        <f>IF(B75="","",IF(ENTRADA!$J75="",Std_Viajes_Puerto,ENTRADA!$J75))</f>
      </c>
      <c r="S75" s="37">
        <f>IF(B75="","",R75*INDEX(PRECIOS!$F$6:$F$55,K75))</f>
      </c>
      <c r="T75" s="71">
        <f>IF(B75="","",R75*Litros_Puerto_Viaje)</f>
      </c>
      <c r="U75" s="71">
        <f>IF(B75="","",IF(ENTRADA!$K75="",T75,ENTRADA!$K75))</f>
      </c>
      <c r="V75" s="37">
        <f>IF(B75="","",U75*INDEX(PRECIOS!$E$6:$E$55,K75))</f>
      </c>
      <c r="W75" s="37">
        <f>IF(B75="","",IF(ENTRADA!$L75="",R75*INDEX(PRECIOS!$G$6:$G$55,K75),ENTRADA!$L75))</f>
      </c>
      <c r="X75" s="37">
        <f>IF(B75="","",R75*Km_Puerto_Viaje*INDEX(PRECIOS!$N$6:$N$55,K75))</f>
      </c>
      <c r="Y75" s="70">
        <f>IF(B75="","",S75+V75+W75+X75)</f>
      </c>
      <c r="Z75" s="71">
        <f>IF(B75="","",IF(J75=0,0,ROUNDUP(J75/Rend_Desagrupe,0)))</f>
      </c>
      <c r="AA75" s="71">
        <f>IF(B75="","",IF(ENTRADA!$M75="",Z75,ENTRADA!$M75))</f>
      </c>
      <c r="AB75" s="37">
        <f>IF(B75="","",AA75*INDEX(PRECIOS!$H$6:$H$55,K75))</f>
      </c>
      <c r="AC75" s="37">
        <f>IF(B75="","",IF(E75="ENCI",INDEX(PRECIOS!$J$6:$J$55,K75),IF(E75="A.V",INDEX(PRECIOS!$K$6:$K$55,K75),0)))</f>
      </c>
      <c r="AD75" s="37">
        <f>IF(B75="","",N(ENTRADA!$N75))</f>
      </c>
      <c r="AE75" s="70">
        <f>IF(B75="","",AB75+AC75+AD75)</f>
      </c>
      <c r="AF75" s="71">
        <f>IF(B75="","",IF(G75=0,0,ROUNDUP(G75/Cap_Camion_OCC,0)))</f>
      </c>
      <c r="AG75" s="71">
        <f>IF(B75="","",AF75*L_Dist_OCC)</f>
      </c>
      <c r="AH75" s="71">
        <f>IF(B75="","",IF(ENTRADA!$O75="",AG75,ENTRADA!$O75))</f>
      </c>
      <c r="AI75" s="37">
        <f>IF(B75="","",AH75*INDEX(PRECIOS!$E$6:$E$55,K75))</f>
      </c>
      <c r="AJ75" s="71">
        <f>IF(B75="","",IF(H75=0,0,ROUNDUP(H75/Cap_Camion_CEN,0)))</f>
      </c>
      <c r="AK75" s="71">
        <f>IF(B75="","",AJ75*L_Tras_CEN)</f>
      </c>
      <c r="AL75" s="71">
        <f>IF(B75="","",IF(ENTRADA!$P75="",AK75,ENTRADA!$P75))</f>
      </c>
      <c r="AM75" s="71">
        <f>IF(B75="","",AJ75*L_Dist_CEN)</f>
      </c>
      <c r="AN75" s="71">
        <f>IF(B75="","",IF(ENTRADA!$Q75="",AM75,ENTRADA!$Q75))</f>
      </c>
      <c r="AO75" s="37">
        <f>IF(B75="","",(AL75+AN75)*INDEX(PRECIOS!$E$6:$E$55,K75))</f>
      </c>
      <c r="AP75" s="71">
        <f>IF(B75="","",IF(H75=0,0,ROUNDUP(H75/Rend_Desagrupe_CT,0)))</f>
      </c>
      <c r="AQ75" s="71">
        <f>IF(B75="","",IF(ENTRADA!$R75="",AP75,ENTRADA!$R75))</f>
      </c>
      <c r="AR75" s="37">
        <f>IF(B75="","",AQ75*INDEX(PRECIOS!$I$6:$I$55,K75))</f>
      </c>
      <c r="AS75" s="37">
        <f>IF(B75="","",AO75+AR75)</f>
      </c>
      <c r="AT75" s="71">
        <f>IF(B75="","",IF(I75=0,0,ROUNDUP(I75/Cap_Camion_ORI,0)))</f>
      </c>
      <c r="AU75" s="71">
        <f>IF(B75="","",AT75*L_Tras_ORI)</f>
      </c>
      <c r="AV75" s="71">
        <f>IF(B75="","",IF(ENTRADA!$S75="",AU75,ENTRADA!$S75))</f>
      </c>
      <c r="AW75" s="71">
        <f>IF(B75="","",AT75*L_Dist_ORI)</f>
      </c>
      <c r="AX75" s="71">
        <f>IF(B75="","",IF(ENTRADA!$T75="",AW75,ENTRADA!$T75))</f>
      </c>
      <c r="AY75" s="37">
        <f>IF(B75="","",(AV75+AX75)*INDEX(PRECIOS!$E$6:$E$55,K75))</f>
      </c>
      <c r="AZ75" s="71">
        <f>IF(B75="","",IF(I75=0,0,ROUNDUP(I75/Rend_Desagrupe_CT,0)))</f>
      </c>
      <c r="BA75" s="71">
        <f>IF(B75="","",IF(ENTRADA!$U75="",AZ75,ENTRADA!$U75))</f>
      </c>
      <c r="BB75" s="37">
        <f>IF(B75="","",BA75*INDEX(PRECIOS!$I$6:$I$55,K75))</f>
      </c>
      <c r="BC75" s="37">
        <f>IF(B75="","",AY75+BB75)</f>
      </c>
      <c r="BD75" s="70">
        <f>IF(B75="","",AI75+AS75+BC75)</f>
      </c>
      <c r="BE75" s="37">
        <f>IF(B75="","",IF(Base_Comision="% DEL INGRESO",M75*INDEX(PRECIOS!$L$6:$L$55,K75),G75*INDEX(PRECIOS!$M$6:$M$55,K75)))</f>
      </c>
      <c r="BF75" s="37">
        <f>IF(B75="","",IF(Base_Comision="% DEL INGRESO",N75*INDEX(PRECIOS!$L$6:$L$55,K75),H75*INDEX(PRECIOS!$M$6:$M$55,K75)))</f>
      </c>
      <c r="BG75" s="37">
        <f>IF(B75="","",IF(Base_Comision="% DEL INGRESO",O75*INDEX(PRECIOS!$L$6:$L$55,K75),I75*INDEX(PRECIOS!$M$6:$M$55,K75)))</f>
      </c>
      <c r="BH75" s="70">
        <f>IF(B75="","",BE75+BF75+BG75)</f>
      </c>
      <c r="BI75" s="37">
        <f>IF(B75="","",Q75*Pct_Reclamaciones)</f>
      </c>
      <c r="BJ75" s="37">
        <f>IF(B75="","",Q75*Pct_Banco)</f>
      </c>
      <c r="BK75" s="37">
        <f>IF(B75="","",N(ENTRADA!$V75))</f>
      </c>
      <c r="BL75" s="70">
        <f>IF(B75="","",Y75+AE75+BD75+BH75+BI75+BJ75+BK75)</f>
      </c>
      <c r="BM75" s="70">
        <f>IF(B75="","",Q75-BL75)</f>
      </c>
      <c r="BN75" s="72">
        <f>IF(B75="","",IF(Q75=0,0,BM75/Q75))</f>
      </c>
      <c r="BO75" s="73">
        <f>IF(B75="","",IF(J75=0,0,BM75/J75))</f>
      </c>
      <c r="BP75" s="60">
        <f>IF(B75="","",IFERROR(MATCH(D75,COSTOS_FIJOS!$G$5:$AD$5,0),0))</f>
      </c>
      <c r="BQ75" s="60">
        <f>IF(B75="","",COUNTIFS($D$6:$D$305,D75))</f>
      </c>
      <c r="BR75" s="67">
        <f>IF(B75="","",SUMIFS($J$6:$J$305,$D$6:$D$305,D75))</f>
      </c>
      <c r="BS75" s="72">
        <f>IF(B75="","",IF(Metodo_Prorrateo="KG",IF(BR75=0,0,J75/BR75),1/BQ75))</f>
      </c>
      <c r="BT75" s="37">
        <f>IF(B75="","",IF(BP75=0,0,INDEX(COSTOS_FIJOS!$G$38:$AD$38,BP75))*BS75)</f>
      </c>
      <c r="BU75" s="72">
        <f>IF(B75="","",IF(Metodo_Prorrateo="KG",IF(SUMIFS($G$6:$G$305,$D$6:$D$305,D75)=0,0,G75/SUMIFS($G$6:$G$305,$D$6:$D$305,D75)),IF(G75&gt;0,1/COUNTIFS($D$6:$D$305,D75,$G$6:$G$305,"&gt;0"),0)))</f>
      </c>
      <c r="BV75" s="37">
        <f>IF(B75="","",IF(BP75=0,0,INDEX(COSTOS_FIJOS!$G$39:$AD$39,BP75))*BU75)</f>
      </c>
      <c r="BW75" s="72">
        <f>IF(B75="","",IF(Metodo_Prorrateo="KG",IF(SUMIFS($H$6:$H$305,$D$6:$D$305,D75)=0,0,H75/SUMIFS($H$6:$H$305,$D$6:$D$305,D75)),IF(H75&gt;0,1/COUNTIFS($D$6:$D$305,D75,$H$6:$H$305,"&gt;0"),0)))</f>
      </c>
      <c r="BX75" s="37">
        <f>IF(B75="","",IF(BP75=0,0,INDEX(COSTOS_FIJOS!$G$40:$AD$40,BP75))*BW75)</f>
      </c>
      <c r="BY75" s="72">
        <f>IF(B75="","",IF(Metodo_Prorrateo="KG",IF(SUMIFS($I$6:$I$305,$D$6:$D$305,D75)=0,0,I75/SUMIFS($I$6:$I$305,$D$6:$D$305,D75)),IF(I75&gt;0,1/COUNTIFS($D$6:$D$305,D75,$I$6:$I$305,"&gt;0"),0)))</f>
      </c>
      <c r="BZ75" s="37">
        <f>IF(B75="","",IF(BP75=0,0,INDEX(COSTOS_FIJOS!$G$41:$AD$41,BP75))*BY75)</f>
      </c>
      <c r="CA75" s="70">
        <f>IF(B75="","",BT75+BV75+BX75+BZ75)</f>
      </c>
      <c r="CB75" s="37">
        <f>IF(B75="","",Q75*Imp_Ventas_Serv)</f>
      </c>
      <c r="CC75" s="37">
        <f>IF(B75="","",Q75*Contrib_Territorial)</f>
      </c>
      <c r="CD75" s="70">
        <f>IF(B75="","",BM75-CA75-CB75-CC75)</f>
      </c>
      <c r="CE75" s="37">
        <f>IF(B75="","",MAX(0,CD75)*Imp_Utilidades)</f>
      </c>
      <c r="CF75" s="70">
        <f>IF(B75="","",CD75-CE75)</f>
      </c>
      <c r="CG75" s="72">
        <f>IF(B75="","",IF(Q75=0,0,CF75/Q75))</f>
      </c>
      <c r="CH75" s="73">
        <f>IF(B75="","",IF(J75=0,0,(BL75+CA75+CB75+CC75)/J75))</f>
      </c>
      <c r="CI75" s="73">
        <f>IF(B75="","",IF(J75=0,0,Q75/J75))</f>
      </c>
      <c r="CJ75" s="73">
        <f>IF(B75="","",IF(J75=0,0,CD75/J75))</f>
      </c>
      <c r="CK75" s="37">
        <f>IF(B75="","",Y75+AE75+BK75+BT75)</f>
      </c>
      <c r="CL75" s="37">
        <f>IF(B75="","",IF(J75=0,0,(M75+P75*G75/J75)*(1-Pct_Reclamaciones-Pct_Banco-Imp_Ventas_Serv-Contrib_Territorial)-AI75-BE75-BV75-CK75*G75/J75))</f>
      </c>
      <c r="CM75" s="37">
        <f>IF(B75="","",IF(J75=0,0,(N75+P75*H75/J75)*(1-Pct_Reclamaciones-Pct_Banco-Imp_Ventas_Serv-Contrib_Territorial)-AS75-BF75-BX75-CK75*H75/J75))</f>
      </c>
      <c r="CN75" s="37">
        <f>IF(B75="","",IF(J75=0,0,(O75+P75*I75/J75)*(1-Pct_Reclamaciones-Pct_Banco-Imp_Ventas_Serv-Contrib_Territorial)-BC75-BG75-BZ75-CK75*I75/J75))</f>
      </c>
      <c r="CO75" s="37">
        <f>IF(B75="","",IF(J75=0,0,ROUND(CD75-CL75-CM75-CN75,4)))</f>
      </c>
      <c r="CP75" s="71">
        <f>IF(B75="","",T75+AG75+AK75+AM75+AU75+AW75)</f>
      </c>
      <c r="CQ75" s="71">
        <f>IF(B75="","",U75+AH75+AL75+AN75+AV75+AX75)</f>
      </c>
      <c r="CR75" s="72">
        <f>IF(B75="","",IF(CP75=0,0,CQ75/CP75-1))</f>
      </c>
      <c r="CS75" s="60">
        <f>IF(B75="","",IF(ENTRADA!$Y75="","",ENTRADA!$Y75-C75))</f>
      </c>
      <c r="CT75" s="66">
        <f>IF(B75="","",IF(ENTRADA!$C75="","Falta fecha. ","")&amp;IF(BP75=0,"Mes fuera del rango de COSTOS_FIJOS. ","")&amp;IF(J75=0,"Sin kg. ","")&amp;IF(E75="","Falta transitaria. ","")&amp;IF(AND(T75&gt;0,U75/T75-1&gt;Tolerancia_Comb),"Combustible al puerto "&amp;TEXT(U75/T75-1,"+0%")&amp;" sobre norma. ","")&amp;IF(AND(AG75&gt;0,AH75/AG75-1&gt;Tolerancia_Comb),"Combustible distribución Occidente "&amp;TEXT(AH75/AG75-1,"+0%")&amp;" sobre norma. ","")&amp;IF(AND(AK75&gt;0,AL75/AK75-1&gt;Tolerancia_Comb),"Combustible traslado Centro "&amp;TEXT(AL75/AK75-1,"+0%")&amp;" sobre norma. ","")&amp;IF(AND(AM75&gt;0,AN75/AM75-1&gt;Tolerancia_Comb),"Combustible distribución Centro "&amp;TEXT(AN75/AM75-1,"+0%")&amp;" sobre norma. ","")&amp;IF(AND(AU75&gt;0,AV75/AU75-1&gt;Tolerancia_Comb),"Combustible traslado Oriente "&amp;TEXT(AV75/AU75-1,"+0%")&amp;" sobre norma. ","")&amp;IF(AND(AW75&gt;0,AX75/AW75-1&gt;Tolerancia_Comb),"Combustible distribución Oriente "&amp;TEXT(AX75/AW75-1,"+0%")&amp;" sobre norma. ","")&amp;IF(AND(ENTRADA!$C75&lt;&gt;"",C75&lt;PRECIOS!$A$6),"Fecha anterior a la 1ª vigencia de precios. ","")&amp;IF(CD75&lt;0,"Contenedor con pérdida. ",""))</f>
      </c>
    </row>
    <row r="76">
      <c r="A76" s="60">
        <f>IF(B76="","",ROW()-5)</f>
      </c>
      <c r="B76" s="63">
        <f>IF(ENTRADA!$B76="","",ENTRADA!$B76)</f>
      </c>
      <c r="C76" s="64">
        <f>IF(B76="","",ENTRADA!$C76)</f>
      </c>
      <c r="D76" s="65">
        <f>IF(B76="","",DATE(YEAR(C76),MONTH(C76),1))</f>
      </c>
      <c r="E76" s="66">
        <f>IF(B76="","",ENTRADA!$D76&amp;"")</f>
      </c>
      <c r="F76" s="66">
        <f>IF(B76="","",ENTRADA!$Z76&amp;"")</f>
      </c>
      <c r="G76" s="67">
        <f>IF(B76="","",N(ENTRADA!$G76))</f>
      </c>
      <c r="H76" s="67">
        <f>IF(B76="","",N(ENTRADA!$H76))</f>
      </c>
      <c r="I76" s="67">
        <f>IF(B76="","",N(ENTRADA!$I76))</f>
      </c>
      <c r="J76" s="68">
        <f>IF(B76="","",G76+H76+I76)</f>
      </c>
      <c r="K76" s="60">
        <f>IF(B76="","",IFERROR(MATCH(SUMPRODUCT(MAX((PRECIOS!$A$6:$A$55&lt;=C76)*PRECIOS!$A$6:$A$55)),PRECIOS!$A$6:$A$55,0),1))</f>
      </c>
      <c r="L76" s="69">
        <f>IF(B76="","",INDEX(PRECIOS!$A$6:$A$55,K76))</f>
      </c>
      <c r="M76" s="37">
        <f>IF(B76="","",G76*INDEX(PRECIOS!$B$6:$B$55,K76))</f>
      </c>
      <c r="N76" s="37">
        <f>IF(B76="","",H76*INDEX(PRECIOS!$C$6:$C$55,K76))</f>
      </c>
      <c r="O76" s="37">
        <f>IF(B76="","",I76*INDEX(PRECIOS!$D$6:$D$55,K76))</f>
      </c>
      <c r="P76" s="37">
        <f>IF(B76="","",N(ENTRADA!$X76))</f>
      </c>
      <c r="Q76" s="70">
        <f>IF(B76="","",M76+N76+O76+P76)</f>
      </c>
      <c r="R76" s="71">
        <f>IF(B76="","",IF(ENTRADA!$J76="",Std_Viajes_Puerto,ENTRADA!$J76))</f>
      </c>
      <c r="S76" s="37">
        <f>IF(B76="","",R76*INDEX(PRECIOS!$F$6:$F$55,K76))</f>
      </c>
      <c r="T76" s="71">
        <f>IF(B76="","",R76*Litros_Puerto_Viaje)</f>
      </c>
      <c r="U76" s="71">
        <f>IF(B76="","",IF(ENTRADA!$K76="",T76,ENTRADA!$K76))</f>
      </c>
      <c r="V76" s="37">
        <f>IF(B76="","",U76*INDEX(PRECIOS!$E$6:$E$55,K76))</f>
      </c>
      <c r="W76" s="37">
        <f>IF(B76="","",IF(ENTRADA!$L76="",R76*INDEX(PRECIOS!$G$6:$G$55,K76),ENTRADA!$L76))</f>
      </c>
      <c r="X76" s="37">
        <f>IF(B76="","",R76*Km_Puerto_Viaje*INDEX(PRECIOS!$N$6:$N$55,K76))</f>
      </c>
      <c r="Y76" s="70">
        <f>IF(B76="","",S76+V76+W76+X76)</f>
      </c>
      <c r="Z76" s="71">
        <f>IF(B76="","",IF(J76=0,0,ROUNDUP(J76/Rend_Desagrupe,0)))</f>
      </c>
      <c r="AA76" s="71">
        <f>IF(B76="","",IF(ENTRADA!$M76="",Z76,ENTRADA!$M76))</f>
      </c>
      <c r="AB76" s="37">
        <f>IF(B76="","",AA76*INDEX(PRECIOS!$H$6:$H$55,K76))</f>
      </c>
      <c r="AC76" s="37">
        <f>IF(B76="","",IF(E76="ENCI",INDEX(PRECIOS!$J$6:$J$55,K76),IF(E76="A.V",INDEX(PRECIOS!$K$6:$K$55,K76),0)))</f>
      </c>
      <c r="AD76" s="37">
        <f>IF(B76="","",N(ENTRADA!$N76))</f>
      </c>
      <c r="AE76" s="70">
        <f>IF(B76="","",AB76+AC76+AD76)</f>
      </c>
      <c r="AF76" s="71">
        <f>IF(B76="","",IF(G76=0,0,ROUNDUP(G76/Cap_Camion_OCC,0)))</f>
      </c>
      <c r="AG76" s="71">
        <f>IF(B76="","",AF76*L_Dist_OCC)</f>
      </c>
      <c r="AH76" s="71">
        <f>IF(B76="","",IF(ENTRADA!$O76="",AG76,ENTRADA!$O76))</f>
      </c>
      <c r="AI76" s="37">
        <f>IF(B76="","",AH76*INDEX(PRECIOS!$E$6:$E$55,K76))</f>
      </c>
      <c r="AJ76" s="71">
        <f>IF(B76="","",IF(H76=0,0,ROUNDUP(H76/Cap_Camion_CEN,0)))</f>
      </c>
      <c r="AK76" s="71">
        <f>IF(B76="","",AJ76*L_Tras_CEN)</f>
      </c>
      <c r="AL76" s="71">
        <f>IF(B76="","",IF(ENTRADA!$P76="",AK76,ENTRADA!$P76))</f>
      </c>
      <c r="AM76" s="71">
        <f>IF(B76="","",AJ76*L_Dist_CEN)</f>
      </c>
      <c r="AN76" s="71">
        <f>IF(B76="","",IF(ENTRADA!$Q76="",AM76,ENTRADA!$Q76))</f>
      </c>
      <c r="AO76" s="37">
        <f>IF(B76="","",(AL76+AN76)*INDEX(PRECIOS!$E$6:$E$55,K76))</f>
      </c>
      <c r="AP76" s="71">
        <f>IF(B76="","",IF(H76=0,0,ROUNDUP(H76/Rend_Desagrupe_CT,0)))</f>
      </c>
      <c r="AQ76" s="71">
        <f>IF(B76="","",IF(ENTRADA!$R76="",AP76,ENTRADA!$R76))</f>
      </c>
      <c r="AR76" s="37">
        <f>IF(B76="","",AQ76*INDEX(PRECIOS!$I$6:$I$55,K76))</f>
      </c>
      <c r="AS76" s="37">
        <f>IF(B76="","",AO76+AR76)</f>
      </c>
      <c r="AT76" s="71">
        <f>IF(B76="","",IF(I76=0,0,ROUNDUP(I76/Cap_Camion_ORI,0)))</f>
      </c>
      <c r="AU76" s="71">
        <f>IF(B76="","",AT76*L_Tras_ORI)</f>
      </c>
      <c r="AV76" s="71">
        <f>IF(B76="","",IF(ENTRADA!$S76="",AU76,ENTRADA!$S76))</f>
      </c>
      <c r="AW76" s="71">
        <f>IF(B76="","",AT76*L_Dist_ORI)</f>
      </c>
      <c r="AX76" s="71">
        <f>IF(B76="","",IF(ENTRADA!$T76="",AW76,ENTRADA!$T76))</f>
      </c>
      <c r="AY76" s="37">
        <f>IF(B76="","",(AV76+AX76)*INDEX(PRECIOS!$E$6:$E$55,K76))</f>
      </c>
      <c r="AZ76" s="71">
        <f>IF(B76="","",IF(I76=0,0,ROUNDUP(I76/Rend_Desagrupe_CT,0)))</f>
      </c>
      <c r="BA76" s="71">
        <f>IF(B76="","",IF(ENTRADA!$U76="",AZ76,ENTRADA!$U76))</f>
      </c>
      <c r="BB76" s="37">
        <f>IF(B76="","",BA76*INDEX(PRECIOS!$I$6:$I$55,K76))</f>
      </c>
      <c r="BC76" s="37">
        <f>IF(B76="","",AY76+BB76)</f>
      </c>
      <c r="BD76" s="70">
        <f>IF(B76="","",AI76+AS76+BC76)</f>
      </c>
      <c r="BE76" s="37">
        <f>IF(B76="","",IF(Base_Comision="% DEL INGRESO",M76*INDEX(PRECIOS!$L$6:$L$55,K76),G76*INDEX(PRECIOS!$M$6:$M$55,K76)))</f>
      </c>
      <c r="BF76" s="37">
        <f>IF(B76="","",IF(Base_Comision="% DEL INGRESO",N76*INDEX(PRECIOS!$L$6:$L$55,K76),H76*INDEX(PRECIOS!$M$6:$M$55,K76)))</f>
      </c>
      <c r="BG76" s="37">
        <f>IF(B76="","",IF(Base_Comision="% DEL INGRESO",O76*INDEX(PRECIOS!$L$6:$L$55,K76),I76*INDEX(PRECIOS!$M$6:$M$55,K76)))</f>
      </c>
      <c r="BH76" s="70">
        <f>IF(B76="","",BE76+BF76+BG76)</f>
      </c>
      <c r="BI76" s="37">
        <f>IF(B76="","",Q76*Pct_Reclamaciones)</f>
      </c>
      <c r="BJ76" s="37">
        <f>IF(B76="","",Q76*Pct_Banco)</f>
      </c>
      <c r="BK76" s="37">
        <f>IF(B76="","",N(ENTRADA!$V76))</f>
      </c>
      <c r="BL76" s="70">
        <f>IF(B76="","",Y76+AE76+BD76+BH76+BI76+BJ76+BK76)</f>
      </c>
      <c r="BM76" s="70">
        <f>IF(B76="","",Q76-BL76)</f>
      </c>
      <c r="BN76" s="72">
        <f>IF(B76="","",IF(Q76=0,0,BM76/Q76))</f>
      </c>
      <c r="BO76" s="73">
        <f>IF(B76="","",IF(J76=0,0,BM76/J76))</f>
      </c>
      <c r="BP76" s="60">
        <f>IF(B76="","",IFERROR(MATCH(D76,COSTOS_FIJOS!$G$5:$AD$5,0),0))</f>
      </c>
      <c r="BQ76" s="60">
        <f>IF(B76="","",COUNTIFS($D$6:$D$305,D76))</f>
      </c>
      <c r="BR76" s="67">
        <f>IF(B76="","",SUMIFS($J$6:$J$305,$D$6:$D$305,D76))</f>
      </c>
      <c r="BS76" s="72">
        <f>IF(B76="","",IF(Metodo_Prorrateo="KG",IF(BR76=0,0,J76/BR76),1/BQ76))</f>
      </c>
      <c r="BT76" s="37">
        <f>IF(B76="","",IF(BP76=0,0,INDEX(COSTOS_FIJOS!$G$38:$AD$38,BP76))*BS76)</f>
      </c>
      <c r="BU76" s="72">
        <f>IF(B76="","",IF(Metodo_Prorrateo="KG",IF(SUMIFS($G$6:$G$305,$D$6:$D$305,D76)=0,0,G76/SUMIFS($G$6:$G$305,$D$6:$D$305,D76)),IF(G76&gt;0,1/COUNTIFS($D$6:$D$305,D76,$G$6:$G$305,"&gt;0"),0)))</f>
      </c>
      <c r="BV76" s="37">
        <f>IF(B76="","",IF(BP76=0,0,INDEX(COSTOS_FIJOS!$G$39:$AD$39,BP76))*BU76)</f>
      </c>
      <c r="BW76" s="72">
        <f>IF(B76="","",IF(Metodo_Prorrateo="KG",IF(SUMIFS($H$6:$H$305,$D$6:$D$305,D76)=0,0,H76/SUMIFS($H$6:$H$305,$D$6:$D$305,D76)),IF(H76&gt;0,1/COUNTIFS($D$6:$D$305,D76,$H$6:$H$305,"&gt;0"),0)))</f>
      </c>
      <c r="BX76" s="37">
        <f>IF(B76="","",IF(BP76=0,0,INDEX(COSTOS_FIJOS!$G$40:$AD$40,BP76))*BW76)</f>
      </c>
      <c r="BY76" s="72">
        <f>IF(B76="","",IF(Metodo_Prorrateo="KG",IF(SUMIFS($I$6:$I$305,$D$6:$D$305,D76)=0,0,I76/SUMIFS($I$6:$I$305,$D$6:$D$305,D76)),IF(I76&gt;0,1/COUNTIFS($D$6:$D$305,D76,$I$6:$I$305,"&gt;0"),0)))</f>
      </c>
      <c r="BZ76" s="37">
        <f>IF(B76="","",IF(BP76=0,0,INDEX(COSTOS_FIJOS!$G$41:$AD$41,BP76))*BY76)</f>
      </c>
      <c r="CA76" s="70">
        <f>IF(B76="","",BT76+BV76+BX76+BZ76)</f>
      </c>
      <c r="CB76" s="37">
        <f>IF(B76="","",Q76*Imp_Ventas_Serv)</f>
      </c>
      <c r="CC76" s="37">
        <f>IF(B76="","",Q76*Contrib_Territorial)</f>
      </c>
      <c r="CD76" s="70">
        <f>IF(B76="","",BM76-CA76-CB76-CC76)</f>
      </c>
      <c r="CE76" s="37">
        <f>IF(B76="","",MAX(0,CD76)*Imp_Utilidades)</f>
      </c>
      <c r="CF76" s="70">
        <f>IF(B76="","",CD76-CE76)</f>
      </c>
      <c r="CG76" s="72">
        <f>IF(B76="","",IF(Q76=0,0,CF76/Q76))</f>
      </c>
      <c r="CH76" s="73">
        <f>IF(B76="","",IF(J76=0,0,(BL76+CA76+CB76+CC76)/J76))</f>
      </c>
      <c r="CI76" s="73">
        <f>IF(B76="","",IF(J76=0,0,Q76/J76))</f>
      </c>
      <c r="CJ76" s="73">
        <f>IF(B76="","",IF(J76=0,0,CD76/J76))</f>
      </c>
      <c r="CK76" s="37">
        <f>IF(B76="","",Y76+AE76+BK76+BT76)</f>
      </c>
      <c r="CL76" s="37">
        <f>IF(B76="","",IF(J76=0,0,(M76+P76*G76/J76)*(1-Pct_Reclamaciones-Pct_Banco-Imp_Ventas_Serv-Contrib_Territorial)-AI76-BE76-BV76-CK76*G76/J76))</f>
      </c>
      <c r="CM76" s="37">
        <f>IF(B76="","",IF(J76=0,0,(N76+P76*H76/J76)*(1-Pct_Reclamaciones-Pct_Banco-Imp_Ventas_Serv-Contrib_Territorial)-AS76-BF76-BX76-CK76*H76/J76))</f>
      </c>
      <c r="CN76" s="37">
        <f>IF(B76="","",IF(J76=0,0,(O76+P76*I76/J76)*(1-Pct_Reclamaciones-Pct_Banco-Imp_Ventas_Serv-Contrib_Territorial)-BC76-BG76-BZ76-CK76*I76/J76))</f>
      </c>
      <c r="CO76" s="37">
        <f>IF(B76="","",IF(J76=0,0,ROUND(CD76-CL76-CM76-CN76,4)))</f>
      </c>
      <c r="CP76" s="71">
        <f>IF(B76="","",T76+AG76+AK76+AM76+AU76+AW76)</f>
      </c>
      <c r="CQ76" s="71">
        <f>IF(B76="","",U76+AH76+AL76+AN76+AV76+AX76)</f>
      </c>
      <c r="CR76" s="72">
        <f>IF(B76="","",IF(CP76=0,0,CQ76/CP76-1))</f>
      </c>
      <c r="CS76" s="60">
        <f>IF(B76="","",IF(ENTRADA!$Y76="","",ENTRADA!$Y76-C76))</f>
      </c>
      <c r="CT76" s="66">
        <f>IF(B76="","",IF(ENTRADA!$C76="","Falta fecha. ","")&amp;IF(BP76=0,"Mes fuera del rango de COSTOS_FIJOS. ","")&amp;IF(J76=0,"Sin kg. ","")&amp;IF(E76="","Falta transitaria. ","")&amp;IF(AND(T76&gt;0,U76/T76-1&gt;Tolerancia_Comb),"Combustible al puerto "&amp;TEXT(U76/T76-1,"+0%")&amp;" sobre norma. ","")&amp;IF(AND(AG76&gt;0,AH76/AG76-1&gt;Tolerancia_Comb),"Combustible distribución Occidente "&amp;TEXT(AH76/AG76-1,"+0%")&amp;" sobre norma. ","")&amp;IF(AND(AK76&gt;0,AL76/AK76-1&gt;Tolerancia_Comb),"Combustible traslado Centro "&amp;TEXT(AL76/AK76-1,"+0%")&amp;" sobre norma. ","")&amp;IF(AND(AM76&gt;0,AN76/AM76-1&gt;Tolerancia_Comb),"Combustible distribución Centro "&amp;TEXT(AN76/AM76-1,"+0%")&amp;" sobre norma. ","")&amp;IF(AND(AU76&gt;0,AV76/AU76-1&gt;Tolerancia_Comb),"Combustible traslado Oriente "&amp;TEXT(AV76/AU76-1,"+0%")&amp;" sobre norma. ","")&amp;IF(AND(AW76&gt;0,AX76/AW76-1&gt;Tolerancia_Comb),"Combustible distribución Oriente "&amp;TEXT(AX76/AW76-1,"+0%")&amp;" sobre norma. ","")&amp;IF(AND(ENTRADA!$C76&lt;&gt;"",C76&lt;PRECIOS!$A$6),"Fecha anterior a la 1ª vigencia de precios. ","")&amp;IF(CD76&lt;0,"Contenedor con pérdida. ",""))</f>
      </c>
    </row>
    <row r="77">
      <c r="A77" s="60">
        <f>IF(B77="","",ROW()-5)</f>
      </c>
      <c r="B77" s="63">
        <f>IF(ENTRADA!$B77="","",ENTRADA!$B77)</f>
      </c>
      <c r="C77" s="64">
        <f>IF(B77="","",ENTRADA!$C77)</f>
      </c>
      <c r="D77" s="65">
        <f>IF(B77="","",DATE(YEAR(C77),MONTH(C77),1))</f>
      </c>
      <c r="E77" s="66">
        <f>IF(B77="","",ENTRADA!$D77&amp;"")</f>
      </c>
      <c r="F77" s="66">
        <f>IF(B77="","",ENTRADA!$Z77&amp;"")</f>
      </c>
      <c r="G77" s="67">
        <f>IF(B77="","",N(ENTRADA!$G77))</f>
      </c>
      <c r="H77" s="67">
        <f>IF(B77="","",N(ENTRADA!$H77))</f>
      </c>
      <c r="I77" s="67">
        <f>IF(B77="","",N(ENTRADA!$I77))</f>
      </c>
      <c r="J77" s="68">
        <f>IF(B77="","",G77+H77+I77)</f>
      </c>
      <c r="K77" s="60">
        <f>IF(B77="","",IFERROR(MATCH(SUMPRODUCT(MAX((PRECIOS!$A$6:$A$55&lt;=C77)*PRECIOS!$A$6:$A$55)),PRECIOS!$A$6:$A$55,0),1))</f>
      </c>
      <c r="L77" s="69">
        <f>IF(B77="","",INDEX(PRECIOS!$A$6:$A$55,K77))</f>
      </c>
      <c r="M77" s="37">
        <f>IF(B77="","",G77*INDEX(PRECIOS!$B$6:$B$55,K77))</f>
      </c>
      <c r="N77" s="37">
        <f>IF(B77="","",H77*INDEX(PRECIOS!$C$6:$C$55,K77))</f>
      </c>
      <c r="O77" s="37">
        <f>IF(B77="","",I77*INDEX(PRECIOS!$D$6:$D$55,K77))</f>
      </c>
      <c r="P77" s="37">
        <f>IF(B77="","",N(ENTRADA!$X77))</f>
      </c>
      <c r="Q77" s="70">
        <f>IF(B77="","",M77+N77+O77+P77)</f>
      </c>
      <c r="R77" s="71">
        <f>IF(B77="","",IF(ENTRADA!$J77="",Std_Viajes_Puerto,ENTRADA!$J77))</f>
      </c>
      <c r="S77" s="37">
        <f>IF(B77="","",R77*INDEX(PRECIOS!$F$6:$F$55,K77))</f>
      </c>
      <c r="T77" s="71">
        <f>IF(B77="","",R77*Litros_Puerto_Viaje)</f>
      </c>
      <c r="U77" s="71">
        <f>IF(B77="","",IF(ENTRADA!$K77="",T77,ENTRADA!$K77))</f>
      </c>
      <c r="V77" s="37">
        <f>IF(B77="","",U77*INDEX(PRECIOS!$E$6:$E$55,K77))</f>
      </c>
      <c r="W77" s="37">
        <f>IF(B77="","",IF(ENTRADA!$L77="",R77*INDEX(PRECIOS!$G$6:$G$55,K77),ENTRADA!$L77))</f>
      </c>
      <c r="X77" s="37">
        <f>IF(B77="","",R77*Km_Puerto_Viaje*INDEX(PRECIOS!$N$6:$N$55,K77))</f>
      </c>
      <c r="Y77" s="70">
        <f>IF(B77="","",S77+V77+W77+X77)</f>
      </c>
      <c r="Z77" s="71">
        <f>IF(B77="","",IF(J77=0,0,ROUNDUP(J77/Rend_Desagrupe,0)))</f>
      </c>
      <c r="AA77" s="71">
        <f>IF(B77="","",IF(ENTRADA!$M77="",Z77,ENTRADA!$M77))</f>
      </c>
      <c r="AB77" s="37">
        <f>IF(B77="","",AA77*INDEX(PRECIOS!$H$6:$H$55,K77))</f>
      </c>
      <c r="AC77" s="37">
        <f>IF(B77="","",IF(E77="ENCI",INDEX(PRECIOS!$J$6:$J$55,K77),IF(E77="A.V",INDEX(PRECIOS!$K$6:$K$55,K77),0)))</f>
      </c>
      <c r="AD77" s="37">
        <f>IF(B77="","",N(ENTRADA!$N77))</f>
      </c>
      <c r="AE77" s="70">
        <f>IF(B77="","",AB77+AC77+AD77)</f>
      </c>
      <c r="AF77" s="71">
        <f>IF(B77="","",IF(G77=0,0,ROUNDUP(G77/Cap_Camion_OCC,0)))</f>
      </c>
      <c r="AG77" s="71">
        <f>IF(B77="","",AF77*L_Dist_OCC)</f>
      </c>
      <c r="AH77" s="71">
        <f>IF(B77="","",IF(ENTRADA!$O77="",AG77,ENTRADA!$O77))</f>
      </c>
      <c r="AI77" s="37">
        <f>IF(B77="","",AH77*INDEX(PRECIOS!$E$6:$E$55,K77))</f>
      </c>
      <c r="AJ77" s="71">
        <f>IF(B77="","",IF(H77=0,0,ROUNDUP(H77/Cap_Camion_CEN,0)))</f>
      </c>
      <c r="AK77" s="71">
        <f>IF(B77="","",AJ77*L_Tras_CEN)</f>
      </c>
      <c r="AL77" s="71">
        <f>IF(B77="","",IF(ENTRADA!$P77="",AK77,ENTRADA!$P77))</f>
      </c>
      <c r="AM77" s="71">
        <f>IF(B77="","",AJ77*L_Dist_CEN)</f>
      </c>
      <c r="AN77" s="71">
        <f>IF(B77="","",IF(ENTRADA!$Q77="",AM77,ENTRADA!$Q77))</f>
      </c>
      <c r="AO77" s="37">
        <f>IF(B77="","",(AL77+AN77)*INDEX(PRECIOS!$E$6:$E$55,K77))</f>
      </c>
      <c r="AP77" s="71">
        <f>IF(B77="","",IF(H77=0,0,ROUNDUP(H77/Rend_Desagrupe_CT,0)))</f>
      </c>
      <c r="AQ77" s="71">
        <f>IF(B77="","",IF(ENTRADA!$R77="",AP77,ENTRADA!$R77))</f>
      </c>
      <c r="AR77" s="37">
        <f>IF(B77="","",AQ77*INDEX(PRECIOS!$I$6:$I$55,K77))</f>
      </c>
      <c r="AS77" s="37">
        <f>IF(B77="","",AO77+AR77)</f>
      </c>
      <c r="AT77" s="71">
        <f>IF(B77="","",IF(I77=0,0,ROUNDUP(I77/Cap_Camion_ORI,0)))</f>
      </c>
      <c r="AU77" s="71">
        <f>IF(B77="","",AT77*L_Tras_ORI)</f>
      </c>
      <c r="AV77" s="71">
        <f>IF(B77="","",IF(ENTRADA!$S77="",AU77,ENTRADA!$S77))</f>
      </c>
      <c r="AW77" s="71">
        <f>IF(B77="","",AT77*L_Dist_ORI)</f>
      </c>
      <c r="AX77" s="71">
        <f>IF(B77="","",IF(ENTRADA!$T77="",AW77,ENTRADA!$T77))</f>
      </c>
      <c r="AY77" s="37">
        <f>IF(B77="","",(AV77+AX77)*INDEX(PRECIOS!$E$6:$E$55,K77))</f>
      </c>
      <c r="AZ77" s="71">
        <f>IF(B77="","",IF(I77=0,0,ROUNDUP(I77/Rend_Desagrupe_CT,0)))</f>
      </c>
      <c r="BA77" s="71">
        <f>IF(B77="","",IF(ENTRADA!$U77="",AZ77,ENTRADA!$U77))</f>
      </c>
      <c r="BB77" s="37">
        <f>IF(B77="","",BA77*INDEX(PRECIOS!$I$6:$I$55,K77))</f>
      </c>
      <c r="BC77" s="37">
        <f>IF(B77="","",AY77+BB77)</f>
      </c>
      <c r="BD77" s="70">
        <f>IF(B77="","",AI77+AS77+BC77)</f>
      </c>
      <c r="BE77" s="37">
        <f>IF(B77="","",IF(Base_Comision="% DEL INGRESO",M77*INDEX(PRECIOS!$L$6:$L$55,K77),G77*INDEX(PRECIOS!$M$6:$M$55,K77)))</f>
      </c>
      <c r="BF77" s="37">
        <f>IF(B77="","",IF(Base_Comision="% DEL INGRESO",N77*INDEX(PRECIOS!$L$6:$L$55,K77),H77*INDEX(PRECIOS!$M$6:$M$55,K77)))</f>
      </c>
      <c r="BG77" s="37">
        <f>IF(B77="","",IF(Base_Comision="% DEL INGRESO",O77*INDEX(PRECIOS!$L$6:$L$55,K77),I77*INDEX(PRECIOS!$M$6:$M$55,K77)))</f>
      </c>
      <c r="BH77" s="70">
        <f>IF(B77="","",BE77+BF77+BG77)</f>
      </c>
      <c r="BI77" s="37">
        <f>IF(B77="","",Q77*Pct_Reclamaciones)</f>
      </c>
      <c r="BJ77" s="37">
        <f>IF(B77="","",Q77*Pct_Banco)</f>
      </c>
      <c r="BK77" s="37">
        <f>IF(B77="","",N(ENTRADA!$V77))</f>
      </c>
      <c r="BL77" s="70">
        <f>IF(B77="","",Y77+AE77+BD77+BH77+BI77+BJ77+BK77)</f>
      </c>
      <c r="BM77" s="70">
        <f>IF(B77="","",Q77-BL77)</f>
      </c>
      <c r="BN77" s="72">
        <f>IF(B77="","",IF(Q77=0,0,BM77/Q77))</f>
      </c>
      <c r="BO77" s="73">
        <f>IF(B77="","",IF(J77=0,0,BM77/J77))</f>
      </c>
      <c r="BP77" s="60">
        <f>IF(B77="","",IFERROR(MATCH(D77,COSTOS_FIJOS!$G$5:$AD$5,0),0))</f>
      </c>
      <c r="BQ77" s="60">
        <f>IF(B77="","",COUNTIFS($D$6:$D$305,D77))</f>
      </c>
      <c r="BR77" s="67">
        <f>IF(B77="","",SUMIFS($J$6:$J$305,$D$6:$D$305,D77))</f>
      </c>
      <c r="BS77" s="72">
        <f>IF(B77="","",IF(Metodo_Prorrateo="KG",IF(BR77=0,0,J77/BR77),1/BQ77))</f>
      </c>
      <c r="BT77" s="37">
        <f>IF(B77="","",IF(BP77=0,0,INDEX(COSTOS_FIJOS!$G$38:$AD$38,BP77))*BS77)</f>
      </c>
      <c r="BU77" s="72">
        <f>IF(B77="","",IF(Metodo_Prorrateo="KG",IF(SUMIFS($G$6:$G$305,$D$6:$D$305,D77)=0,0,G77/SUMIFS($G$6:$G$305,$D$6:$D$305,D77)),IF(G77&gt;0,1/COUNTIFS($D$6:$D$305,D77,$G$6:$G$305,"&gt;0"),0)))</f>
      </c>
      <c r="BV77" s="37">
        <f>IF(B77="","",IF(BP77=0,0,INDEX(COSTOS_FIJOS!$G$39:$AD$39,BP77))*BU77)</f>
      </c>
      <c r="BW77" s="72">
        <f>IF(B77="","",IF(Metodo_Prorrateo="KG",IF(SUMIFS($H$6:$H$305,$D$6:$D$305,D77)=0,0,H77/SUMIFS($H$6:$H$305,$D$6:$D$305,D77)),IF(H77&gt;0,1/COUNTIFS($D$6:$D$305,D77,$H$6:$H$305,"&gt;0"),0)))</f>
      </c>
      <c r="BX77" s="37">
        <f>IF(B77="","",IF(BP77=0,0,INDEX(COSTOS_FIJOS!$G$40:$AD$40,BP77))*BW77)</f>
      </c>
      <c r="BY77" s="72">
        <f>IF(B77="","",IF(Metodo_Prorrateo="KG",IF(SUMIFS($I$6:$I$305,$D$6:$D$305,D77)=0,0,I77/SUMIFS($I$6:$I$305,$D$6:$D$305,D77)),IF(I77&gt;0,1/COUNTIFS($D$6:$D$305,D77,$I$6:$I$305,"&gt;0"),0)))</f>
      </c>
      <c r="BZ77" s="37">
        <f>IF(B77="","",IF(BP77=0,0,INDEX(COSTOS_FIJOS!$G$41:$AD$41,BP77))*BY77)</f>
      </c>
      <c r="CA77" s="70">
        <f>IF(B77="","",BT77+BV77+BX77+BZ77)</f>
      </c>
      <c r="CB77" s="37">
        <f>IF(B77="","",Q77*Imp_Ventas_Serv)</f>
      </c>
      <c r="CC77" s="37">
        <f>IF(B77="","",Q77*Contrib_Territorial)</f>
      </c>
      <c r="CD77" s="70">
        <f>IF(B77="","",BM77-CA77-CB77-CC77)</f>
      </c>
      <c r="CE77" s="37">
        <f>IF(B77="","",MAX(0,CD77)*Imp_Utilidades)</f>
      </c>
      <c r="CF77" s="70">
        <f>IF(B77="","",CD77-CE77)</f>
      </c>
      <c r="CG77" s="72">
        <f>IF(B77="","",IF(Q77=0,0,CF77/Q77))</f>
      </c>
      <c r="CH77" s="73">
        <f>IF(B77="","",IF(J77=0,0,(BL77+CA77+CB77+CC77)/J77))</f>
      </c>
      <c r="CI77" s="73">
        <f>IF(B77="","",IF(J77=0,0,Q77/J77))</f>
      </c>
      <c r="CJ77" s="73">
        <f>IF(B77="","",IF(J77=0,0,CD77/J77))</f>
      </c>
      <c r="CK77" s="37">
        <f>IF(B77="","",Y77+AE77+BK77+BT77)</f>
      </c>
      <c r="CL77" s="37">
        <f>IF(B77="","",IF(J77=0,0,(M77+P77*G77/J77)*(1-Pct_Reclamaciones-Pct_Banco-Imp_Ventas_Serv-Contrib_Territorial)-AI77-BE77-BV77-CK77*G77/J77))</f>
      </c>
      <c r="CM77" s="37">
        <f>IF(B77="","",IF(J77=0,0,(N77+P77*H77/J77)*(1-Pct_Reclamaciones-Pct_Banco-Imp_Ventas_Serv-Contrib_Territorial)-AS77-BF77-BX77-CK77*H77/J77))</f>
      </c>
      <c r="CN77" s="37">
        <f>IF(B77="","",IF(J77=0,0,(O77+P77*I77/J77)*(1-Pct_Reclamaciones-Pct_Banco-Imp_Ventas_Serv-Contrib_Territorial)-BC77-BG77-BZ77-CK77*I77/J77))</f>
      </c>
      <c r="CO77" s="37">
        <f>IF(B77="","",IF(J77=0,0,ROUND(CD77-CL77-CM77-CN77,4)))</f>
      </c>
      <c r="CP77" s="71">
        <f>IF(B77="","",T77+AG77+AK77+AM77+AU77+AW77)</f>
      </c>
      <c r="CQ77" s="71">
        <f>IF(B77="","",U77+AH77+AL77+AN77+AV77+AX77)</f>
      </c>
      <c r="CR77" s="72">
        <f>IF(B77="","",IF(CP77=0,0,CQ77/CP77-1))</f>
      </c>
      <c r="CS77" s="60">
        <f>IF(B77="","",IF(ENTRADA!$Y77="","",ENTRADA!$Y77-C77))</f>
      </c>
      <c r="CT77" s="66">
        <f>IF(B77="","",IF(ENTRADA!$C77="","Falta fecha. ","")&amp;IF(BP77=0,"Mes fuera del rango de COSTOS_FIJOS. ","")&amp;IF(J77=0,"Sin kg. ","")&amp;IF(E77="","Falta transitaria. ","")&amp;IF(AND(T77&gt;0,U77/T77-1&gt;Tolerancia_Comb),"Combustible al puerto "&amp;TEXT(U77/T77-1,"+0%")&amp;" sobre norma. ","")&amp;IF(AND(AG77&gt;0,AH77/AG77-1&gt;Tolerancia_Comb),"Combustible distribución Occidente "&amp;TEXT(AH77/AG77-1,"+0%")&amp;" sobre norma. ","")&amp;IF(AND(AK77&gt;0,AL77/AK77-1&gt;Tolerancia_Comb),"Combustible traslado Centro "&amp;TEXT(AL77/AK77-1,"+0%")&amp;" sobre norma. ","")&amp;IF(AND(AM77&gt;0,AN77/AM77-1&gt;Tolerancia_Comb),"Combustible distribución Centro "&amp;TEXT(AN77/AM77-1,"+0%")&amp;" sobre norma. ","")&amp;IF(AND(AU77&gt;0,AV77/AU77-1&gt;Tolerancia_Comb),"Combustible traslado Oriente "&amp;TEXT(AV77/AU77-1,"+0%")&amp;" sobre norma. ","")&amp;IF(AND(AW77&gt;0,AX77/AW77-1&gt;Tolerancia_Comb),"Combustible distribución Oriente "&amp;TEXT(AX77/AW77-1,"+0%")&amp;" sobre norma. ","")&amp;IF(AND(ENTRADA!$C77&lt;&gt;"",C77&lt;PRECIOS!$A$6),"Fecha anterior a la 1ª vigencia de precios. ","")&amp;IF(CD77&lt;0,"Contenedor con pérdida. ",""))</f>
      </c>
    </row>
    <row r="78">
      <c r="A78" s="60">
        <f>IF(B78="","",ROW()-5)</f>
      </c>
      <c r="B78" s="63">
        <f>IF(ENTRADA!$B78="","",ENTRADA!$B78)</f>
      </c>
      <c r="C78" s="64">
        <f>IF(B78="","",ENTRADA!$C78)</f>
      </c>
      <c r="D78" s="65">
        <f>IF(B78="","",DATE(YEAR(C78),MONTH(C78),1))</f>
      </c>
      <c r="E78" s="66">
        <f>IF(B78="","",ENTRADA!$D78&amp;"")</f>
      </c>
      <c r="F78" s="66">
        <f>IF(B78="","",ENTRADA!$Z78&amp;"")</f>
      </c>
      <c r="G78" s="67">
        <f>IF(B78="","",N(ENTRADA!$G78))</f>
      </c>
      <c r="H78" s="67">
        <f>IF(B78="","",N(ENTRADA!$H78))</f>
      </c>
      <c r="I78" s="67">
        <f>IF(B78="","",N(ENTRADA!$I78))</f>
      </c>
      <c r="J78" s="68">
        <f>IF(B78="","",G78+H78+I78)</f>
      </c>
      <c r="K78" s="60">
        <f>IF(B78="","",IFERROR(MATCH(SUMPRODUCT(MAX((PRECIOS!$A$6:$A$55&lt;=C78)*PRECIOS!$A$6:$A$55)),PRECIOS!$A$6:$A$55,0),1))</f>
      </c>
      <c r="L78" s="69">
        <f>IF(B78="","",INDEX(PRECIOS!$A$6:$A$55,K78))</f>
      </c>
      <c r="M78" s="37">
        <f>IF(B78="","",G78*INDEX(PRECIOS!$B$6:$B$55,K78))</f>
      </c>
      <c r="N78" s="37">
        <f>IF(B78="","",H78*INDEX(PRECIOS!$C$6:$C$55,K78))</f>
      </c>
      <c r="O78" s="37">
        <f>IF(B78="","",I78*INDEX(PRECIOS!$D$6:$D$55,K78))</f>
      </c>
      <c r="P78" s="37">
        <f>IF(B78="","",N(ENTRADA!$X78))</f>
      </c>
      <c r="Q78" s="70">
        <f>IF(B78="","",M78+N78+O78+P78)</f>
      </c>
      <c r="R78" s="71">
        <f>IF(B78="","",IF(ENTRADA!$J78="",Std_Viajes_Puerto,ENTRADA!$J78))</f>
      </c>
      <c r="S78" s="37">
        <f>IF(B78="","",R78*INDEX(PRECIOS!$F$6:$F$55,K78))</f>
      </c>
      <c r="T78" s="71">
        <f>IF(B78="","",R78*Litros_Puerto_Viaje)</f>
      </c>
      <c r="U78" s="71">
        <f>IF(B78="","",IF(ENTRADA!$K78="",T78,ENTRADA!$K78))</f>
      </c>
      <c r="V78" s="37">
        <f>IF(B78="","",U78*INDEX(PRECIOS!$E$6:$E$55,K78))</f>
      </c>
      <c r="W78" s="37">
        <f>IF(B78="","",IF(ENTRADA!$L78="",R78*INDEX(PRECIOS!$G$6:$G$55,K78),ENTRADA!$L78))</f>
      </c>
      <c r="X78" s="37">
        <f>IF(B78="","",R78*Km_Puerto_Viaje*INDEX(PRECIOS!$N$6:$N$55,K78))</f>
      </c>
      <c r="Y78" s="70">
        <f>IF(B78="","",S78+V78+W78+X78)</f>
      </c>
      <c r="Z78" s="71">
        <f>IF(B78="","",IF(J78=0,0,ROUNDUP(J78/Rend_Desagrupe,0)))</f>
      </c>
      <c r="AA78" s="71">
        <f>IF(B78="","",IF(ENTRADA!$M78="",Z78,ENTRADA!$M78))</f>
      </c>
      <c r="AB78" s="37">
        <f>IF(B78="","",AA78*INDEX(PRECIOS!$H$6:$H$55,K78))</f>
      </c>
      <c r="AC78" s="37">
        <f>IF(B78="","",IF(E78="ENCI",INDEX(PRECIOS!$J$6:$J$55,K78),IF(E78="A.V",INDEX(PRECIOS!$K$6:$K$55,K78),0)))</f>
      </c>
      <c r="AD78" s="37">
        <f>IF(B78="","",N(ENTRADA!$N78))</f>
      </c>
      <c r="AE78" s="70">
        <f>IF(B78="","",AB78+AC78+AD78)</f>
      </c>
      <c r="AF78" s="71">
        <f>IF(B78="","",IF(G78=0,0,ROUNDUP(G78/Cap_Camion_OCC,0)))</f>
      </c>
      <c r="AG78" s="71">
        <f>IF(B78="","",AF78*L_Dist_OCC)</f>
      </c>
      <c r="AH78" s="71">
        <f>IF(B78="","",IF(ENTRADA!$O78="",AG78,ENTRADA!$O78))</f>
      </c>
      <c r="AI78" s="37">
        <f>IF(B78="","",AH78*INDEX(PRECIOS!$E$6:$E$55,K78))</f>
      </c>
      <c r="AJ78" s="71">
        <f>IF(B78="","",IF(H78=0,0,ROUNDUP(H78/Cap_Camion_CEN,0)))</f>
      </c>
      <c r="AK78" s="71">
        <f>IF(B78="","",AJ78*L_Tras_CEN)</f>
      </c>
      <c r="AL78" s="71">
        <f>IF(B78="","",IF(ENTRADA!$P78="",AK78,ENTRADA!$P78))</f>
      </c>
      <c r="AM78" s="71">
        <f>IF(B78="","",AJ78*L_Dist_CEN)</f>
      </c>
      <c r="AN78" s="71">
        <f>IF(B78="","",IF(ENTRADA!$Q78="",AM78,ENTRADA!$Q78))</f>
      </c>
      <c r="AO78" s="37">
        <f>IF(B78="","",(AL78+AN78)*INDEX(PRECIOS!$E$6:$E$55,K78))</f>
      </c>
      <c r="AP78" s="71">
        <f>IF(B78="","",IF(H78=0,0,ROUNDUP(H78/Rend_Desagrupe_CT,0)))</f>
      </c>
      <c r="AQ78" s="71">
        <f>IF(B78="","",IF(ENTRADA!$R78="",AP78,ENTRADA!$R78))</f>
      </c>
      <c r="AR78" s="37">
        <f>IF(B78="","",AQ78*INDEX(PRECIOS!$I$6:$I$55,K78))</f>
      </c>
      <c r="AS78" s="37">
        <f>IF(B78="","",AO78+AR78)</f>
      </c>
      <c r="AT78" s="71">
        <f>IF(B78="","",IF(I78=0,0,ROUNDUP(I78/Cap_Camion_ORI,0)))</f>
      </c>
      <c r="AU78" s="71">
        <f>IF(B78="","",AT78*L_Tras_ORI)</f>
      </c>
      <c r="AV78" s="71">
        <f>IF(B78="","",IF(ENTRADA!$S78="",AU78,ENTRADA!$S78))</f>
      </c>
      <c r="AW78" s="71">
        <f>IF(B78="","",AT78*L_Dist_ORI)</f>
      </c>
      <c r="AX78" s="71">
        <f>IF(B78="","",IF(ENTRADA!$T78="",AW78,ENTRADA!$T78))</f>
      </c>
      <c r="AY78" s="37">
        <f>IF(B78="","",(AV78+AX78)*INDEX(PRECIOS!$E$6:$E$55,K78))</f>
      </c>
      <c r="AZ78" s="71">
        <f>IF(B78="","",IF(I78=0,0,ROUNDUP(I78/Rend_Desagrupe_CT,0)))</f>
      </c>
      <c r="BA78" s="71">
        <f>IF(B78="","",IF(ENTRADA!$U78="",AZ78,ENTRADA!$U78))</f>
      </c>
      <c r="BB78" s="37">
        <f>IF(B78="","",BA78*INDEX(PRECIOS!$I$6:$I$55,K78))</f>
      </c>
      <c r="BC78" s="37">
        <f>IF(B78="","",AY78+BB78)</f>
      </c>
      <c r="BD78" s="70">
        <f>IF(B78="","",AI78+AS78+BC78)</f>
      </c>
      <c r="BE78" s="37">
        <f>IF(B78="","",IF(Base_Comision="% DEL INGRESO",M78*INDEX(PRECIOS!$L$6:$L$55,K78),G78*INDEX(PRECIOS!$M$6:$M$55,K78)))</f>
      </c>
      <c r="BF78" s="37">
        <f>IF(B78="","",IF(Base_Comision="% DEL INGRESO",N78*INDEX(PRECIOS!$L$6:$L$55,K78),H78*INDEX(PRECIOS!$M$6:$M$55,K78)))</f>
      </c>
      <c r="BG78" s="37">
        <f>IF(B78="","",IF(Base_Comision="% DEL INGRESO",O78*INDEX(PRECIOS!$L$6:$L$55,K78),I78*INDEX(PRECIOS!$M$6:$M$55,K78)))</f>
      </c>
      <c r="BH78" s="70">
        <f>IF(B78="","",BE78+BF78+BG78)</f>
      </c>
      <c r="BI78" s="37">
        <f>IF(B78="","",Q78*Pct_Reclamaciones)</f>
      </c>
      <c r="BJ78" s="37">
        <f>IF(B78="","",Q78*Pct_Banco)</f>
      </c>
      <c r="BK78" s="37">
        <f>IF(B78="","",N(ENTRADA!$V78))</f>
      </c>
      <c r="BL78" s="70">
        <f>IF(B78="","",Y78+AE78+BD78+BH78+BI78+BJ78+BK78)</f>
      </c>
      <c r="BM78" s="70">
        <f>IF(B78="","",Q78-BL78)</f>
      </c>
      <c r="BN78" s="72">
        <f>IF(B78="","",IF(Q78=0,0,BM78/Q78))</f>
      </c>
      <c r="BO78" s="73">
        <f>IF(B78="","",IF(J78=0,0,BM78/J78))</f>
      </c>
      <c r="BP78" s="60">
        <f>IF(B78="","",IFERROR(MATCH(D78,COSTOS_FIJOS!$G$5:$AD$5,0),0))</f>
      </c>
      <c r="BQ78" s="60">
        <f>IF(B78="","",COUNTIFS($D$6:$D$305,D78))</f>
      </c>
      <c r="BR78" s="67">
        <f>IF(B78="","",SUMIFS($J$6:$J$305,$D$6:$D$305,D78))</f>
      </c>
      <c r="BS78" s="72">
        <f>IF(B78="","",IF(Metodo_Prorrateo="KG",IF(BR78=0,0,J78/BR78),1/BQ78))</f>
      </c>
      <c r="BT78" s="37">
        <f>IF(B78="","",IF(BP78=0,0,INDEX(COSTOS_FIJOS!$G$38:$AD$38,BP78))*BS78)</f>
      </c>
      <c r="BU78" s="72">
        <f>IF(B78="","",IF(Metodo_Prorrateo="KG",IF(SUMIFS($G$6:$G$305,$D$6:$D$305,D78)=0,0,G78/SUMIFS($G$6:$G$305,$D$6:$D$305,D78)),IF(G78&gt;0,1/COUNTIFS($D$6:$D$305,D78,$G$6:$G$305,"&gt;0"),0)))</f>
      </c>
      <c r="BV78" s="37">
        <f>IF(B78="","",IF(BP78=0,0,INDEX(COSTOS_FIJOS!$G$39:$AD$39,BP78))*BU78)</f>
      </c>
      <c r="BW78" s="72">
        <f>IF(B78="","",IF(Metodo_Prorrateo="KG",IF(SUMIFS($H$6:$H$305,$D$6:$D$305,D78)=0,0,H78/SUMIFS($H$6:$H$305,$D$6:$D$305,D78)),IF(H78&gt;0,1/COUNTIFS($D$6:$D$305,D78,$H$6:$H$305,"&gt;0"),0)))</f>
      </c>
      <c r="BX78" s="37">
        <f>IF(B78="","",IF(BP78=0,0,INDEX(COSTOS_FIJOS!$G$40:$AD$40,BP78))*BW78)</f>
      </c>
      <c r="BY78" s="72">
        <f>IF(B78="","",IF(Metodo_Prorrateo="KG",IF(SUMIFS($I$6:$I$305,$D$6:$D$305,D78)=0,0,I78/SUMIFS($I$6:$I$305,$D$6:$D$305,D78)),IF(I78&gt;0,1/COUNTIFS($D$6:$D$305,D78,$I$6:$I$305,"&gt;0"),0)))</f>
      </c>
      <c r="BZ78" s="37">
        <f>IF(B78="","",IF(BP78=0,0,INDEX(COSTOS_FIJOS!$G$41:$AD$41,BP78))*BY78)</f>
      </c>
      <c r="CA78" s="70">
        <f>IF(B78="","",BT78+BV78+BX78+BZ78)</f>
      </c>
      <c r="CB78" s="37">
        <f>IF(B78="","",Q78*Imp_Ventas_Serv)</f>
      </c>
      <c r="CC78" s="37">
        <f>IF(B78="","",Q78*Contrib_Territorial)</f>
      </c>
      <c r="CD78" s="70">
        <f>IF(B78="","",BM78-CA78-CB78-CC78)</f>
      </c>
      <c r="CE78" s="37">
        <f>IF(B78="","",MAX(0,CD78)*Imp_Utilidades)</f>
      </c>
      <c r="CF78" s="70">
        <f>IF(B78="","",CD78-CE78)</f>
      </c>
      <c r="CG78" s="72">
        <f>IF(B78="","",IF(Q78=0,0,CF78/Q78))</f>
      </c>
      <c r="CH78" s="73">
        <f>IF(B78="","",IF(J78=0,0,(BL78+CA78+CB78+CC78)/J78))</f>
      </c>
      <c r="CI78" s="73">
        <f>IF(B78="","",IF(J78=0,0,Q78/J78))</f>
      </c>
      <c r="CJ78" s="73">
        <f>IF(B78="","",IF(J78=0,0,CD78/J78))</f>
      </c>
      <c r="CK78" s="37">
        <f>IF(B78="","",Y78+AE78+BK78+BT78)</f>
      </c>
      <c r="CL78" s="37">
        <f>IF(B78="","",IF(J78=0,0,(M78+P78*G78/J78)*(1-Pct_Reclamaciones-Pct_Banco-Imp_Ventas_Serv-Contrib_Territorial)-AI78-BE78-BV78-CK78*G78/J78))</f>
      </c>
      <c r="CM78" s="37">
        <f>IF(B78="","",IF(J78=0,0,(N78+P78*H78/J78)*(1-Pct_Reclamaciones-Pct_Banco-Imp_Ventas_Serv-Contrib_Territorial)-AS78-BF78-BX78-CK78*H78/J78))</f>
      </c>
      <c r="CN78" s="37">
        <f>IF(B78="","",IF(J78=0,0,(O78+P78*I78/J78)*(1-Pct_Reclamaciones-Pct_Banco-Imp_Ventas_Serv-Contrib_Territorial)-BC78-BG78-BZ78-CK78*I78/J78))</f>
      </c>
      <c r="CO78" s="37">
        <f>IF(B78="","",IF(J78=0,0,ROUND(CD78-CL78-CM78-CN78,4)))</f>
      </c>
      <c r="CP78" s="71">
        <f>IF(B78="","",T78+AG78+AK78+AM78+AU78+AW78)</f>
      </c>
      <c r="CQ78" s="71">
        <f>IF(B78="","",U78+AH78+AL78+AN78+AV78+AX78)</f>
      </c>
      <c r="CR78" s="72">
        <f>IF(B78="","",IF(CP78=0,0,CQ78/CP78-1))</f>
      </c>
      <c r="CS78" s="60">
        <f>IF(B78="","",IF(ENTRADA!$Y78="","",ENTRADA!$Y78-C78))</f>
      </c>
      <c r="CT78" s="66">
        <f>IF(B78="","",IF(ENTRADA!$C78="","Falta fecha. ","")&amp;IF(BP78=0,"Mes fuera del rango de COSTOS_FIJOS. ","")&amp;IF(J78=0,"Sin kg. ","")&amp;IF(E78="","Falta transitaria. ","")&amp;IF(AND(T78&gt;0,U78/T78-1&gt;Tolerancia_Comb),"Combustible al puerto "&amp;TEXT(U78/T78-1,"+0%")&amp;" sobre norma. ","")&amp;IF(AND(AG78&gt;0,AH78/AG78-1&gt;Tolerancia_Comb),"Combustible distribución Occidente "&amp;TEXT(AH78/AG78-1,"+0%")&amp;" sobre norma. ","")&amp;IF(AND(AK78&gt;0,AL78/AK78-1&gt;Tolerancia_Comb),"Combustible traslado Centro "&amp;TEXT(AL78/AK78-1,"+0%")&amp;" sobre norma. ","")&amp;IF(AND(AM78&gt;0,AN78/AM78-1&gt;Tolerancia_Comb),"Combustible distribución Centro "&amp;TEXT(AN78/AM78-1,"+0%")&amp;" sobre norma. ","")&amp;IF(AND(AU78&gt;0,AV78/AU78-1&gt;Tolerancia_Comb),"Combustible traslado Oriente "&amp;TEXT(AV78/AU78-1,"+0%")&amp;" sobre norma. ","")&amp;IF(AND(AW78&gt;0,AX78/AW78-1&gt;Tolerancia_Comb),"Combustible distribución Oriente "&amp;TEXT(AX78/AW78-1,"+0%")&amp;" sobre norma. ","")&amp;IF(AND(ENTRADA!$C78&lt;&gt;"",C78&lt;PRECIOS!$A$6),"Fecha anterior a la 1ª vigencia de precios. ","")&amp;IF(CD78&lt;0,"Contenedor con pérdida. ",""))</f>
      </c>
    </row>
    <row r="79">
      <c r="A79" s="60">
        <f>IF(B79="","",ROW()-5)</f>
      </c>
      <c r="B79" s="63">
        <f>IF(ENTRADA!$B79="","",ENTRADA!$B79)</f>
      </c>
      <c r="C79" s="64">
        <f>IF(B79="","",ENTRADA!$C79)</f>
      </c>
      <c r="D79" s="65">
        <f>IF(B79="","",DATE(YEAR(C79),MONTH(C79),1))</f>
      </c>
      <c r="E79" s="66">
        <f>IF(B79="","",ENTRADA!$D79&amp;"")</f>
      </c>
      <c r="F79" s="66">
        <f>IF(B79="","",ENTRADA!$Z79&amp;"")</f>
      </c>
      <c r="G79" s="67">
        <f>IF(B79="","",N(ENTRADA!$G79))</f>
      </c>
      <c r="H79" s="67">
        <f>IF(B79="","",N(ENTRADA!$H79))</f>
      </c>
      <c r="I79" s="67">
        <f>IF(B79="","",N(ENTRADA!$I79))</f>
      </c>
      <c r="J79" s="68">
        <f>IF(B79="","",G79+H79+I79)</f>
      </c>
      <c r="K79" s="60">
        <f>IF(B79="","",IFERROR(MATCH(SUMPRODUCT(MAX((PRECIOS!$A$6:$A$55&lt;=C79)*PRECIOS!$A$6:$A$55)),PRECIOS!$A$6:$A$55,0),1))</f>
      </c>
      <c r="L79" s="69">
        <f>IF(B79="","",INDEX(PRECIOS!$A$6:$A$55,K79))</f>
      </c>
      <c r="M79" s="37">
        <f>IF(B79="","",G79*INDEX(PRECIOS!$B$6:$B$55,K79))</f>
      </c>
      <c r="N79" s="37">
        <f>IF(B79="","",H79*INDEX(PRECIOS!$C$6:$C$55,K79))</f>
      </c>
      <c r="O79" s="37">
        <f>IF(B79="","",I79*INDEX(PRECIOS!$D$6:$D$55,K79))</f>
      </c>
      <c r="P79" s="37">
        <f>IF(B79="","",N(ENTRADA!$X79))</f>
      </c>
      <c r="Q79" s="70">
        <f>IF(B79="","",M79+N79+O79+P79)</f>
      </c>
      <c r="R79" s="71">
        <f>IF(B79="","",IF(ENTRADA!$J79="",Std_Viajes_Puerto,ENTRADA!$J79))</f>
      </c>
      <c r="S79" s="37">
        <f>IF(B79="","",R79*INDEX(PRECIOS!$F$6:$F$55,K79))</f>
      </c>
      <c r="T79" s="71">
        <f>IF(B79="","",R79*Litros_Puerto_Viaje)</f>
      </c>
      <c r="U79" s="71">
        <f>IF(B79="","",IF(ENTRADA!$K79="",T79,ENTRADA!$K79))</f>
      </c>
      <c r="V79" s="37">
        <f>IF(B79="","",U79*INDEX(PRECIOS!$E$6:$E$55,K79))</f>
      </c>
      <c r="W79" s="37">
        <f>IF(B79="","",IF(ENTRADA!$L79="",R79*INDEX(PRECIOS!$G$6:$G$55,K79),ENTRADA!$L79))</f>
      </c>
      <c r="X79" s="37">
        <f>IF(B79="","",R79*Km_Puerto_Viaje*INDEX(PRECIOS!$N$6:$N$55,K79))</f>
      </c>
      <c r="Y79" s="70">
        <f>IF(B79="","",S79+V79+W79+X79)</f>
      </c>
      <c r="Z79" s="71">
        <f>IF(B79="","",IF(J79=0,0,ROUNDUP(J79/Rend_Desagrupe,0)))</f>
      </c>
      <c r="AA79" s="71">
        <f>IF(B79="","",IF(ENTRADA!$M79="",Z79,ENTRADA!$M79))</f>
      </c>
      <c r="AB79" s="37">
        <f>IF(B79="","",AA79*INDEX(PRECIOS!$H$6:$H$55,K79))</f>
      </c>
      <c r="AC79" s="37">
        <f>IF(B79="","",IF(E79="ENCI",INDEX(PRECIOS!$J$6:$J$55,K79),IF(E79="A.V",INDEX(PRECIOS!$K$6:$K$55,K79),0)))</f>
      </c>
      <c r="AD79" s="37">
        <f>IF(B79="","",N(ENTRADA!$N79))</f>
      </c>
      <c r="AE79" s="70">
        <f>IF(B79="","",AB79+AC79+AD79)</f>
      </c>
      <c r="AF79" s="71">
        <f>IF(B79="","",IF(G79=0,0,ROUNDUP(G79/Cap_Camion_OCC,0)))</f>
      </c>
      <c r="AG79" s="71">
        <f>IF(B79="","",AF79*L_Dist_OCC)</f>
      </c>
      <c r="AH79" s="71">
        <f>IF(B79="","",IF(ENTRADA!$O79="",AG79,ENTRADA!$O79))</f>
      </c>
      <c r="AI79" s="37">
        <f>IF(B79="","",AH79*INDEX(PRECIOS!$E$6:$E$55,K79))</f>
      </c>
      <c r="AJ79" s="71">
        <f>IF(B79="","",IF(H79=0,0,ROUNDUP(H79/Cap_Camion_CEN,0)))</f>
      </c>
      <c r="AK79" s="71">
        <f>IF(B79="","",AJ79*L_Tras_CEN)</f>
      </c>
      <c r="AL79" s="71">
        <f>IF(B79="","",IF(ENTRADA!$P79="",AK79,ENTRADA!$P79))</f>
      </c>
      <c r="AM79" s="71">
        <f>IF(B79="","",AJ79*L_Dist_CEN)</f>
      </c>
      <c r="AN79" s="71">
        <f>IF(B79="","",IF(ENTRADA!$Q79="",AM79,ENTRADA!$Q79))</f>
      </c>
      <c r="AO79" s="37">
        <f>IF(B79="","",(AL79+AN79)*INDEX(PRECIOS!$E$6:$E$55,K79))</f>
      </c>
      <c r="AP79" s="71">
        <f>IF(B79="","",IF(H79=0,0,ROUNDUP(H79/Rend_Desagrupe_CT,0)))</f>
      </c>
      <c r="AQ79" s="71">
        <f>IF(B79="","",IF(ENTRADA!$R79="",AP79,ENTRADA!$R79))</f>
      </c>
      <c r="AR79" s="37">
        <f>IF(B79="","",AQ79*INDEX(PRECIOS!$I$6:$I$55,K79))</f>
      </c>
      <c r="AS79" s="37">
        <f>IF(B79="","",AO79+AR79)</f>
      </c>
      <c r="AT79" s="71">
        <f>IF(B79="","",IF(I79=0,0,ROUNDUP(I79/Cap_Camion_ORI,0)))</f>
      </c>
      <c r="AU79" s="71">
        <f>IF(B79="","",AT79*L_Tras_ORI)</f>
      </c>
      <c r="AV79" s="71">
        <f>IF(B79="","",IF(ENTRADA!$S79="",AU79,ENTRADA!$S79))</f>
      </c>
      <c r="AW79" s="71">
        <f>IF(B79="","",AT79*L_Dist_ORI)</f>
      </c>
      <c r="AX79" s="71">
        <f>IF(B79="","",IF(ENTRADA!$T79="",AW79,ENTRADA!$T79))</f>
      </c>
      <c r="AY79" s="37">
        <f>IF(B79="","",(AV79+AX79)*INDEX(PRECIOS!$E$6:$E$55,K79))</f>
      </c>
      <c r="AZ79" s="71">
        <f>IF(B79="","",IF(I79=0,0,ROUNDUP(I79/Rend_Desagrupe_CT,0)))</f>
      </c>
      <c r="BA79" s="71">
        <f>IF(B79="","",IF(ENTRADA!$U79="",AZ79,ENTRADA!$U79))</f>
      </c>
      <c r="BB79" s="37">
        <f>IF(B79="","",BA79*INDEX(PRECIOS!$I$6:$I$55,K79))</f>
      </c>
      <c r="BC79" s="37">
        <f>IF(B79="","",AY79+BB79)</f>
      </c>
      <c r="BD79" s="70">
        <f>IF(B79="","",AI79+AS79+BC79)</f>
      </c>
      <c r="BE79" s="37">
        <f>IF(B79="","",IF(Base_Comision="% DEL INGRESO",M79*INDEX(PRECIOS!$L$6:$L$55,K79),G79*INDEX(PRECIOS!$M$6:$M$55,K79)))</f>
      </c>
      <c r="BF79" s="37">
        <f>IF(B79="","",IF(Base_Comision="% DEL INGRESO",N79*INDEX(PRECIOS!$L$6:$L$55,K79),H79*INDEX(PRECIOS!$M$6:$M$55,K79)))</f>
      </c>
      <c r="BG79" s="37">
        <f>IF(B79="","",IF(Base_Comision="% DEL INGRESO",O79*INDEX(PRECIOS!$L$6:$L$55,K79),I79*INDEX(PRECIOS!$M$6:$M$55,K79)))</f>
      </c>
      <c r="BH79" s="70">
        <f>IF(B79="","",BE79+BF79+BG79)</f>
      </c>
      <c r="BI79" s="37">
        <f>IF(B79="","",Q79*Pct_Reclamaciones)</f>
      </c>
      <c r="BJ79" s="37">
        <f>IF(B79="","",Q79*Pct_Banco)</f>
      </c>
      <c r="BK79" s="37">
        <f>IF(B79="","",N(ENTRADA!$V79))</f>
      </c>
      <c r="BL79" s="70">
        <f>IF(B79="","",Y79+AE79+BD79+BH79+BI79+BJ79+BK79)</f>
      </c>
      <c r="BM79" s="70">
        <f>IF(B79="","",Q79-BL79)</f>
      </c>
      <c r="BN79" s="72">
        <f>IF(B79="","",IF(Q79=0,0,BM79/Q79))</f>
      </c>
      <c r="BO79" s="73">
        <f>IF(B79="","",IF(J79=0,0,BM79/J79))</f>
      </c>
      <c r="BP79" s="60">
        <f>IF(B79="","",IFERROR(MATCH(D79,COSTOS_FIJOS!$G$5:$AD$5,0),0))</f>
      </c>
      <c r="BQ79" s="60">
        <f>IF(B79="","",COUNTIFS($D$6:$D$305,D79))</f>
      </c>
      <c r="BR79" s="67">
        <f>IF(B79="","",SUMIFS($J$6:$J$305,$D$6:$D$305,D79))</f>
      </c>
      <c r="BS79" s="72">
        <f>IF(B79="","",IF(Metodo_Prorrateo="KG",IF(BR79=0,0,J79/BR79),1/BQ79))</f>
      </c>
      <c r="BT79" s="37">
        <f>IF(B79="","",IF(BP79=0,0,INDEX(COSTOS_FIJOS!$G$38:$AD$38,BP79))*BS79)</f>
      </c>
      <c r="BU79" s="72">
        <f>IF(B79="","",IF(Metodo_Prorrateo="KG",IF(SUMIFS($G$6:$G$305,$D$6:$D$305,D79)=0,0,G79/SUMIFS($G$6:$G$305,$D$6:$D$305,D79)),IF(G79&gt;0,1/COUNTIFS($D$6:$D$305,D79,$G$6:$G$305,"&gt;0"),0)))</f>
      </c>
      <c r="BV79" s="37">
        <f>IF(B79="","",IF(BP79=0,0,INDEX(COSTOS_FIJOS!$G$39:$AD$39,BP79))*BU79)</f>
      </c>
      <c r="BW79" s="72">
        <f>IF(B79="","",IF(Metodo_Prorrateo="KG",IF(SUMIFS($H$6:$H$305,$D$6:$D$305,D79)=0,0,H79/SUMIFS($H$6:$H$305,$D$6:$D$305,D79)),IF(H79&gt;0,1/COUNTIFS($D$6:$D$305,D79,$H$6:$H$305,"&gt;0"),0)))</f>
      </c>
      <c r="BX79" s="37">
        <f>IF(B79="","",IF(BP79=0,0,INDEX(COSTOS_FIJOS!$G$40:$AD$40,BP79))*BW79)</f>
      </c>
      <c r="BY79" s="72">
        <f>IF(B79="","",IF(Metodo_Prorrateo="KG",IF(SUMIFS($I$6:$I$305,$D$6:$D$305,D79)=0,0,I79/SUMIFS($I$6:$I$305,$D$6:$D$305,D79)),IF(I79&gt;0,1/COUNTIFS($D$6:$D$305,D79,$I$6:$I$305,"&gt;0"),0)))</f>
      </c>
      <c r="BZ79" s="37">
        <f>IF(B79="","",IF(BP79=0,0,INDEX(COSTOS_FIJOS!$G$41:$AD$41,BP79))*BY79)</f>
      </c>
      <c r="CA79" s="70">
        <f>IF(B79="","",BT79+BV79+BX79+BZ79)</f>
      </c>
      <c r="CB79" s="37">
        <f>IF(B79="","",Q79*Imp_Ventas_Serv)</f>
      </c>
      <c r="CC79" s="37">
        <f>IF(B79="","",Q79*Contrib_Territorial)</f>
      </c>
      <c r="CD79" s="70">
        <f>IF(B79="","",BM79-CA79-CB79-CC79)</f>
      </c>
      <c r="CE79" s="37">
        <f>IF(B79="","",MAX(0,CD79)*Imp_Utilidades)</f>
      </c>
      <c r="CF79" s="70">
        <f>IF(B79="","",CD79-CE79)</f>
      </c>
      <c r="CG79" s="72">
        <f>IF(B79="","",IF(Q79=0,0,CF79/Q79))</f>
      </c>
      <c r="CH79" s="73">
        <f>IF(B79="","",IF(J79=0,0,(BL79+CA79+CB79+CC79)/J79))</f>
      </c>
      <c r="CI79" s="73">
        <f>IF(B79="","",IF(J79=0,0,Q79/J79))</f>
      </c>
      <c r="CJ79" s="73">
        <f>IF(B79="","",IF(J79=0,0,CD79/J79))</f>
      </c>
      <c r="CK79" s="37">
        <f>IF(B79="","",Y79+AE79+BK79+BT79)</f>
      </c>
      <c r="CL79" s="37">
        <f>IF(B79="","",IF(J79=0,0,(M79+P79*G79/J79)*(1-Pct_Reclamaciones-Pct_Banco-Imp_Ventas_Serv-Contrib_Territorial)-AI79-BE79-BV79-CK79*G79/J79))</f>
      </c>
      <c r="CM79" s="37">
        <f>IF(B79="","",IF(J79=0,0,(N79+P79*H79/J79)*(1-Pct_Reclamaciones-Pct_Banco-Imp_Ventas_Serv-Contrib_Territorial)-AS79-BF79-BX79-CK79*H79/J79))</f>
      </c>
      <c r="CN79" s="37">
        <f>IF(B79="","",IF(J79=0,0,(O79+P79*I79/J79)*(1-Pct_Reclamaciones-Pct_Banco-Imp_Ventas_Serv-Contrib_Territorial)-BC79-BG79-BZ79-CK79*I79/J79))</f>
      </c>
      <c r="CO79" s="37">
        <f>IF(B79="","",IF(J79=0,0,ROUND(CD79-CL79-CM79-CN79,4)))</f>
      </c>
      <c r="CP79" s="71">
        <f>IF(B79="","",T79+AG79+AK79+AM79+AU79+AW79)</f>
      </c>
      <c r="CQ79" s="71">
        <f>IF(B79="","",U79+AH79+AL79+AN79+AV79+AX79)</f>
      </c>
      <c r="CR79" s="72">
        <f>IF(B79="","",IF(CP79=0,0,CQ79/CP79-1))</f>
      </c>
      <c r="CS79" s="60">
        <f>IF(B79="","",IF(ENTRADA!$Y79="","",ENTRADA!$Y79-C79))</f>
      </c>
      <c r="CT79" s="66">
        <f>IF(B79="","",IF(ENTRADA!$C79="","Falta fecha. ","")&amp;IF(BP79=0,"Mes fuera del rango de COSTOS_FIJOS. ","")&amp;IF(J79=0,"Sin kg. ","")&amp;IF(E79="","Falta transitaria. ","")&amp;IF(AND(T79&gt;0,U79/T79-1&gt;Tolerancia_Comb),"Combustible al puerto "&amp;TEXT(U79/T79-1,"+0%")&amp;" sobre norma. ","")&amp;IF(AND(AG79&gt;0,AH79/AG79-1&gt;Tolerancia_Comb),"Combustible distribución Occidente "&amp;TEXT(AH79/AG79-1,"+0%")&amp;" sobre norma. ","")&amp;IF(AND(AK79&gt;0,AL79/AK79-1&gt;Tolerancia_Comb),"Combustible traslado Centro "&amp;TEXT(AL79/AK79-1,"+0%")&amp;" sobre norma. ","")&amp;IF(AND(AM79&gt;0,AN79/AM79-1&gt;Tolerancia_Comb),"Combustible distribución Centro "&amp;TEXT(AN79/AM79-1,"+0%")&amp;" sobre norma. ","")&amp;IF(AND(AU79&gt;0,AV79/AU79-1&gt;Tolerancia_Comb),"Combustible traslado Oriente "&amp;TEXT(AV79/AU79-1,"+0%")&amp;" sobre norma. ","")&amp;IF(AND(AW79&gt;0,AX79/AW79-1&gt;Tolerancia_Comb),"Combustible distribución Oriente "&amp;TEXT(AX79/AW79-1,"+0%")&amp;" sobre norma. ","")&amp;IF(AND(ENTRADA!$C79&lt;&gt;"",C79&lt;PRECIOS!$A$6),"Fecha anterior a la 1ª vigencia de precios. ","")&amp;IF(CD79&lt;0,"Contenedor con pérdida. ",""))</f>
      </c>
    </row>
    <row r="80">
      <c r="A80" s="60">
        <f>IF(B80="","",ROW()-5)</f>
      </c>
      <c r="B80" s="63">
        <f>IF(ENTRADA!$B80="","",ENTRADA!$B80)</f>
      </c>
      <c r="C80" s="64">
        <f>IF(B80="","",ENTRADA!$C80)</f>
      </c>
      <c r="D80" s="65">
        <f>IF(B80="","",DATE(YEAR(C80),MONTH(C80),1))</f>
      </c>
      <c r="E80" s="66">
        <f>IF(B80="","",ENTRADA!$D80&amp;"")</f>
      </c>
      <c r="F80" s="66">
        <f>IF(B80="","",ENTRADA!$Z80&amp;"")</f>
      </c>
      <c r="G80" s="67">
        <f>IF(B80="","",N(ENTRADA!$G80))</f>
      </c>
      <c r="H80" s="67">
        <f>IF(B80="","",N(ENTRADA!$H80))</f>
      </c>
      <c r="I80" s="67">
        <f>IF(B80="","",N(ENTRADA!$I80))</f>
      </c>
      <c r="J80" s="68">
        <f>IF(B80="","",G80+H80+I80)</f>
      </c>
      <c r="K80" s="60">
        <f>IF(B80="","",IFERROR(MATCH(SUMPRODUCT(MAX((PRECIOS!$A$6:$A$55&lt;=C80)*PRECIOS!$A$6:$A$55)),PRECIOS!$A$6:$A$55,0),1))</f>
      </c>
      <c r="L80" s="69">
        <f>IF(B80="","",INDEX(PRECIOS!$A$6:$A$55,K80))</f>
      </c>
      <c r="M80" s="37">
        <f>IF(B80="","",G80*INDEX(PRECIOS!$B$6:$B$55,K80))</f>
      </c>
      <c r="N80" s="37">
        <f>IF(B80="","",H80*INDEX(PRECIOS!$C$6:$C$55,K80))</f>
      </c>
      <c r="O80" s="37">
        <f>IF(B80="","",I80*INDEX(PRECIOS!$D$6:$D$55,K80))</f>
      </c>
      <c r="P80" s="37">
        <f>IF(B80="","",N(ENTRADA!$X80))</f>
      </c>
      <c r="Q80" s="70">
        <f>IF(B80="","",M80+N80+O80+P80)</f>
      </c>
      <c r="R80" s="71">
        <f>IF(B80="","",IF(ENTRADA!$J80="",Std_Viajes_Puerto,ENTRADA!$J80))</f>
      </c>
      <c r="S80" s="37">
        <f>IF(B80="","",R80*INDEX(PRECIOS!$F$6:$F$55,K80))</f>
      </c>
      <c r="T80" s="71">
        <f>IF(B80="","",R80*Litros_Puerto_Viaje)</f>
      </c>
      <c r="U80" s="71">
        <f>IF(B80="","",IF(ENTRADA!$K80="",T80,ENTRADA!$K80))</f>
      </c>
      <c r="V80" s="37">
        <f>IF(B80="","",U80*INDEX(PRECIOS!$E$6:$E$55,K80))</f>
      </c>
      <c r="W80" s="37">
        <f>IF(B80="","",IF(ENTRADA!$L80="",R80*INDEX(PRECIOS!$G$6:$G$55,K80),ENTRADA!$L80))</f>
      </c>
      <c r="X80" s="37">
        <f>IF(B80="","",R80*Km_Puerto_Viaje*INDEX(PRECIOS!$N$6:$N$55,K80))</f>
      </c>
      <c r="Y80" s="70">
        <f>IF(B80="","",S80+V80+W80+X80)</f>
      </c>
      <c r="Z80" s="71">
        <f>IF(B80="","",IF(J80=0,0,ROUNDUP(J80/Rend_Desagrupe,0)))</f>
      </c>
      <c r="AA80" s="71">
        <f>IF(B80="","",IF(ENTRADA!$M80="",Z80,ENTRADA!$M80))</f>
      </c>
      <c r="AB80" s="37">
        <f>IF(B80="","",AA80*INDEX(PRECIOS!$H$6:$H$55,K80))</f>
      </c>
      <c r="AC80" s="37">
        <f>IF(B80="","",IF(E80="ENCI",INDEX(PRECIOS!$J$6:$J$55,K80),IF(E80="A.V",INDEX(PRECIOS!$K$6:$K$55,K80),0)))</f>
      </c>
      <c r="AD80" s="37">
        <f>IF(B80="","",N(ENTRADA!$N80))</f>
      </c>
      <c r="AE80" s="70">
        <f>IF(B80="","",AB80+AC80+AD80)</f>
      </c>
      <c r="AF80" s="71">
        <f>IF(B80="","",IF(G80=0,0,ROUNDUP(G80/Cap_Camion_OCC,0)))</f>
      </c>
      <c r="AG80" s="71">
        <f>IF(B80="","",AF80*L_Dist_OCC)</f>
      </c>
      <c r="AH80" s="71">
        <f>IF(B80="","",IF(ENTRADA!$O80="",AG80,ENTRADA!$O80))</f>
      </c>
      <c r="AI80" s="37">
        <f>IF(B80="","",AH80*INDEX(PRECIOS!$E$6:$E$55,K80))</f>
      </c>
      <c r="AJ80" s="71">
        <f>IF(B80="","",IF(H80=0,0,ROUNDUP(H80/Cap_Camion_CEN,0)))</f>
      </c>
      <c r="AK80" s="71">
        <f>IF(B80="","",AJ80*L_Tras_CEN)</f>
      </c>
      <c r="AL80" s="71">
        <f>IF(B80="","",IF(ENTRADA!$P80="",AK80,ENTRADA!$P80))</f>
      </c>
      <c r="AM80" s="71">
        <f>IF(B80="","",AJ80*L_Dist_CEN)</f>
      </c>
      <c r="AN80" s="71">
        <f>IF(B80="","",IF(ENTRADA!$Q80="",AM80,ENTRADA!$Q80))</f>
      </c>
      <c r="AO80" s="37">
        <f>IF(B80="","",(AL80+AN80)*INDEX(PRECIOS!$E$6:$E$55,K80))</f>
      </c>
      <c r="AP80" s="71">
        <f>IF(B80="","",IF(H80=0,0,ROUNDUP(H80/Rend_Desagrupe_CT,0)))</f>
      </c>
      <c r="AQ80" s="71">
        <f>IF(B80="","",IF(ENTRADA!$R80="",AP80,ENTRADA!$R80))</f>
      </c>
      <c r="AR80" s="37">
        <f>IF(B80="","",AQ80*INDEX(PRECIOS!$I$6:$I$55,K80))</f>
      </c>
      <c r="AS80" s="37">
        <f>IF(B80="","",AO80+AR80)</f>
      </c>
      <c r="AT80" s="71">
        <f>IF(B80="","",IF(I80=0,0,ROUNDUP(I80/Cap_Camion_ORI,0)))</f>
      </c>
      <c r="AU80" s="71">
        <f>IF(B80="","",AT80*L_Tras_ORI)</f>
      </c>
      <c r="AV80" s="71">
        <f>IF(B80="","",IF(ENTRADA!$S80="",AU80,ENTRADA!$S80))</f>
      </c>
      <c r="AW80" s="71">
        <f>IF(B80="","",AT80*L_Dist_ORI)</f>
      </c>
      <c r="AX80" s="71">
        <f>IF(B80="","",IF(ENTRADA!$T80="",AW80,ENTRADA!$T80))</f>
      </c>
      <c r="AY80" s="37">
        <f>IF(B80="","",(AV80+AX80)*INDEX(PRECIOS!$E$6:$E$55,K80))</f>
      </c>
      <c r="AZ80" s="71">
        <f>IF(B80="","",IF(I80=0,0,ROUNDUP(I80/Rend_Desagrupe_CT,0)))</f>
      </c>
      <c r="BA80" s="71">
        <f>IF(B80="","",IF(ENTRADA!$U80="",AZ80,ENTRADA!$U80))</f>
      </c>
      <c r="BB80" s="37">
        <f>IF(B80="","",BA80*INDEX(PRECIOS!$I$6:$I$55,K80))</f>
      </c>
      <c r="BC80" s="37">
        <f>IF(B80="","",AY80+BB80)</f>
      </c>
      <c r="BD80" s="70">
        <f>IF(B80="","",AI80+AS80+BC80)</f>
      </c>
      <c r="BE80" s="37">
        <f>IF(B80="","",IF(Base_Comision="% DEL INGRESO",M80*INDEX(PRECIOS!$L$6:$L$55,K80),G80*INDEX(PRECIOS!$M$6:$M$55,K80)))</f>
      </c>
      <c r="BF80" s="37">
        <f>IF(B80="","",IF(Base_Comision="% DEL INGRESO",N80*INDEX(PRECIOS!$L$6:$L$55,K80),H80*INDEX(PRECIOS!$M$6:$M$55,K80)))</f>
      </c>
      <c r="BG80" s="37">
        <f>IF(B80="","",IF(Base_Comision="% DEL INGRESO",O80*INDEX(PRECIOS!$L$6:$L$55,K80),I80*INDEX(PRECIOS!$M$6:$M$55,K80)))</f>
      </c>
      <c r="BH80" s="70">
        <f>IF(B80="","",BE80+BF80+BG80)</f>
      </c>
      <c r="BI80" s="37">
        <f>IF(B80="","",Q80*Pct_Reclamaciones)</f>
      </c>
      <c r="BJ80" s="37">
        <f>IF(B80="","",Q80*Pct_Banco)</f>
      </c>
      <c r="BK80" s="37">
        <f>IF(B80="","",N(ENTRADA!$V80))</f>
      </c>
      <c r="BL80" s="70">
        <f>IF(B80="","",Y80+AE80+BD80+BH80+BI80+BJ80+BK80)</f>
      </c>
      <c r="BM80" s="70">
        <f>IF(B80="","",Q80-BL80)</f>
      </c>
      <c r="BN80" s="72">
        <f>IF(B80="","",IF(Q80=0,0,BM80/Q80))</f>
      </c>
      <c r="BO80" s="73">
        <f>IF(B80="","",IF(J80=0,0,BM80/J80))</f>
      </c>
      <c r="BP80" s="60">
        <f>IF(B80="","",IFERROR(MATCH(D80,COSTOS_FIJOS!$G$5:$AD$5,0),0))</f>
      </c>
      <c r="BQ80" s="60">
        <f>IF(B80="","",COUNTIFS($D$6:$D$305,D80))</f>
      </c>
      <c r="BR80" s="67">
        <f>IF(B80="","",SUMIFS($J$6:$J$305,$D$6:$D$305,D80))</f>
      </c>
      <c r="BS80" s="72">
        <f>IF(B80="","",IF(Metodo_Prorrateo="KG",IF(BR80=0,0,J80/BR80),1/BQ80))</f>
      </c>
      <c r="BT80" s="37">
        <f>IF(B80="","",IF(BP80=0,0,INDEX(COSTOS_FIJOS!$G$38:$AD$38,BP80))*BS80)</f>
      </c>
      <c r="BU80" s="72">
        <f>IF(B80="","",IF(Metodo_Prorrateo="KG",IF(SUMIFS($G$6:$G$305,$D$6:$D$305,D80)=0,0,G80/SUMIFS($G$6:$G$305,$D$6:$D$305,D80)),IF(G80&gt;0,1/COUNTIFS($D$6:$D$305,D80,$G$6:$G$305,"&gt;0"),0)))</f>
      </c>
      <c r="BV80" s="37">
        <f>IF(B80="","",IF(BP80=0,0,INDEX(COSTOS_FIJOS!$G$39:$AD$39,BP80))*BU80)</f>
      </c>
      <c r="BW80" s="72">
        <f>IF(B80="","",IF(Metodo_Prorrateo="KG",IF(SUMIFS($H$6:$H$305,$D$6:$D$305,D80)=0,0,H80/SUMIFS($H$6:$H$305,$D$6:$D$305,D80)),IF(H80&gt;0,1/COUNTIFS($D$6:$D$305,D80,$H$6:$H$305,"&gt;0"),0)))</f>
      </c>
      <c r="BX80" s="37">
        <f>IF(B80="","",IF(BP80=0,0,INDEX(COSTOS_FIJOS!$G$40:$AD$40,BP80))*BW80)</f>
      </c>
      <c r="BY80" s="72">
        <f>IF(B80="","",IF(Metodo_Prorrateo="KG",IF(SUMIFS($I$6:$I$305,$D$6:$D$305,D80)=0,0,I80/SUMIFS($I$6:$I$305,$D$6:$D$305,D80)),IF(I80&gt;0,1/COUNTIFS($D$6:$D$305,D80,$I$6:$I$305,"&gt;0"),0)))</f>
      </c>
      <c r="BZ80" s="37">
        <f>IF(B80="","",IF(BP80=0,0,INDEX(COSTOS_FIJOS!$G$41:$AD$41,BP80))*BY80)</f>
      </c>
      <c r="CA80" s="70">
        <f>IF(B80="","",BT80+BV80+BX80+BZ80)</f>
      </c>
      <c r="CB80" s="37">
        <f>IF(B80="","",Q80*Imp_Ventas_Serv)</f>
      </c>
      <c r="CC80" s="37">
        <f>IF(B80="","",Q80*Contrib_Territorial)</f>
      </c>
      <c r="CD80" s="70">
        <f>IF(B80="","",BM80-CA80-CB80-CC80)</f>
      </c>
      <c r="CE80" s="37">
        <f>IF(B80="","",MAX(0,CD80)*Imp_Utilidades)</f>
      </c>
      <c r="CF80" s="70">
        <f>IF(B80="","",CD80-CE80)</f>
      </c>
      <c r="CG80" s="72">
        <f>IF(B80="","",IF(Q80=0,0,CF80/Q80))</f>
      </c>
      <c r="CH80" s="73">
        <f>IF(B80="","",IF(J80=0,0,(BL80+CA80+CB80+CC80)/J80))</f>
      </c>
      <c r="CI80" s="73">
        <f>IF(B80="","",IF(J80=0,0,Q80/J80))</f>
      </c>
      <c r="CJ80" s="73">
        <f>IF(B80="","",IF(J80=0,0,CD80/J80))</f>
      </c>
      <c r="CK80" s="37">
        <f>IF(B80="","",Y80+AE80+BK80+BT80)</f>
      </c>
      <c r="CL80" s="37">
        <f>IF(B80="","",IF(J80=0,0,(M80+P80*G80/J80)*(1-Pct_Reclamaciones-Pct_Banco-Imp_Ventas_Serv-Contrib_Territorial)-AI80-BE80-BV80-CK80*G80/J80))</f>
      </c>
      <c r="CM80" s="37">
        <f>IF(B80="","",IF(J80=0,0,(N80+P80*H80/J80)*(1-Pct_Reclamaciones-Pct_Banco-Imp_Ventas_Serv-Contrib_Territorial)-AS80-BF80-BX80-CK80*H80/J80))</f>
      </c>
      <c r="CN80" s="37">
        <f>IF(B80="","",IF(J80=0,0,(O80+P80*I80/J80)*(1-Pct_Reclamaciones-Pct_Banco-Imp_Ventas_Serv-Contrib_Territorial)-BC80-BG80-BZ80-CK80*I80/J80))</f>
      </c>
      <c r="CO80" s="37">
        <f>IF(B80="","",IF(J80=0,0,ROUND(CD80-CL80-CM80-CN80,4)))</f>
      </c>
      <c r="CP80" s="71">
        <f>IF(B80="","",T80+AG80+AK80+AM80+AU80+AW80)</f>
      </c>
      <c r="CQ80" s="71">
        <f>IF(B80="","",U80+AH80+AL80+AN80+AV80+AX80)</f>
      </c>
      <c r="CR80" s="72">
        <f>IF(B80="","",IF(CP80=0,0,CQ80/CP80-1))</f>
      </c>
      <c r="CS80" s="60">
        <f>IF(B80="","",IF(ENTRADA!$Y80="","",ENTRADA!$Y80-C80))</f>
      </c>
      <c r="CT80" s="66">
        <f>IF(B80="","",IF(ENTRADA!$C80="","Falta fecha. ","")&amp;IF(BP80=0,"Mes fuera del rango de COSTOS_FIJOS. ","")&amp;IF(J80=0,"Sin kg. ","")&amp;IF(E80="","Falta transitaria. ","")&amp;IF(AND(T80&gt;0,U80/T80-1&gt;Tolerancia_Comb),"Combustible al puerto "&amp;TEXT(U80/T80-1,"+0%")&amp;" sobre norma. ","")&amp;IF(AND(AG80&gt;0,AH80/AG80-1&gt;Tolerancia_Comb),"Combustible distribución Occidente "&amp;TEXT(AH80/AG80-1,"+0%")&amp;" sobre norma. ","")&amp;IF(AND(AK80&gt;0,AL80/AK80-1&gt;Tolerancia_Comb),"Combustible traslado Centro "&amp;TEXT(AL80/AK80-1,"+0%")&amp;" sobre norma. ","")&amp;IF(AND(AM80&gt;0,AN80/AM80-1&gt;Tolerancia_Comb),"Combustible distribución Centro "&amp;TEXT(AN80/AM80-1,"+0%")&amp;" sobre norma. ","")&amp;IF(AND(AU80&gt;0,AV80/AU80-1&gt;Tolerancia_Comb),"Combustible traslado Oriente "&amp;TEXT(AV80/AU80-1,"+0%")&amp;" sobre norma. ","")&amp;IF(AND(AW80&gt;0,AX80/AW80-1&gt;Tolerancia_Comb),"Combustible distribución Oriente "&amp;TEXT(AX80/AW80-1,"+0%")&amp;" sobre norma. ","")&amp;IF(AND(ENTRADA!$C80&lt;&gt;"",C80&lt;PRECIOS!$A$6),"Fecha anterior a la 1ª vigencia de precios. ","")&amp;IF(CD80&lt;0,"Contenedor con pérdida. ",""))</f>
      </c>
    </row>
    <row r="81">
      <c r="A81" s="60">
        <f>IF(B81="","",ROW()-5)</f>
      </c>
      <c r="B81" s="63">
        <f>IF(ENTRADA!$B81="","",ENTRADA!$B81)</f>
      </c>
      <c r="C81" s="64">
        <f>IF(B81="","",ENTRADA!$C81)</f>
      </c>
      <c r="D81" s="65">
        <f>IF(B81="","",DATE(YEAR(C81),MONTH(C81),1))</f>
      </c>
      <c r="E81" s="66">
        <f>IF(B81="","",ENTRADA!$D81&amp;"")</f>
      </c>
      <c r="F81" s="66">
        <f>IF(B81="","",ENTRADA!$Z81&amp;"")</f>
      </c>
      <c r="G81" s="67">
        <f>IF(B81="","",N(ENTRADA!$G81))</f>
      </c>
      <c r="H81" s="67">
        <f>IF(B81="","",N(ENTRADA!$H81))</f>
      </c>
      <c r="I81" s="67">
        <f>IF(B81="","",N(ENTRADA!$I81))</f>
      </c>
      <c r="J81" s="68">
        <f>IF(B81="","",G81+H81+I81)</f>
      </c>
      <c r="K81" s="60">
        <f>IF(B81="","",IFERROR(MATCH(SUMPRODUCT(MAX((PRECIOS!$A$6:$A$55&lt;=C81)*PRECIOS!$A$6:$A$55)),PRECIOS!$A$6:$A$55,0),1))</f>
      </c>
      <c r="L81" s="69">
        <f>IF(B81="","",INDEX(PRECIOS!$A$6:$A$55,K81))</f>
      </c>
      <c r="M81" s="37">
        <f>IF(B81="","",G81*INDEX(PRECIOS!$B$6:$B$55,K81))</f>
      </c>
      <c r="N81" s="37">
        <f>IF(B81="","",H81*INDEX(PRECIOS!$C$6:$C$55,K81))</f>
      </c>
      <c r="O81" s="37">
        <f>IF(B81="","",I81*INDEX(PRECIOS!$D$6:$D$55,K81))</f>
      </c>
      <c r="P81" s="37">
        <f>IF(B81="","",N(ENTRADA!$X81))</f>
      </c>
      <c r="Q81" s="70">
        <f>IF(B81="","",M81+N81+O81+P81)</f>
      </c>
      <c r="R81" s="71">
        <f>IF(B81="","",IF(ENTRADA!$J81="",Std_Viajes_Puerto,ENTRADA!$J81))</f>
      </c>
      <c r="S81" s="37">
        <f>IF(B81="","",R81*INDEX(PRECIOS!$F$6:$F$55,K81))</f>
      </c>
      <c r="T81" s="71">
        <f>IF(B81="","",R81*Litros_Puerto_Viaje)</f>
      </c>
      <c r="U81" s="71">
        <f>IF(B81="","",IF(ENTRADA!$K81="",T81,ENTRADA!$K81))</f>
      </c>
      <c r="V81" s="37">
        <f>IF(B81="","",U81*INDEX(PRECIOS!$E$6:$E$55,K81))</f>
      </c>
      <c r="W81" s="37">
        <f>IF(B81="","",IF(ENTRADA!$L81="",R81*INDEX(PRECIOS!$G$6:$G$55,K81),ENTRADA!$L81))</f>
      </c>
      <c r="X81" s="37">
        <f>IF(B81="","",R81*Km_Puerto_Viaje*INDEX(PRECIOS!$N$6:$N$55,K81))</f>
      </c>
      <c r="Y81" s="70">
        <f>IF(B81="","",S81+V81+W81+X81)</f>
      </c>
      <c r="Z81" s="71">
        <f>IF(B81="","",IF(J81=0,0,ROUNDUP(J81/Rend_Desagrupe,0)))</f>
      </c>
      <c r="AA81" s="71">
        <f>IF(B81="","",IF(ENTRADA!$M81="",Z81,ENTRADA!$M81))</f>
      </c>
      <c r="AB81" s="37">
        <f>IF(B81="","",AA81*INDEX(PRECIOS!$H$6:$H$55,K81))</f>
      </c>
      <c r="AC81" s="37">
        <f>IF(B81="","",IF(E81="ENCI",INDEX(PRECIOS!$J$6:$J$55,K81),IF(E81="A.V",INDEX(PRECIOS!$K$6:$K$55,K81),0)))</f>
      </c>
      <c r="AD81" s="37">
        <f>IF(B81="","",N(ENTRADA!$N81))</f>
      </c>
      <c r="AE81" s="70">
        <f>IF(B81="","",AB81+AC81+AD81)</f>
      </c>
      <c r="AF81" s="71">
        <f>IF(B81="","",IF(G81=0,0,ROUNDUP(G81/Cap_Camion_OCC,0)))</f>
      </c>
      <c r="AG81" s="71">
        <f>IF(B81="","",AF81*L_Dist_OCC)</f>
      </c>
      <c r="AH81" s="71">
        <f>IF(B81="","",IF(ENTRADA!$O81="",AG81,ENTRADA!$O81))</f>
      </c>
      <c r="AI81" s="37">
        <f>IF(B81="","",AH81*INDEX(PRECIOS!$E$6:$E$55,K81))</f>
      </c>
      <c r="AJ81" s="71">
        <f>IF(B81="","",IF(H81=0,0,ROUNDUP(H81/Cap_Camion_CEN,0)))</f>
      </c>
      <c r="AK81" s="71">
        <f>IF(B81="","",AJ81*L_Tras_CEN)</f>
      </c>
      <c r="AL81" s="71">
        <f>IF(B81="","",IF(ENTRADA!$P81="",AK81,ENTRADA!$P81))</f>
      </c>
      <c r="AM81" s="71">
        <f>IF(B81="","",AJ81*L_Dist_CEN)</f>
      </c>
      <c r="AN81" s="71">
        <f>IF(B81="","",IF(ENTRADA!$Q81="",AM81,ENTRADA!$Q81))</f>
      </c>
      <c r="AO81" s="37">
        <f>IF(B81="","",(AL81+AN81)*INDEX(PRECIOS!$E$6:$E$55,K81))</f>
      </c>
      <c r="AP81" s="71">
        <f>IF(B81="","",IF(H81=0,0,ROUNDUP(H81/Rend_Desagrupe_CT,0)))</f>
      </c>
      <c r="AQ81" s="71">
        <f>IF(B81="","",IF(ENTRADA!$R81="",AP81,ENTRADA!$R81))</f>
      </c>
      <c r="AR81" s="37">
        <f>IF(B81="","",AQ81*INDEX(PRECIOS!$I$6:$I$55,K81))</f>
      </c>
      <c r="AS81" s="37">
        <f>IF(B81="","",AO81+AR81)</f>
      </c>
      <c r="AT81" s="71">
        <f>IF(B81="","",IF(I81=0,0,ROUNDUP(I81/Cap_Camion_ORI,0)))</f>
      </c>
      <c r="AU81" s="71">
        <f>IF(B81="","",AT81*L_Tras_ORI)</f>
      </c>
      <c r="AV81" s="71">
        <f>IF(B81="","",IF(ENTRADA!$S81="",AU81,ENTRADA!$S81))</f>
      </c>
      <c r="AW81" s="71">
        <f>IF(B81="","",AT81*L_Dist_ORI)</f>
      </c>
      <c r="AX81" s="71">
        <f>IF(B81="","",IF(ENTRADA!$T81="",AW81,ENTRADA!$T81))</f>
      </c>
      <c r="AY81" s="37">
        <f>IF(B81="","",(AV81+AX81)*INDEX(PRECIOS!$E$6:$E$55,K81))</f>
      </c>
      <c r="AZ81" s="71">
        <f>IF(B81="","",IF(I81=0,0,ROUNDUP(I81/Rend_Desagrupe_CT,0)))</f>
      </c>
      <c r="BA81" s="71">
        <f>IF(B81="","",IF(ENTRADA!$U81="",AZ81,ENTRADA!$U81))</f>
      </c>
      <c r="BB81" s="37">
        <f>IF(B81="","",BA81*INDEX(PRECIOS!$I$6:$I$55,K81))</f>
      </c>
      <c r="BC81" s="37">
        <f>IF(B81="","",AY81+BB81)</f>
      </c>
      <c r="BD81" s="70">
        <f>IF(B81="","",AI81+AS81+BC81)</f>
      </c>
      <c r="BE81" s="37">
        <f>IF(B81="","",IF(Base_Comision="% DEL INGRESO",M81*INDEX(PRECIOS!$L$6:$L$55,K81),G81*INDEX(PRECIOS!$M$6:$M$55,K81)))</f>
      </c>
      <c r="BF81" s="37">
        <f>IF(B81="","",IF(Base_Comision="% DEL INGRESO",N81*INDEX(PRECIOS!$L$6:$L$55,K81),H81*INDEX(PRECIOS!$M$6:$M$55,K81)))</f>
      </c>
      <c r="BG81" s="37">
        <f>IF(B81="","",IF(Base_Comision="% DEL INGRESO",O81*INDEX(PRECIOS!$L$6:$L$55,K81),I81*INDEX(PRECIOS!$M$6:$M$55,K81)))</f>
      </c>
      <c r="BH81" s="70">
        <f>IF(B81="","",BE81+BF81+BG81)</f>
      </c>
      <c r="BI81" s="37">
        <f>IF(B81="","",Q81*Pct_Reclamaciones)</f>
      </c>
      <c r="BJ81" s="37">
        <f>IF(B81="","",Q81*Pct_Banco)</f>
      </c>
      <c r="BK81" s="37">
        <f>IF(B81="","",N(ENTRADA!$V81))</f>
      </c>
      <c r="BL81" s="70">
        <f>IF(B81="","",Y81+AE81+BD81+BH81+BI81+BJ81+BK81)</f>
      </c>
      <c r="BM81" s="70">
        <f>IF(B81="","",Q81-BL81)</f>
      </c>
      <c r="BN81" s="72">
        <f>IF(B81="","",IF(Q81=0,0,BM81/Q81))</f>
      </c>
      <c r="BO81" s="73">
        <f>IF(B81="","",IF(J81=0,0,BM81/J81))</f>
      </c>
      <c r="BP81" s="60">
        <f>IF(B81="","",IFERROR(MATCH(D81,COSTOS_FIJOS!$G$5:$AD$5,0),0))</f>
      </c>
      <c r="BQ81" s="60">
        <f>IF(B81="","",COUNTIFS($D$6:$D$305,D81))</f>
      </c>
      <c r="BR81" s="67">
        <f>IF(B81="","",SUMIFS($J$6:$J$305,$D$6:$D$305,D81))</f>
      </c>
      <c r="BS81" s="72">
        <f>IF(B81="","",IF(Metodo_Prorrateo="KG",IF(BR81=0,0,J81/BR81),1/BQ81))</f>
      </c>
      <c r="BT81" s="37">
        <f>IF(B81="","",IF(BP81=0,0,INDEX(COSTOS_FIJOS!$G$38:$AD$38,BP81))*BS81)</f>
      </c>
      <c r="BU81" s="72">
        <f>IF(B81="","",IF(Metodo_Prorrateo="KG",IF(SUMIFS($G$6:$G$305,$D$6:$D$305,D81)=0,0,G81/SUMIFS($G$6:$G$305,$D$6:$D$305,D81)),IF(G81&gt;0,1/COUNTIFS($D$6:$D$305,D81,$G$6:$G$305,"&gt;0"),0)))</f>
      </c>
      <c r="BV81" s="37">
        <f>IF(B81="","",IF(BP81=0,0,INDEX(COSTOS_FIJOS!$G$39:$AD$39,BP81))*BU81)</f>
      </c>
      <c r="BW81" s="72">
        <f>IF(B81="","",IF(Metodo_Prorrateo="KG",IF(SUMIFS($H$6:$H$305,$D$6:$D$305,D81)=0,0,H81/SUMIFS($H$6:$H$305,$D$6:$D$305,D81)),IF(H81&gt;0,1/COUNTIFS($D$6:$D$305,D81,$H$6:$H$305,"&gt;0"),0)))</f>
      </c>
      <c r="BX81" s="37">
        <f>IF(B81="","",IF(BP81=0,0,INDEX(COSTOS_FIJOS!$G$40:$AD$40,BP81))*BW81)</f>
      </c>
      <c r="BY81" s="72">
        <f>IF(B81="","",IF(Metodo_Prorrateo="KG",IF(SUMIFS($I$6:$I$305,$D$6:$D$305,D81)=0,0,I81/SUMIFS($I$6:$I$305,$D$6:$D$305,D81)),IF(I81&gt;0,1/COUNTIFS($D$6:$D$305,D81,$I$6:$I$305,"&gt;0"),0)))</f>
      </c>
      <c r="BZ81" s="37">
        <f>IF(B81="","",IF(BP81=0,0,INDEX(COSTOS_FIJOS!$G$41:$AD$41,BP81))*BY81)</f>
      </c>
      <c r="CA81" s="70">
        <f>IF(B81="","",BT81+BV81+BX81+BZ81)</f>
      </c>
      <c r="CB81" s="37">
        <f>IF(B81="","",Q81*Imp_Ventas_Serv)</f>
      </c>
      <c r="CC81" s="37">
        <f>IF(B81="","",Q81*Contrib_Territorial)</f>
      </c>
      <c r="CD81" s="70">
        <f>IF(B81="","",BM81-CA81-CB81-CC81)</f>
      </c>
      <c r="CE81" s="37">
        <f>IF(B81="","",MAX(0,CD81)*Imp_Utilidades)</f>
      </c>
      <c r="CF81" s="70">
        <f>IF(B81="","",CD81-CE81)</f>
      </c>
      <c r="CG81" s="72">
        <f>IF(B81="","",IF(Q81=0,0,CF81/Q81))</f>
      </c>
      <c r="CH81" s="73">
        <f>IF(B81="","",IF(J81=0,0,(BL81+CA81+CB81+CC81)/J81))</f>
      </c>
      <c r="CI81" s="73">
        <f>IF(B81="","",IF(J81=0,0,Q81/J81))</f>
      </c>
      <c r="CJ81" s="73">
        <f>IF(B81="","",IF(J81=0,0,CD81/J81))</f>
      </c>
      <c r="CK81" s="37">
        <f>IF(B81="","",Y81+AE81+BK81+BT81)</f>
      </c>
      <c r="CL81" s="37">
        <f>IF(B81="","",IF(J81=0,0,(M81+P81*G81/J81)*(1-Pct_Reclamaciones-Pct_Banco-Imp_Ventas_Serv-Contrib_Territorial)-AI81-BE81-BV81-CK81*G81/J81))</f>
      </c>
      <c r="CM81" s="37">
        <f>IF(B81="","",IF(J81=0,0,(N81+P81*H81/J81)*(1-Pct_Reclamaciones-Pct_Banco-Imp_Ventas_Serv-Contrib_Territorial)-AS81-BF81-BX81-CK81*H81/J81))</f>
      </c>
      <c r="CN81" s="37">
        <f>IF(B81="","",IF(J81=0,0,(O81+P81*I81/J81)*(1-Pct_Reclamaciones-Pct_Banco-Imp_Ventas_Serv-Contrib_Territorial)-BC81-BG81-BZ81-CK81*I81/J81))</f>
      </c>
      <c r="CO81" s="37">
        <f>IF(B81="","",IF(J81=0,0,ROUND(CD81-CL81-CM81-CN81,4)))</f>
      </c>
      <c r="CP81" s="71">
        <f>IF(B81="","",T81+AG81+AK81+AM81+AU81+AW81)</f>
      </c>
      <c r="CQ81" s="71">
        <f>IF(B81="","",U81+AH81+AL81+AN81+AV81+AX81)</f>
      </c>
      <c r="CR81" s="72">
        <f>IF(B81="","",IF(CP81=0,0,CQ81/CP81-1))</f>
      </c>
      <c r="CS81" s="60">
        <f>IF(B81="","",IF(ENTRADA!$Y81="","",ENTRADA!$Y81-C81))</f>
      </c>
      <c r="CT81" s="66">
        <f>IF(B81="","",IF(ENTRADA!$C81="","Falta fecha. ","")&amp;IF(BP81=0,"Mes fuera del rango de COSTOS_FIJOS. ","")&amp;IF(J81=0,"Sin kg. ","")&amp;IF(E81="","Falta transitaria. ","")&amp;IF(AND(T81&gt;0,U81/T81-1&gt;Tolerancia_Comb),"Combustible al puerto "&amp;TEXT(U81/T81-1,"+0%")&amp;" sobre norma. ","")&amp;IF(AND(AG81&gt;0,AH81/AG81-1&gt;Tolerancia_Comb),"Combustible distribución Occidente "&amp;TEXT(AH81/AG81-1,"+0%")&amp;" sobre norma. ","")&amp;IF(AND(AK81&gt;0,AL81/AK81-1&gt;Tolerancia_Comb),"Combustible traslado Centro "&amp;TEXT(AL81/AK81-1,"+0%")&amp;" sobre norma. ","")&amp;IF(AND(AM81&gt;0,AN81/AM81-1&gt;Tolerancia_Comb),"Combustible distribución Centro "&amp;TEXT(AN81/AM81-1,"+0%")&amp;" sobre norma. ","")&amp;IF(AND(AU81&gt;0,AV81/AU81-1&gt;Tolerancia_Comb),"Combustible traslado Oriente "&amp;TEXT(AV81/AU81-1,"+0%")&amp;" sobre norma. ","")&amp;IF(AND(AW81&gt;0,AX81/AW81-1&gt;Tolerancia_Comb),"Combustible distribución Oriente "&amp;TEXT(AX81/AW81-1,"+0%")&amp;" sobre norma. ","")&amp;IF(AND(ENTRADA!$C81&lt;&gt;"",C81&lt;PRECIOS!$A$6),"Fecha anterior a la 1ª vigencia de precios. ","")&amp;IF(CD81&lt;0,"Contenedor con pérdida. ",""))</f>
      </c>
    </row>
    <row r="82">
      <c r="A82" s="60">
        <f>IF(B82="","",ROW()-5)</f>
      </c>
      <c r="B82" s="63">
        <f>IF(ENTRADA!$B82="","",ENTRADA!$B82)</f>
      </c>
      <c r="C82" s="64">
        <f>IF(B82="","",ENTRADA!$C82)</f>
      </c>
      <c r="D82" s="65">
        <f>IF(B82="","",DATE(YEAR(C82),MONTH(C82),1))</f>
      </c>
      <c r="E82" s="66">
        <f>IF(B82="","",ENTRADA!$D82&amp;"")</f>
      </c>
      <c r="F82" s="66">
        <f>IF(B82="","",ENTRADA!$Z82&amp;"")</f>
      </c>
      <c r="G82" s="67">
        <f>IF(B82="","",N(ENTRADA!$G82))</f>
      </c>
      <c r="H82" s="67">
        <f>IF(B82="","",N(ENTRADA!$H82))</f>
      </c>
      <c r="I82" s="67">
        <f>IF(B82="","",N(ENTRADA!$I82))</f>
      </c>
      <c r="J82" s="68">
        <f>IF(B82="","",G82+H82+I82)</f>
      </c>
      <c r="K82" s="60">
        <f>IF(B82="","",IFERROR(MATCH(SUMPRODUCT(MAX((PRECIOS!$A$6:$A$55&lt;=C82)*PRECIOS!$A$6:$A$55)),PRECIOS!$A$6:$A$55,0),1))</f>
      </c>
      <c r="L82" s="69">
        <f>IF(B82="","",INDEX(PRECIOS!$A$6:$A$55,K82))</f>
      </c>
      <c r="M82" s="37">
        <f>IF(B82="","",G82*INDEX(PRECIOS!$B$6:$B$55,K82))</f>
      </c>
      <c r="N82" s="37">
        <f>IF(B82="","",H82*INDEX(PRECIOS!$C$6:$C$55,K82))</f>
      </c>
      <c r="O82" s="37">
        <f>IF(B82="","",I82*INDEX(PRECIOS!$D$6:$D$55,K82))</f>
      </c>
      <c r="P82" s="37">
        <f>IF(B82="","",N(ENTRADA!$X82))</f>
      </c>
      <c r="Q82" s="70">
        <f>IF(B82="","",M82+N82+O82+P82)</f>
      </c>
      <c r="R82" s="71">
        <f>IF(B82="","",IF(ENTRADA!$J82="",Std_Viajes_Puerto,ENTRADA!$J82))</f>
      </c>
      <c r="S82" s="37">
        <f>IF(B82="","",R82*INDEX(PRECIOS!$F$6:$F$55,K82))</f>
      </c>
      <c r="T82" s="71">
        <f>IF(B82="","",R82*Litros_Puerto_Viaje)</f>
      </c>
      <c r="U82" s="71">
        <f>IF(B82="","",IF(ENTRADA!$K82="",T82,ENTRADA!$K82))</f>
      </c>
      <c r="V82" s="37">
        <f>IF(B82="","",U82*INDEX(PRECIOS!$E$6:$E$55,K82))</f>
      </c>
      <c r="W82" s="37">
        <f>IF(B82="","",IF(ENTRADA!$L82="",R82*INDEX(PRECIOS!$G$6:$G$55,K82),ENTRADA!$L82))</f>
      </c>
      <c r="X82" s="37">
        <f>IF(B82="","",R82*Km_Puerto_Viaje*INDEX(PRECIOS!$N$6:$N$55,K82))</f>
      </c>
      <c r="Y82" s="70">
        <f>IF(B82="","",S82+V82+W82+X82)</f>
      </c>
      <c r="Z82" s="71">
        <f>IF(B82="","",IF(J82=0,0,ROUNDUP(J82/Rend_Desagrupe,0)))</f>
      </c>
      <c r="AA82" s="71">
        <f>IF(B82="","",IF(ENTRADA!$M82="",Z82,ENTRADA!$M82))</f>
      </c>
      <c r="AB82" s="37">
        <f>IF(B82="","",AA82*INDEX(PRECIOS!$H$6:$H$55,K82))</f>
      </c>
      <c r="AC82" s="37">
        <f>IF(B82="","",IF(E82="ENCI",INDEX(PRECIOS!$J$6:$J$55,K82),IF(E82="A.V",INDEX(PRECIOS!$K$6:$K$55,K82),0)))</f>
      </c>
      <c r="AD82" s="37">
        <f>IF(B82="","",N(ENTRADA!$N82))</f>
      </c>
      <c r="AE82" s="70">
        <f>IF(B82="","",AB82+AC82+AD82)</f>
      </c>
      <c r="AF82" s="71">
        <f>IF(B82="","",IF(G82=0,0,ROUNDUP(G82/Cap_Camion_OCC,0)))</f>
      </c>
      <c r="AG82" s="71">
        <f>IF(B82="","",AF82*L_Dist_OCC)</f>
      </c>
      <c r="AH82" s="71">
        <f>IF(B82="","",IF(ENTRADA!$O82="",AG82,ENTRADA!$O82))</f>
      </c>
      <c r="AI82" s="37">
        <f>IF(B82="","",AH82*INDEX(PRECIOS!$E$6:$E$55,K82))</f>
      </c>
      <c r="AJ82" s="71">
        <f>IF(B82="","",IF(H82=0,0,ROUNDUP(H82/Cap_Camion_CEN,0)))</f>
      </c>
      <c r="AK82" s="71">
        <f>IF(B82="","",AJ82*L_Tras_CEN)</f>
      </c>
      <c r="AL82" s="71">
        <f>IF(B82="","",IF(ENTRADA!$P82="",AK82,ENTRADA!$P82))</f>
      </c>
      <c r="AM82" s="71">
        <f>IF(B82="","",AJ82*L_Dist_CEN)</f>
      </c>
      <c r="AN82" s="71">
        <f>IF(B82="","",IF(ENTRADA!$Q82="",AM82,ENTRADA!$Q82))</f>
      </c>
      <c r="AO82" s="37">
        <f>IF(B82="","",(AL82+AN82)*INDEX(PRECIOS!$E$6:$E$55,K82))</f>
      </c>
      <c r="AP82" s="71">
        <f>IF(B82="","",IF(H82=0,0,ROUNDUP(H82/Rend_Desagrupe_CT,0)))</f>
      </c>
      <c r="AQ82" s="71">
        <f>IF(B82="","",IF(ENTRADA!$R82="",AP82,ENTRADA!$R82))</f>
      </c>
      <c r="AR82" s="37">
        <f>IF(B82="","",AQ82*INDEX(PRECIOS!$I$6:$I$55,K82))</f>
      </c>
      <c r="AS82" s="37">
        <f>IF(B82="","",AO82+AR82)</f>
      </c>
      <c r="AT82" s="71">
        <f>IF(B82="","",IF(I82=0,0,ROUNDUP(I82/Cap_Camion_ORI,0)))</f>
      </c>
      <c r="AU82" s="71">
        <f>IF(B82="","",AT82*L_Tras_ORI)</f>
      </c>
      <c r="AV82" s="71">
        <f>IF(B82="","",IF(ENTRADA!$S82="",AU82,ENTRADA!$S82))</f>
      </c>
      <c r="AW82" s="71">
        <f>IF(B82="","",AT82*L_Dist_ORI)</f>
      </c>
      <c r="AX82" s="71">
        <f>IF(B82="","",IF(ENTRADA!$T82="",AW82,ENTRADA!$T82))</f>
      </c>
      <c r="AY82" s="37">
        <f>IF(B82="","",(AV82+AX82)*INDEX(PRECIOS!$E$6:$E$55,K82))</f>
      </c>
      <c r="AZ82" s="71">
        <f>IF(B82="","",IF(I82=0,0,ROUNDUP(I82/Rend_Desagrupe_CT,0)))</f>
      </c>
      <c r="BA82" s="71">
        <f>IF(B82="","",IF(ENTRADA!$U82="",AZ82,ENTRADA!$U82))</f>
      </c>
      <c r="BB82" s="37">
        <f>IF(B82="","",BA82*INDEX(PRECIOS!$I$6:$I$55,K82))</f>
      </c>
      <c r="BC82" s="37">
        <f>IF(B82="","",AY82+BB82)</f>
      </c>
      <c r="BD82" s="70">
        <f>IF(B82="","",AI82+AS82+BC82)</f>
      </c>
      <c r="BE82" s="37">
        <f>IF(B82="","",IF(Base_Comision="% DEL INGRESO",M82*INDEX(PRECIOS!$L$6:$L$55,K82),G82*INDEX(PRECIOS!$M$6:$M$55,K82)))</f>
      </c>
      <c r="BF82" s="37">
        <f>IF(B82="","",IF(Base_Comision="% DEL INGRESO",N82*INDEX(PRECIOS!$L$6:$L$55,K82),H82*INDEX(PRECIOS!$M$6:$M$55,K82)))</f>
      </c>
      <c r="BG82" s="37">
        <f>IF(B82="","",IF(Base_Comision="% DEL INGRESO",O82*INDEX(PRECIOS!$L$6:$L$55,K82),I82*INDEX(PRECIOS!$M$6:$M$55,K82)))</f>
      </c>
      <c r="BH82" s="70">
        <f>IF(B82="","",BE82+BF82+BG82)</f>
      </c>
      <c r="BI82" s="37">
        <f>IF(B82="","",Q82*Pct_Reclamaciones)</f>
      </c>
      <c r="BJ82" s="37">
        <f>IF(B82="","",Q82*Pct_Banco)</f>
      </c>
      <c r="BK82" s="37">
        <f>IF(B82="","",N(ENTRADA!$V82))</f>
      </c>
      <c r="BL82" s="70">
        <f>IF(B82="","",Y82+AE82+BD82+BH82+BI82+BJ82+BK82)</f>
      </c>
      <c r="BM82" s="70">
        <f>IF(B82="","",Q82-BL82)</f>
      </c>
      <c r="BN82" s="72">
        <f>IF(B82="","",IF(Q82=0,0,BM82/Q82))</f>
      </c>
      <c r="BO82" s="73">
        <f>IF(B82="","",IF(J82=0,0,BM82/J82))</f>
      </c>
      <c r="BP82" s="60">
        <f>IF(B82="","",IFERROR(MATCH(D82,COSTOS_FIJOS!$G$5:$AD$5,0),0))</f>
      </c>
      <c r="BQ82" s="60">
        <f>IF(B82="","",COUNTIFS($D$6:$D$305,D82))</f>
      </c>
      <c r="BR82" s="67">
        <f>IF(B82="","",SUMIFS($J$6:$J$305,$D$6:$D$305,D82))</f>
      </c>
      <c r="BS82" s="72">
        <f>IF(B82="","",IF(Metodo_Prorrateo="KG",IF(BR82=0,0,J82/BR82),1/BQ82))</f>
      </c>
      <c r="BT82" s="37">
        <f>IF(B82="","",IF(BP82=0,0,INDEX(COSTOS_FIJOS!$G$38:$AD$38,BP82))*BS82)</f>
      </c>
      <c r="BU82" s="72">
        <f>IF(B82="","",IF(Metodo_Prorrateo="KG",IF(SUMIFS($G$6:$G$305,$D$6:$D$305,D82)=0,0,G82/SUMIFS($G$6:$G$305,$D$6:$D$305,D82)),IF(G82&gt;0,1/COUNTIFS($D$6:$D$305,D82,$G$6:$G$305,"&gt;0"),0)))</f>
      </c>
      <c r="BV82" s="37">
        <f>IF(B82="","",IF(BP82=0,0,INDEX(COSTOS_FIJOS!$G$39:$AD$39,BP82))*BU82)</f>
      </c>
      <c r="BW82" s="72">
        <f>IF(B82="","",IF(Metodo_Prorrateo="KG",IF(SUMIFS($H$6:$H$305,$D$6:$D$305,D82)=0,0,H82/SUMIFS($H$6:$H$305,$D$6:$D$305,D82)),IF(H82&gt;0,1/COUNTIFS($D$6:$D$305,D82,$H$6:$H$305,"&gt;0"),0)))</f>
      </c>
      <c r="BX82" s="37">
        <f>IF(B82="","",IF(BP82=0,0,INDEX(COSTOS_FIJOS!$G$40:$AD$40,BP82))*BW82)</f>
      </c>
      <c r="BY82" s="72">
        <f>IF(B82="","",IF(Metodo_Prorrateo="KG",IF(SUMIFS($I$6:$I$305,$D$6:$D$305,D82)=0,0,I82/SUMIFS($I$6:$I$305,$D$6:$D$305,D82)),IF(I82&gt;0,1/COUNTIFS($D$6:$D$305,D82,$I$6:$I$305,"&gt;0"),0)))</f>
      </c>
      <c r="BZ82" s="37">
        <f>IF(B82="","",IF(BP82=0,0,INDEX(COSTOS_FIJOS!$G$41:$AD$41,BP82))*BY82)</f>
      </c>
      <c r="CA82" s="70">
        <f>IF(B82="","",BT82+BV82+BX82+BZ82)</f>
      </c>
      <c r="CB82" s="37">
        <f>IF(B82="","",Q82*Imp_Ventas_Serv)</f>
      </c>
      <c r="CC82" s="37">
        <f>IF(B82="","",Q82*Contrib_Territorial)</f>
      </c>
      <c r="CD82" s="70">
        <f>IF(B82="","",BM82-CA82-CB82-CC82)</f>
      </c>
      <c r="CE82" s="37">
        <f>IF(B82="","",MAX(0,CD82)*Imp_Utilidades)</f>
      </c>
      <c r="CF82" s="70">
        <f>IF(B82="","",CD82-CE82)</f>
      </c>
      <c r="CG82" s="72">
        <f>IF(B82="","",IF(Q82=0,0,CF82/Q82))</f>
      </c>
      <c r="CH82" s="73">
        <f>IF(B82="","",IF(J82=0,0,(BL82+CA82+CB82+CC82)/J82))</f>
      </c>
      <c r="CI82" s="73">
        <f>IF(B82="","",IF(J82=0,0,Q82/J82))</f>
      </c>
      <c r="CJ82" s="73">
        <f>IF(B82="","",IF(J82=0,0,CD82/J82))</f>
      </c>
      <c r="CK82" s="37">
        <f>IF(B82="","",Y82+AE82+BK82+BT82)</f>
      </c>
      <c r="CL82" s="37">
        <f>IF(B82="","",IF(J82=0,0,(M82+P82*G82/J82)*(1-Pct_Reclamaciones-Pct_Banco-Imp_Ventas_Serv-Contrib_Territorial)-AI82-BE82-BV82-CK82*G82/J82))</f>
      </c>
      <c r="CM82" s="37">
        <f>IF(B82="","",IF(J82=0,0,(N82+P82*H82/J82)*(1-Pct_Reclamaciones-Pct_Banco-Imp_Ventas_Serv-Contrib_Territorial)-AS82-BF82-BX82-CK82*H82/J82))</f>
      </c>
      <c r="CN82" s="37">
        <f>IF(B82="","",IF(J82=0,0,(O82+P82*I82/J82)*(1-Pct_Reclamaciones-Pct_Banco-Imp_Ventas_Serv-Contrib_Territorial)-BC82-BG82-BZ82-CK82*I82/J82))</f>
      </c>
      <c r="CO82" s="37">
        <f>IF(B82="","",IF(J82=0,0,ROUND(CD82-CL82-CM82-CN82,4)))</f>
      </c>
      <c r="CP82" s="71">
        <f>IF(B82="","",T82+AG82+AK82+AM82+AU82+AW82)</f>
      </c>
      <c r="CQ82" s="71">
        <f>IF(B82="","",U82+AH82+AL82+AN82+AV82+AX82)</f>
      </c>
      <c r="CR82" s="72">
        <f>IF(B82="","",IF(CP82=0,0,CQ82/CP82-1))</f>
      </c>
      <c r="CS82" s="60">
        <f>IF(B82="","",IF(ENTRADA!$Y82="","",ENTRADA!$Y82-C82))</f>
      </c>
      <c r="CT82" s="66">
        <f>IF(B82="","",IF(ENTRADA!$C82="","Falta fecha. ","")&amp;IF(BP82=0,"Mes fuera del rango de COSTOS_FIJOS. ","")&amp;IF(J82=0,"Sin kg. ","")&amp;IF(E82="","Falta transitaria. ","")&amp;IF(AND(T82&gt;0,U82/T82-1&gt;Tolerancia_Comb),"Combustible al puerto "&amp;TEXT(U82/T82-1,"+0%")&amp;" sobre norma. ","")&amp;IF(AND(AG82&gt;0,AH82/AG82-1&gt;Tolerancia_Comb),"Combustible distribución Occidente "&amp;TEXT(AH82/AG82-1,"+0%")&amp;" sobre norma. ","")&amp;IF(AND(AK82&gt;0,AL82/AK82-1&gt;Tolerancia_Comb),"Combustible traslado Centro "&amp;TEXT(AL82/AK82-1,"+0%")&amp;" sobre norma. ","")&amp;IF(AND(AM82&gt;0,AN82/AM82-1&gt;Tolerancia_Comb),"Combustible distribución Centro "&amp;TEXT(AN82/AM82-1,"+0%")&amp;" sobre norma. ","")&amp;IF(AND(AU82&gt;0,AV82/AU82-1&gt;Tolerancia_Comb),"Combustible traslado Oriente "&amp;TEXT(AV82/AU82-1,"+0%")&amp;" sobre norma. ","")&amp;IF(AND(AW82&gt;0,AX82/AW82-1&gt;Tolerancia_Comb),"Combustible distribución Oriente "&amp;TEXT(AX82/AW82-1,"+0%")&amp;" sobre norma. ","")&amp;IF(AND(ENTRADA!$C82&lt;&gt;"",C82&lt;PRECIOS!$A$6),"Fecha anterior a la 1ª vigencia de precios. ","")&amp;IF(CD82&lt;0,"Contenedor con pérdida. ",""))</f>
      </c>
    </row>
    <row r="83">
      <c r="A83" s="60">
        <f>IF(B83="","",ROW()-5)</f>
      </c>
      <c r="B83" s="63">
        <f>IF(ENTRADA!$B83="","",ENTRADA!$B83)</f>
      </c>
      <c r="C83" s="64">
        <f>IF(B83="","",ENTRADA!$C83)</f>
      </c>
      <c r="D83" s="65">
        <f>IF(B83="","",DATE(YEAR(C83),MONTH(C83),1))</f>
      </c>
      <c r="E83" s="66">
        <f>IF(B83="","",ENTRADA!$D83&amp;"")</f>
      </c>
      <c r="F83" s="66">
        <f>IF(B83="","",ENTRADA!$Z83&amp;"")</f>
      </c>
      <c r="G83" s="67">
        <f>IF(B83="","",N(ENTRADA!$G83))</f>
      </c>
      <c r="H83" s="67">
        <f>IF(B83="","",N(ENTRADA!$H83))</f>
      </c>
      <c r="I83" s="67">
        <f>IF(B83="","",N(ENTRADA!$I83))</f>
      </c>
      <c r="J83" s="68">
        <f>IF(B83="","",G83+H83+I83)</f>
      </c>
      <c r="K83" s="60">
        <f>IF(B83="","",IFERROR(MATCH(SUMPRODUCT(MAX((PRECIOS!$A$6:$A$55&lt;=C83)*PRECIOS!$A$6:$A$55)),PRECIOS!$A$6:$A$55,0),1))</f>
      </c>
      <c r="L83" s="69">
        <f>IF(B83="","",INDEX(PRECIOS!$A$6:$A$55,K83))</f>
      </c>
      <c r="M83" s="37">
        <f>IF(B83="","",G83*INDEX(PRECIOS!$B$6:$B$55,K83))</f>
      </c>
      <c r="N83" s="37">
        <f>IF(B83="","",H83*INDEX(PRECIOS!$C$6:$C$55,K83))</f>
      </c>
      <c r="O83" s="37">
        <f>IF(B83="","",I83*INDEX(PRECIOS!$D$6:$D$55,K83))</f>
      </c>
      <c r="P83" s="37">
        <f>IF(B83="","",N(ENTRADA!$X83))</f>
      </c>
      <c r="Q83" s="70">
        <f>IF(B83="","",M83+N83+O83+P83)</f>
      </c>
      <c r="R83" s="71">
        <f>IF(B83="","",IF(ENTRADA!$J83="",Std_Viajes_Puerto,ENTRADA!$J83))</f>
      </c>
      <c r="S83" s="37">
        <f>IF(B83="","",R83*INDEX(PRECIOS!$F$6:$F$55,K83))</f>
      </c>
      <c r="T83" s="71">
        <f>IF(B83="","",R83*Litros_Puerto_Viaje)</f>
      </c>
      <c r="U83" s="71">
        <f>IF(B83="","",IF(ENTRADA!$K83="",T83,ENTRADA!$K83))</f>
      </c>
      <c r="V83" s="37">
        <f>IF(B83="","",U83*INDEX(PRECIOS!$E$6:$E$55,K83))</f>
      </c>
      <c r="W83" s="37">
        <f>IF(B83="","",IF(ENTRADA!$L83="",R83*INDEX(PRECIOS!$G$6:$G$55,K83),ENTRADA!$L83))</f>
      </c>
      <c r="X83" s="37">
        <f>IF(B83="","",R83*Km_Puerto_Viaje*INDEX(PRECIOS!$N$6:$N$55,K83))</f>
      </c>
      <c r="Y83" s="70">
        <f>IF(B83="","",S83+V83+W83+X83)</f>
      </c>
      <c r="Z83" s="71">
        <f>IF(B83="","",IF(J83=0,0,ROUNDUP(J83/Rend_Desagrupe,0)))</f>
      </c>
      <c r="AA83" s="71">
        <f>IF(B83="","",IF(ENTRADA!$M83="",Z83,ENTRADA!$M83))</f>
      </c>
      <c r="AB83" s="37">
        <f>IF(B83="","",AA83*INDEX(PRECIOS!$H$6:$H$55,K83))</f>
      </c>
      <c r="AC83" s="37">
        <f>IF(B83="","",IF(E83="ENCI",INDEX(PRECIOS!$J$6:$J$55,K83),IF(E83="A.V",INDEX(PRECIOS!$K$6:$K$55,K83),0)))</f>
      </c>
      <c r="AD83" s="37">
        <f>IF(B83="","",N(ENTRADA!$N83))</f>
      </c>
      <c r="AE83" s="70">
        <f>IF(B83="","",AB83+AC83+AD83)</f>
      </c>
      <c r="AF83" s="71">
        <f>IF(B83="","",IF(G83=0,0,ROUNDUP(G83/Cap_Camion_OCC,0)))</f>
      </c>
      <c r="AG83" s="71">
        <f>IF(B83="","",AF83*L_Dist_OCC)</f>
      </c>
      <c r="AH83" s="71">
        <f>IF(B83="","",IF(ENTRADA!$O83="",AG83,ENTRADA!$O83))</f>
      </c>
      <c r="AI83" s="37">
        <f>IF(B83="","",AH83*INDEX(PRECIOS!$E$6:$E$55,K83))</f>
      </c>
      <c r="AJ83" s="71">
        <f>IF(B83="","",IF(H83=0,0,ROUNDUP(H83/Cap_Camion_CEN,0)))</f>
      </c>
      <c r="AK83" s="71">
        <f>IF(B83="","",AJ83*L_Tras_CEN)</f>
      </c>
      <c r="AL83" s="71">
        <f>IF(B83="","",IF(ENTRADA!$P83="",AK83,ENTRADA!$P83))</f>
      </c>
      <c r="AM83" s="71">
        <f>IF(B83="","",AJ83*L_Dist_CEN)</f>
      </c>
      <c r="AN83" s="71">
        <f>IF(B83="","",IF(ENTRADA!$Q83="",AM83,ENTRADA!$Q83))</f>
      </c>
      <c r="AO83" s="37">
        <f>IF(B83="","",(AL83+AN83)*INDEX(PRECIOS!$E$6:$E$55,K83))</f>
      </c>
      <c r="AP83" s="71">
        <f>IF(B83="","",IF(H83=0,0,ROUNDUP(H83/Rend_Desagrupe_CT,0)))</f>
      </c>
      <c r="AQ83" s="71">
        <f>IF(B83="","",IF(ENTRADA!$R83="",AP83,ENTRADA!$R83))</f>
      </c>
      <c r="AR83" s="37">
        <f>IF(B83="","",AQ83*INDEX(PRECIOS!$I$6:$I$55,K83))</f>
      </c>
      <c r="AS83" s="37">
        <f>IF(B83="","",AO83+AR83)</f>
      </c>
      <c r="AT83" s="71">
        <f>IF(B83="","",IF(I83=0,0,ROUNDUP(I83/Cap_Camion_ORI,0)))</f>
      </c>
      <c r="AU83" s="71">
        <f>IF(B83="","",AT83*L_Tras_ORI)</f>
      </c>
      <c r="AV83" s="71">
        <f>IF(B83="","",IF(ENTRADA!$S83="",AU83,ENTRADA!$S83))</f>
      </c>
      <c r="AW83" s="71">
        <f>IF(B83="","",AT83*L_Dist_ORI)</f>
      </c>
      <c r="AX83" s="71">
        <f>IF(B83="","",IF(ENTRADA!$T83="",AW83,ENTRADA!$T83))</f>
      </c>
      <c r="AY83" s="37">
        <f>IF(B83="","",(AV83+AX83)*INDEX(PRECIOS!$E$6:$E$55,K83))</f>
      </c>
      <c r="AZ83" s="71">
        <f>IF(B83="","",IF(I83=0,0,ROUNDUP(I83/Rend_Desagrupe_CT,0)))</f>
      </c>
      <c r="BA83" s="71">
        <f>IF(B83="","",IF(ENTRADA!$U83="",AZ83,ENTRADA!$U83))</f>
      </c>
      <c r="BB83" s="37">
        <f>IF(B83="","",BA83*INDEX(PRECIOS!$I$6:$I$55,K83))</f>
      </c>
      <c r="BC83" s="37">
        <f>IF(B83="","",AY83+BB83)</f>
      </c>
      <c r="BD83" s="70">
        <f>IF(B83="","",AI83+AS83+BC83)</f>
      </c>
      <c r="BE83" s="37">
        <f>IF(B83="","",IF(Base_Comision="% DEL INGRESO",M83*INDEX(PRECIOS!$L$6:$L$55,K83),G83*INDEX(PRECIOS!$M$6:$M$55,K83)))</f>
      </c>
      <c r="BF83" s="37">
        <f>IF(B83="","",IF(Base_Comision="% DEL INGRESO",N83*INDEX(PRECIOS!$L$6:$L$55,K83),H83*INDEX(PRECIOS!$M$6:$M$55,K83)))</f>
      </c>
      <c r="BG83" s="37">
        <f>IF(B83="","",IF(Base_Comision="% DEL INGRESO",O83*INDEX(PRECIOS!$L$6:$L$55,K83),I83*INDEX(PRECIOS!$M$6:$M$55,K83)))</f>
      </c>
      <c r="BH83" s="70">
        <f>IF(B83="","",BE83+BF83+BG83)</f>
      </c>
      <c r="BI83" s="37">
        <f>IF(B83="","",Q83*Pct_Reclamaciones)</f>
      </c>
      <c r="BJ83" s="37">
        <f>IF(B83="","",Q83*Pct_Banco)</f>
      </c>
      <c r="BK83" s="37">
        <f>IF(B83="","",N(ENTRADA!$V83))</f>
      </c>
      <c r="BL83" s="70">
        <f>IF(B83="","",Y83+AE83+BD83+BH83+BI83+BJ83+BK83)</f>
      </c>
      <c r="BM83" s="70">
        <f>IF(B83="","",Q83-BL83)</f>
      </c>
      <c r="BN83" s="72">
        <f>IF(B83="","",IF(Q83=0,0,BM83/Q83))</f>
      </c>
      <c r="BO83" s="73">
        <f>IF(B83="","",IF(J83=0,0,BM83/J83))</f>
      </c>
      <c r="BP83" s="60">
        <f>IF(B83="","",IFERROR(MATCH(D83,COSTOS_FIJOS!$G$5:$AD$5,0),0))</f>
      </c>
      <c r="BQ83" s="60">
        <f>IF(B83="","",COUNTIFS($D$6:$D$305,D83))</f>
      </c>
      <c r="BR83" s="67">
        <f>IF(B83="","",SUMIFS($J$6:$J$305,$D$6:$D$305,D83))</f>
      </c>
      <c r="BS83" s="72">
        <f>IF(B83="","",IF(Metodo_Prorrateo="KG",IF(BR83=0,0,J83/BR83),1/BQ83))</f>
      </c>
      <c r="BT83" s="37">
        <f>IF(B83="","",IF(BP83=0,0,INDEX(COSTOS_FIJOS!$G$38:$AD$38,BP83))*BS83)</f>
      </c>
      <c r="BU83" s="72">
        <f>IF(B83="","",IF(Metodo_Prorrateo="KG",IF(SUMIFS($G$6:$G$305,$D$6:$D$305,D83)=0,0,G83/SUMIFS($G$6:$G$305,$D$6:$D$305,D83)),IF(G83&gt;0,1/COUNTIFS($D$6:$D$305,D83,$G$6:$G$305,"&gt;0"),0)))</f>
      </c>
      <c r="BV83" s="37">
        <f>IF(B83="","",IF(BP83=0,0,INDEX(COSTOS_FIJOS!$G$39:$AD$39,BP83))*BU83)</f>
      </c>
      <c r="BW83" s="72">
        <f>IF(B83="","",IF(Metodo_Prorrateo="KG",IF(SUMIFS($H$6:$H$305,$D$6:$D$305,D83)=0,0,H83/SUMIFS($H$6:$H$305,$D$6:$D$305,D83)),IF(H83&gt;0,1/COUNTIFS($D$6:$D$305,D83,$H$6:$H$305,"&gt;0"),0)))</f>
      </c>
      <c r="BX83" s="37">
        <f>IF(B83="","",IF(BP83=0,0,INDEX(COSTOS_FIJOS!$G$40:$AD$40,BP83))*BW83)</f>
      </c>
      <c r="BY83" s="72">
        <f>IF(B83="","",IF(Metodo_Prorrateo="KG",IF(SUMIFS($I$6:$I$305,$D$6:$D$305,D83)=0,0,I83/SUMIFS($I$6:$I$305,$D$6:$D$305,D83)),IF(I83&gt;0,1/COUNTIFS($D$6:$D$305,D83,$I$6:$I$305,"&gt;0"),0)))</f>
      </c>
      <c r="BZ83" s="37">
        <f>IF(B83="","",IF(BP83=0,0,INDEX(COSTOS_FIJOS!$G$41:$AD$41,BP83))*BY83)</f>
      </c>
      <c r="CA83" s="70">
        <f>IF(B83="","",BT83+BV83+BX83+BZ83)</f>
      </c>
      <c r="CB83" s="37">
        <f>IF(B83="","",Q83*Imp_Ventas_Serv)</f>
      </c>
      <c r="CC83" s="37">
        <f>IF(B83="","",Q83*Contrib_Territorial)</f>
      </c>
      <c r="CD83" s="70">
        <f>IF(B83="","",BM83-CA83-CB83-CC83)</f>
      </c>
      <c r="CE83" s="37">
        <f>IF(B83="","",MAX(0,CD83)*Imp_Utilidades)</f>
      </c>
      <c r="CF83" s="70">
        <f>IF(B83="","",CD83-CE83)</f>
      </c>
      <c r="CG83" s="72">
        <f>IF(B83="","",IF(Q83=0,0,CF83/Q83))</f>
      </c>
      <c r="CH83" s="73">
        <f>IF(B83="","",IF(J83=0,0,(BL83+CA83+CB83+CC83)/J83))</f>
      </c>
      <c r="CI83" s="73">
        <f>IF(B83="","",IF(J83=0,0,Q83/J83))</f>
      </c>
      <c r="CJ83" s="73">
        <f>IF(B83="","",IF(J83=0,0,CD83/J83))</f>
      </c>
      <c r="CK83" s="37">
        <f>IF(B83="","",Y83+AE83+BK83+BT83)</f>
      </c>
      <c r="CL83" s="37">
        <f>IF(B83="","",IF(J83=0,0,(M83+P83*G83/J83)*(1-Pct_Reclamaciones-Pct_Banco-Imp_Ventas_Serv-Contrib_Territorial)-AI83-BE83-BV83-CK83*G83/J83))</f>
      </c>
      <c r="CM83" s="37">
        <f>IF(B83="","",IF(J83=0,0,(N83+P83*H83/J83)*(1-Pct_Reclamaciones-Pct_Banco-Imp_Ventas_Serv-Contrib_Territorial)-AS83-BF83-BX83-CK83*H83/J83))</f>
      </c>
      <c r="CN83" s="37">
        <f>IF(B83="","",IF(J83=0,0,(O83+P83*I83/J83)*(1-Pct_Reclamaciones-Pct_Banco-Imp_Ventas_Serv-Contrib_Territorial)-BC83-BG83-BZ83-CK83*I83/J83))</f>
      </c>
      <c r="CO83" s="37">
        <f>IF(B83="","",IF(J83=0,0,ROUND(CD83-CL83-CM83-CN83,4)))</f>
      </c>
      <c r="CP83" s="71">
        <f>IF(B83="","",T83+AG83+AK83+AM83+AU83+AW83)</f>
      </c>
      <c r="CQ83" s="71">
        <f>IF(B83="","",U83+AH83+AL83+AN83+AV83+AX83)</f>
      </c>
      <c r="CR83" s="72">
        <f>IF(B83="","",IF(CP83=0,0,CQ83/CP83-1))</f>
      </c>
      <c r="CS83" s="60">
        <f>IF(B83="","",IF(ENTRADA!$Y83="","",ENTRADA!$Y83-C83))</f>
      </c>
      <c r="CT83" s="66">
        <f>IF(B83="","",IF(ENTRADA!$C83="","Falta fecha. ","")&amp;IF(BP83=0,"Mes fuera del rango de COSTOS_FIJOS. ","")&amp;IF(J83=0,"Sin kg. ","")&amp;IF(E83="","Falta transitaria. ","")&amp;IF(AND(T83&gt;0,U83/T83-1&gt;Tolerancia_Comb),"Combustible al puerto "&amp;TEXT(U83/T83-1,"+0%")&amp;" sobre norma. ","")&amp;IF(AND(AG83&gt;0,AH83/AG83-1&gt;Tolerancia_Comb),"Combustible distribución Occidente "&amp;TEXT(AH83/AG83-1,"+0%")&amp;" sobre norma. ","")&amp;IF(AND(AK83&gt;0,AL83/AK83-1&gt;Tolerancia_Comb),"Combustible traslado Centro "&amp;TEXT(AL83/AK83-1,"+0%")&amp;" sobre norma. ","")&amp;IF(AND(AM83&gt;0,AN83/AM83-1&gt;Tolerancia_Comb),"Combustible distribución Centro "&amp;TEXT(AN83/AM83-1,"+0%")&amp;" sobre norma. ","")&amp;IF(AND(AU83&gt;0,AV83/AU83-1&gt;Tolerancia_Comb),"Combustible traslado Oriente "&amp;TEXT(AV83/AU83-1,"+0%")&amp;" sobre norma. ","")&amp;IF(AND(AW83&gt;0,AX83/AW83-1&gt;Tolerancia_Comb),"Combustible distribución Oriente "&amp;TEXT(AX83/AW83-1,"+0%")&amp;" sobre norma. ","")&amp;IF(AND(ENTRADA!$C83&lt;&gt;"",C83&lt;PRECIOS!$A$6),"Fecha anterior a la 1ª vigencia de precios. ","")&amp;IF(CD83&lt;0,"Contenedor con pérdida. ",""))</f>
      </c>
    </row>
    <row r="84">
      <c r="A84" s="60">
        <f>IF(B84="","",ROW()-5)</f>
      </c>
      <c r="B84" s="63">
        <f>IF(ENTRADA!$B84="","",ENTRADA!$B84)</f>
      </c>
      <c r="C84" s="64">
        <f>IF(B84="","",ENTRADA!$C84)</f>
      </c>
      <c r="D84" s="65">
        <f>IF(B84="","",DATE(YEAR(C84),MONTH(C84),1))</f>
      </c>
      <c r="E84" s="66">
        <f>IF(B84="","",ENTRADA!$D84&amp;"")</f>
      </c>
      <c r="F84" s="66">
        <f>IF(B84="","",ENTRADA!$Z84&amp;"")</f>
      </c>
      <c r="G84" s="67">
        <f>IF(B84="","",N(ENTRADA!$G84))</f>
      </c>
      <c r="H84" s="67">
        <f>IF(B84="","",N(ENTRADA!$H84))</f>
      </c>
      <c r="I84" s="67">
        <f>IF(B84="","",N(ENTRADA!$I84))</f>
      </c>
      <c r="J84" s="68">
        <f>IF(B84="","",G84+H84+I84)</f>
      </c>
      <c r="K84" s="60">
        <f>IF(B84="","",IFERROR(MATCH(SUMPRODUCT(MAX((PRECIOS!$A$6:$A$55&lt;=C84)*PRECIOS!$A$6:$A$55)),PRECIOS!$A$6:$A$55,0),1))</f>
      </c>
      <c r="L84" s="69">
        <f>IF(B84="","",INDEX(PRECIOS!$A$6:$A$55,K84))</f>
      </c>
      <c r="M84" s="37">
        <f>IF(B84="","",G84*INDEX(PRECIOS!$B$6:$B$55,K84))</f>
      </c>
      <c r="N84" s="37">
        <f>IF(B84="","",H84*INDEX(PRECIOS!$C$6:$C$55,K84))</f>
      </c>
      <c r="O84" s="37">
        <f>IF(B84="","",I84*INDEX(PRECIOS!$D$6:$D$55,K84))</f>
      </c>
      <c r="P84" s="37">
        <f>IF(B84="","",N(ENTRADA!$X84))</f>
      </c>
      <c r="Q84" s="70">
        <f>IF(B84="","",M84+N84+O84+P84)</f>
      </c>
      <c r="R84" s="71">
        <f>IF(B84="","",IF(ENTRADA!$J84="",Std_Viajes_Puerto,ENTRADA!$J84))</f>
      </c>
      <c r="S84" s="37">
        <f>IF(B84="","",R84*INDEX(PRECIOS!$F$6:$F$55,K84))</f>
      </c>
      <c r="T84" s="71">
        <f>IF(B84="","",R84*Litros_Puerto_Viaje)</f>
      </c>
      <c r="U84" s="71">
        <f>IF(B84="","",IF(ENTRADA!$K84="",T84,ENTRADA!$K84))</f>
      </c>
      <c r="V84" s="37">
        <f>IF(B84="","",U84*INDEX(PRECIOS!$E$6:$E$55,K84))</f>
      </c>
      <c r="W84" s="37">
        <f>IF(B84="","",IF(ENTRADA!$L84="",R84*INDEX(PRECIOS!$G$6:$G$55,K84),ENTRADA!$L84))</f>
      </c>
      <c r="X84" s="37">
        <f>IF(B84="","",R84*Km_Puerto_Viaje*INDEX(PRECIOS!$N$6:$N$55,K84))</f>
      </c>
      <c r="Y84" s="70">
        <f>IF(B84="","",S84+V84+W84+X84)</f>
      </c>
      <c r="Z84" s="71">
        <f>IF(B84="","",IF(J84=0,0,ROUNDUP(J84/Rend_Desagrupe,0)))</f>
      </c>
      <c r="AA84" s="71">
        <f>IF(B84="","",IF(ENTRADA!$M84="",Z84,ENTRADA!$M84))</f>
      </c>
      <c r="AB84" s="37">
        <f>IF(B84="","",AA84*INDEX(PRECIOS!$H$6:$H$55,K84))</f>
      </c>
      <c r="AC84" s="37">
        <f>IF(B84="","",IF(E84="ENCI",INDEX(PRECIOS!$J$6:$J$55,K84),IF(E84="A.V",INDEX(PRECIOS!$K$6:$K$55,K84),0)))</f>
      </c>
      <c r="AD84" s="37">
        <f>IF(B84="","",N(ENTRADA!$N84))</f>
      </c>
      <c r="AE84" s="70">
        <f>IF(B84="","",AB84+AC84+AD84)</f>
      </c>
      <c r="AF84" s="71">
        <f>IF(B84="","",IF(G84=0,0,ROUNDUP(G84/Cap_Camion_OCC,0)))</f>
      </c>
      <c r="AG84" s="71">
        <f>IF(B84="","",AF84*L_Dist_OCC)</f>
      </c>
      <c r="AH84" s="71">
        <f>IF(B84="","",IF(ENTRADA!$O84="",AG84,ENTRADA!$O84))</f>
      </c>
      <c r="AI84" s="37">
        <f>IF(B84="","",AH84*INDEX(PRECIOS!$E$6:$E$55,K84))</f>
      </c>
      <c r="AJ84" s="71">
        <f>IF(B84="","",IF(H84=0,0,ROUNDUP(H84/Cap_Camion_CEN,0)))</f>
      </c>
      <c r="AK84" s="71">
        <f>IF(B84="","",AJ84*L_Tras_CEN)</f>
      </c>
      <c r="AL84" s="71">
        <f>IF(B84="","",IF(ENTRADA!$P84="",AK84,ENTRADA!$P84))</f>
      </c>
      <c r="AM84" s="71">
        <f>IF(B84="","",AJ84*L_Dist_CEN)</f>
      </c>
      <c r="AN84" s="71">
        <f>IF(B84="","",IF(ENTRADA!$Q84="",AM84,ENTRADA!$Q84))</f>
      </c>
      <c r="AO84" s="37">
        <f>IF(B84="","",(AL84+AN84)*INDEX(PRECIOS!$E$6:$E$55,K84))</f>
      </c>
      <c r="AP84" s="71">
        <f>IF(B84="","",IF(H84=0,0,ROUNDUP(H84/Rend_Desagrupe_CT,0)))</f>
      </c>
      <c r="AQ84" s="71">
        <f>IF(B84="","",IF(ENTRADA!$R84="",AP84,ENTRADA!$R84))</f>
      </c>
      <c r="AR84" s="37">
        <f>IF(B84="","",AQ84*INDEX(PRECIOS!$I$6:$I$55,K84))</f>
      </c>
      <c r="AS84" s="37">
        <f>IF(B84="","",AO84+AR84)</f>
      </c>
      <c r="AT84" s="71">
        <f>IF(B84="","",IF(I84=0,0,ROUNDUP(I84/Cap_Camion_ORI,0)))</f>
      </c>
      <c r="AU84" s="71">
        <f>IF(B84="","",AT84*L_Tras_ORI)</f>
      </c>
      <c r="AV84" s="71">
        <f>IF(B84="","",IF(ENTRADA!$S84="",AU84,ENTRADA!$S84))</f>
      </c>
      <c r="AW84" s="71">
        <f>IF(B84="","",AT84*L_Dist_ORI)</f>
      </c>
      <c r="AX84" s="71">
        <f>IF(B84="","",IF(ENTRADA!$T84="",AW84,ENTRADA!$T84))</f>
      </c>
      <c r="AY84" s="37">
        <f>IF(B84="","",(AV84+AX84)*INDEX(PRECIOS!$E$6:$E$55,K84))</f>
      </c>
      <c r="AZ84" s="71">
        <f>IF(B84="","",IF(I84=0,0,ROUNDUP(I84/Rend_Desagrupe_CT,0)))</f>
      </c>
      <c r="BA84" s="71">
        <f>IF(B84="","",IF(ENTRADA!$U84="",AZ84,ENTRADA!$U84))</f>
      </c>
      <c r="BB84" s="37">
        <f>IF(B84="","",BA84*INDEX(PRECIOS!$I$6:$I$55,K84))</f>
      </c>
      <c r="BC84" s="37">
        <f>IF(B84="","",AY84+BB84)</f>
      </c>
      <c r="BD84" s="70">
        <f>IF(B84="","",AI84+AS84+BC84)</f>
      </c>
      <c r="BE84" s="37">
        <f>IF(B84="","",IF(Base_Comision="% DEL INGRESO",M84*INDEX(PRECIOS!$L$6:$L$55,K84),G84*INDEX(PRECIOS!$M$6:$M$55,K84)))</f>
      </c>
      <c r="BF84" s="37">
        <f>IF(B84="","",IF(Base_Comision="% DEL INGRESO",N84*INDEX(PRECIOS!$L$6:$L$55,K84),H84*INDEX(PRECIOS!$M$6:$M$55,K84)))</f>
      </c>
      <c r="BG84" s="37">
        <f>IF(B84="","",IF(Base_Comision="% DEL INGRESO",O84*INDEX(PRECIOS!$L$6:$L$55,K84),I84*INDEX(PRECIOS!$M$6:$M$55,K84)))</f>
      </c>
      <c r="BH84" s="70">
        <f>IF(B84="","",BE84+BF84+BG84)</f>
      </c>
      <c r="BI84" s="37">
        <f>IF(B84="","",Q84*Pct_Reclamaciones)</f>
      </c>
      <c r="BJ84" s="37">
        <f>IF(B84="","",Q84*Pct_Banco)</f>
      </c>
      <c r="BK84" s="37">
        <f>IF(B84="","",N(ENTRADA!$V84))</f>
      </c>
      <c r="BL84" s="70">
        <f>IF(B84="","",Y84+AE84+BD84+BH84+BI84+BJ84+BK84)</f>
      </c>
      <c r="BM84" s="70">
        <f>IF(B84="","",Q84-BL84)</f>
      </c>
      <c r="BN84" s="72">
        <f>IF(B84="","",IF(Q84=0,0,BM84/Q84))</f>
      </c>
      <c r="BO84" s="73">
        <f>IF(B84="","",IF(J84=0,0,BM84/J84))</f>
      </c>
      <c r="BP84" s="60">
        <f>IF(B84="","",IFERROR(MATCH(D84,COSTOS_FIJOS!$G$5:$AD$5,0),0))</f>
      </c>
      <c r="BQ84" s="60">
        <f>IF(B84="","",COUNTIFS($D$6:$D$305,D84))</f>
      </c>
      <c r="BR84" s="67">
        <f>IF(B84="","",SUMIFS($J$6:$J$305,$D$6:$D$305,D84))</f>
      </c>
      <c r="BS84" s="72">
        <f>IF(B84="","",IF(Metodo_Prorrateo="KG",IF(BR84=0,0,J84/BR84),1/BQ84))</f>
      </c>
      <c r="BT84" s="37">
        <f>IF(B84="","",IF(BP84=0,0,INDEX(COSTOS_FIJOS!$G$38:$AD$38,BP84))*BS84)</f>
      </c>
      <c r="BU84" s="72">
        <f>IF(B84="","",IF(Metodo_Prorrateo="KG",IF(SUMIFS($G$6:$G$305,$D$6:$D$305,D84)=0,0,G84/SUMIFS($G$6:$G$305,$D$6:$D$305,D84)),IF(G84&gt;0,1/COUNTIFS($D$6:$D$305,D84,$G$6:$G$305,"&gt;0"),0)))</f>
      </c>
      <c r="BV84" s="37">
        <f>IF(B84="","",IF(BP84=0,0,INDEX(COSTOS_FIJOS!$G$39:$AD$39,BP84))*BU84)</f>
      </c>
      <c r="BW84" s="72">
        <f>IF(B84="","",IF(Metodo_Prorrateo="KG",IF(SUMIFS($H$6:$H$305,$D$6:$D$305,D84)=0,0,H84/SUMIFS($H$6:$H$305,$D$6:$D$305,D84)),IF(H84&gt;0,1/COUNTIFS($D$6:$D$305,D84,$H$6:$H$305,"&gt;0"),0)))</f>
      </c>
      <c r="BX84" s="37">
        <f>IF(B84="","",IF(BP84=0,0,INDEX(COSTOS_FIJOS!$G$40:$AD$40,BP84))*BW84)</f>
      </c>
      <c r="BY84" s="72">
        <f>IF(B84="","",IF(Metodo_Prorrateo="KG",IF(SUMIFS($I$6:$I$305,$D$6:$D$305,D84)=0,0,I84/SUMIFS($I$6:$I$305,$D$6:$D$305,D84)),IF(I84&gt;0,1/COUNTIFS($D$6:$D$305,D84,$I$6:$I$305,"&gt;0"),0)))</f>
      </c>
      <c r="BZ84" s="37">
        <f>IF(B84="","",IF(BP84=0,0,INDEX(COSTOS_FIJOS!$G$41:$AD$41,BP84))*BY84)</f>
      </c>
      <c r="CA84" s="70">
        <f>IF(B84="","",BT84+BV84+BX84+BZ84)</f>
      </c>
      <c r="CB84" s="37">
        <f>IF(B84="","",Q84*Imp_Ventas_Serv)</f>
      </c>
      <c r="CC84" s="37">
        <f>IF(B84="","",Q84*Contrib_Territorial)</f>
      </c>
      <c r="CD84" s="70">
        <f>IF(B84="","",BM84-CA84-CB84-CC84)</f>
      </c>
      <c r="CE84" s="37">
        <f>IF(B84="","",MAX(0,CD84)*Imp_Utilidades)</f>
      </c>
      <c r="CF84" s="70">
        <f>IF(B84="","",CD84-CE84)</f>
      </c>
      <c r="CG84" s="72">
        <f>IF(B84="","",IF(Q84=0,0,CF84/Q84))</f>
      </c>
      <c r="CH84" s="73">
        <f>IF(B84="","",IF(J84=0,0,(BL84+CA84+CB84+CC84)/J84))</f>
      </c>
      <c r="CI84" s="73">
        <f>IF(B84="","",IF(J84=0,0,Q84/J84))</f>
      </c>
      <c r="CJ84" s="73">
        <f>IF(B84="","",IF(J84=0,0,CD84/J84))</f>
      </c>
      <c r="CK84" s="37">
        <f>IF(B84="","",Y84+AE84+BK84+BT84)</f>
      </c>
      <c r="CL84" s="37">
        <f>IF(B84="","",IF(J84=0,0,(M84+P84*G84/J84)*(1-Pct_Reclamaciones-Pct_Banco-Imp_Ventas_Serv-Contrib_Territorial)-AI84-BE84-BV84-CK84*G84/J84))</f>
      </c>
      <c r="CM84" s="37">
        <f>IF(B84="","",IF(J84=0,0,(N84+P84*H84/J84)*(1-Pct_Reclamaciones-Pct_Banco-Imp_Ventas_Serv-Contrib_Territorial)-AS84-BF84-BX84-CK84*H84/J84))</f>
      </c>
      <c r="CN84" s="37">
        <f>IF(B84="","",IF(J84=0,0,(O84+P84*I84/J84)*(1-Pct_Reclamaciones-Pct_Banco-Imp_Ventas_Serv-Contrib_Territorial)-BC84-BG84-BZ84-CK84*I84/J84))</f>
      </c>
      <c r="CO84" s="37">
        <f>IF(B84="","",IF(J84=0,0,ROUND(CD84-CL84-CM84-CN84,4)))</f>
      </c>
      <c r="CP84" s="71">
        <f>IF(B84="","",T84+AG84+AK84+AM84+AU84+AW84)</f>
      </c>
      <c r="CQ84" s="71">
        <f>IF(B84="","",U84+AH84+AL84+AN84+AV84+AX84)</f>
      </c>
      <c r="CR84" s="72">
        <f>IF(B84="","",IF(CP84=0,0,CQ84/CP84-1))</f>
      </c>
      <c r="CS84" s="60">
        <f>IF(B84="","",IF(ENTRADA!$Y84="","",ENTRADA!$Y84-C84))</f>
      </c>
      <c r="CT84" s="66">
        <f>IF(B84="","",IF(ENTRADA!$C84="","Falta fecha. ","")&amp;IF(BP84=0,"Mes fuera del rango de COSTOS_FIJOS. ","")&amp;IF(J84=0,"Sin kg. ","")&amp;IF(E84="","Falta transitaria. ","")&amp;IF(AND(T84&gt;0,U84/T84-1&gt;Tolerancia_Comb),"Combustible al puerto "&amp;TEXT(U84/T84-1,"+0%")&amp;" sobre norma. ","")&amp;IF(AND(AG84&gt;0,AH84/AG84-1&gt;Tolerancia_Comb),"Combustible distribución Occidente "&amp;TEXT(AH84/AG84-1,"+0%")&amp;" sobre norma. ","")&amp;IF(AND(AK84&gt;0,AL84/AK84-1&gt;Tolerancia_Comb),"Combustible traslado Centro "&amp;TEXT(AL84/AK84-1,"+0%")&amp;" sobre norma. ","")&amp;IF(AND(AM84&gt;0,AN84/AM84-1&gt;Tolerancia_Comb),"Combustible distribución Centro "&amp;TEXT(AN84/AM84-1,"+0%")&amp;" sobre norma. ","")&amp;IF(AND(AU84&gt;0,AV84/AU84-1&gt;Tolerancia_Comb),"Combustible traslado Oriente "&amp;TEXT(AV84/AU84-1,"+0%")&amp;" sobre norma. ","")&amp;IF(AND(AW84&gt;0,AX84/AW84-1&gt;Tolerancia_Comb),"Combustible distribución Oriente "&amp;TEXT(AX84/AW84-1,"+0%")&amp;" sobre norma. ","")&amp;IF(AND(ENTRADA!$C84&lt;&gt;"",C84&lt;PRECIOS!$A$6),"Fecha anterior a la 1ª vigencia de precios. ","")&amp;IF(CD84&lt;0,"Contenedor con pérdida. ",""))</f>
      </c>
    </row>
    <row r="85">
      <c r="A85" s="60">
        <f>IF(B85="","",ROW()-5)</f>
      </c>
      <c r="B85" s="63">
        <f>IF(ENTRADA!$B85="","",ENTRADA!$B85)</f>
      </c>
      <c r="C85" s="64">
        <f>IF(B85="","",ENTRADA!$C85)</f>
      </c>
      <c r="D85" s="65">
        <f>IF(B85="","",DATE(YEAR(C85),MONTH(C85),1))</f>
      </c>
      <c r="E85" s="66">
        <f>IF(B85="","",ENTRADA!$D85&amp;"")</f>
      </c>
      <c r="F85" s="66">
        <f>IF(B85="","",ENTRADA!$Z85&amp;"")</f>
      </c>
      <c r="G85" s="67">
        <f>IF(B85="","",N(ENTRADA!$G85))</f>
      </c>
      <c r="H85" s="67">
        <f>IF(B85="","",N(ENTRADA!$H85))</f>
      </c>
      <c r="I85" s="67">
        <f>IF(B85="","",N(ENTRADA!$I85))</f>
      </c>
      <c r="J85" s="68">
        <f>IF(B85="","",G85+H85+I85)</f>
      </c>
      <c r="K85" s="60">
        <f>IF(B85="","",IFERROR(MATCH(SUMPRODUCT(MAX((PRECIOS!$A$6:$A$55&lt;=C85)*PRECIOS!$A$6:$A$55)),PRECIOS!$A$6:$A$55,0),1))</f>
      </c>
      <c r="L85" s="69">
        <f>IF(B85="","",INDEX(PRECIOS!$A$6:$A$55,K85))</f>
      </c>
      <c r="M85" s="37">
        <f>IF(B85="","",G85*INDEX(PRECIOS!$B$6:$B$55,K85))</f>
      </c>
      <c r="N85" s="37">
        <f>IF(B85="","",H85*INDEX(PRECIOS!$C$6:$C$55,K85))</f>
      </c>
      <c r="O85" s="37">
        <f>IF(B85="","",I85*INDEX(PRECIOS!$D$6:$D$55,K85))</f>
      </c>
      <c r="P85" s="37">
        <f>IF(B85="","",N(ENTRADA!$X85))</f>
      </c>
      <c r="Q85" s="70">
        <f>IF(B85="","",M85+N85+O85+P85)</f>
      </c>
      <c r="R85" s="71">
        <f>IF(B85="","",IF(ENTRADA!$J85="",Std_Viajes_Puerto,ENTRADA!$J85))</f>
      </c>
      <c r="S85" s="37">
        <f>IF(B85="","",R85*INDEX(PRECIOS!$F$6:$F$55,K85))</f>
      </c>
      <c r="T85" s="71">
        <f>IF(B85="","",R85*Litros_Puerto_Viaje)</f>
      </c>
      <c r="U85" s="71">
        <f>IF(B85="","",IF(ENTRADA!$K85="",T85,ENTRADA!$K85))</f>
      </c>
      <c r="V85" s="37">
        <f>IF(B85="","",U85*INDEX(PRECIOS!$E$6:$E$55,K85))</f>
      </c>
      <c r="W85" s="37">
        <f>IF(B85="","",IF(ENTRADA!$L85="",R85*INDEX(PRECIOS!$G$6:$G$55,K85),ENTRADA!$L85))</f>
      </c>
      <c r="X85" s="37">
        <f>IF(B85="","",R85*Km_Puerto_Viaje*INDEX(PRECIOS!$N$6:$N$55,K85))</f>
      </c>
      <c r="Y85" s="70">
        <f>IF(B85="","",S85+V85+W85+X85)</f>
      </c>
      <c r="Z85" s="71">
        <f>IF(B85="","",IF(J85=0,0,ROUNDUP(J85/Rend_Desagrupe,0)))</f>
      </c>
      <c r="AA85" s="71">
        <f>IF(B85="","",IF(ENTRADA!$M85="",Z85,ENTRADA!$M85))</f>
      </c>
      <c r="AB85" s="37">
        <f>IF(B85="","",AA85*INDEX(PRECIOS!$H$6:$H$55,K85))</f>
      </c>
      <c r="AC85" s="37">
        <f>IF(B85="","",IF(E85="ENCI",INDEX(PRECIOS!$J$6:$J$55,K85),IF(E85="A.V",INDEX(PRECIOS!$K$6:$K$55,K85),0)))</f>
      </c>
      <c r="AD85" s="37">
        <f>IF(B85="","",N(ENTRADA!$N85))</f>
      </c>
      <c r="AE85" s="70">
        <f>IF(B85="","",AB85+AC85+AD85)</f>
      </c>
      <c r="AF85" s="71">
        <f>IF(B85="","",IF(G85=0,0,ROUNDUP(G85/Cap_Camion_OCC,0)))</f>
      </c>
      <c r="AG85" s="71">
        <f>IF(B85="","",AF85*L_Dist_OCC)</f>
      </c>
      <c r="AH85" s="71">
        <f>IF(B85="","",IF(ENTRADA!$O85="",AG85,ENTRADA!$O85))</f>
      </c>
      <c r="AI85" s="37">
        <f>IF(B85="","",AH85*INDEX(PRECIOS!$E$6:$E$55,K85))</f>
      </c>
      <c r="AJ85" s="71">
        <f>IF(B85="","",IF(H85=0,0,ROUNDUP(H85/Cap_Camion_CEN,0)))</f>
      </c>
      <c r="AK85" s="71">
        <f>IF(B85="","",AJ85*L_Tras_CEN)</f>
      </c>
      <c r="AL85" s="71">
        <f>IF(B85="","",IF(ENTRADA!$P85="",AK85,ENTRADA!$P85))</f>
      </c>
      <c r="AM85" s="71">
        <f>IF(B85="","",AJ85*L_Dist_CEN)</f>
      </c>
      <c r="AN85" s="71">
        <f>IF(B85="","",IF(ENTRADA!$Q85="",AM85,ENTRADA!$Q85))</f>
      </c>
      <c r="AO85" s="37">
        <f>IF(B85="","",(AL85+AN85)*INDEX(PRECIOS!$E$6:$E$55,K85))</f>
      </c>
      <c r="AP85" s="71">
        <f>IF(B85="","",IF(H85=0,0,ROUNDUP(H85/Rend_Desagrupe_CT,0)))</f>
      </c>
      <c r="AQ85" s="71">
        <f>IF(B85="","",IF(ENTRADA!$R85="",AP85,ENTRADA!$R85))</f>
      </c>
      <c r="AR85" s="37">
        <f>IF(B85="","",AQ85*INDEX(PRECIOS!$I$6:$I$55,K85))</f>
      </c>
      <c r="AS85" s="37">
        <f>IF(B85="","",AO85+AR85)</f>
      </c>
      <c r="AT85" s="71">
        <f>IF(B85="","",IF(I85=0,0,ROUNDUP(I85/Cap_Camion_ORI,0)))</f>
      </c>
      <c r="AU85" s="71">
        <f>IF(B85="","",AT85*L_Tras_ORI)</f>
      </c>
      <c r="AV85" s="71">
        <f>IF(B85="","",IF(ENTRADA!$S85="",AU85,ENTRADA!$S85))</f>
      </c>
      <c r="AW85" s="71">
        <f>IF(B85="","",AT85*L_Dist_ORI)</f>
      </c>
      <c r="AX85" s="71">
        <f>IF(B85="","",IF(ENTRADA!$T85="",AW85,ENTRADA!$T85))</f>
      </c>
      <c r="AY85" s="37">
        <f>IF(B85="","",(AV85+AX85)*INDEX(PRECIOS!$E$6:$E$55,K85))</f>
      </c>
      <c r="AZ85" s="71">
        <f>IF(B85="","",IF(I85=0,0,ROUNDUP(I85/Rend_Desagrupe_CT,0)))</f>
      </c>
      <c r="BA85" s="71">
        <f>IF(B85="","",IF(ENTRADA!$U85="",AZ85,ENTRADA!$U85))</f>
      </c>
      <c r="BB85" s="37">
        <f>IF(B85="","",BA85*INDEX(PRECIOS!$I$6:$I$55,K85))</f>
      </c>
      <c r="BC85" s="37">
        <f>IF(B85="","",AY85+BB85)</f>
      </c>
      <c r="BD85" s="70">
        <f>IF(B85="","",AI85+AS85+BC85)</f>
      </c>
      <c r="BE85" s="37">
        <f>IF(B85="","",IF(Base_Comision="% DEL INGRESO",M85*INDEX(PRECIOS!$L$6:$L$55,K85),G85*INDEX(PRECIOS!$M$6:$M$55,K85)))</f>
      </c>
      <c r="BF85" s="37">
        <f>IF(B85="","",IF(Base_Comision="% DEL INGRESO",N85*INDEX(PRECIOS!$L$6:$L$55,K85),H85*INDEX(PRECIOS!$M$6:$M$55,K85)))</f>
      </c>
      <c r="BG85" s="37">
        <f>IF(B85="","",IF(Base_Comision="% DEL INGRESO",O85*INDEX(PRECIOS!$L$6:$L$55,K85),I85*INDEX(PRECIOS!$M$6:$M$55,K85)))</f>
      </c>
      <c r="BH85" s="70">
        <f>IF(B85="","",BE85+BF85+BG85)</f>
      </c>
      <c r="BI85" s="37">
        <f>IF(B85="","",Q85*Pct_Reclamaciones)</f>
      </c>
      <c r="BJ85" s="37">
        <f>IF(B85="","",Q85*Pct_Banco)</f>
      </c>
      <c r="BK85" s="37">
        <f>IF(B85="","",N(ENTRADA!$V85))</f>
      </c>
      <c r="BL85" s="70">
        <f>IF(B85="","",Y85+AE85+BD85+BH85+BI85+BJ85+BK85)</f>
      </c>
      <c r="BM85" s="70">
        <f>IF(B85="","",Q85-BL85)</f>
      </c>
      <c r="BN85" s="72">
        <f>IF(B85="","",IF(Q85=0,0,BM85/Q85))</f>
      </c>
      <c r="BO85" s="73">
        <f>IF(B85="","",IF(J85=0,0,BM85/J85))</f>
      </c>
      <c r="BP85" s="60">
        <f>IF(B85="","",IFERROR(MATCH(D85,COSTOS_FIJOS!$G$5:$AD$5,0),0))</f>
      </c>
      <c r="BQ85" s="60">
        <f>IF(B85="","",COUNTIFS($D$6:$D$305,D85))</f>
      </c>
      <c r="BR85" s="67">
        <f>IF(B85="","",SUMIFS($J$6:$J$305,$D$6:$D$305,D85))</f>
      </c>
      <c r="BS85" s="72">
        <f>IF(B85="","",IF(Metodo_Prorrateo="KG",IF(BR85=0,0,J85/BR85),1/BQ85))</f>
      </c>
      <c r="BT85" s="37">
        <f>IF(B85="","",IF(BP85=0,0,INDEX(COSTOS_FIJOS!$G$38:$AD$38,BP85))*BS85)</f>
      </c>
      <c r="BU85" s="72">
        <f>IF(B85="","",IF(Metodo_Prorrateo="KG",IF(SUMIFS($G$6:$G$305,$D$6:$D$305,D85)=0,0,G85/SUMIFS($G$6:$G$305,$D$6:$D$305,D85)),IF(G85&gt;0,1/COUNTIFS($D$6:$D$305,D85,$G$6:$G$305,"&gt;0"),0)))</f>
      </c>
      <c r="BV85" s="37">
        <f>IF(B85="","",IF(BP85=0,0,INDEX(COSTOS_FIJOS!$G$39:$AD$39,BP85))*BU85)</f>
      </c>
      <c r="BW85" s="72">
        <f>IF(B85="","",IF(Metodo_Prorrateo="KG",IF(SUMIFS($H$6:$H$305,$D$6:$D$305,D85)=0,0,H85/SUMIFS($H$6:$H$305,$D$6:$D$305,D85)),IF(H85&gt;0,1/COUNTIFS($D$6:$D$305,D85,$H$6:$H$305,"&gt;0"),0)))</f>
      </c>
      <c r="BX85" s="37">
        <f>IF(B85="","",IF(BP85=0,0,INDEX(COSTOS_FIJOS!$G$40:$AD$40,BP85))*BW85)</f>
      </c>
      <c r="BY85" s="72">
        <f>IF(B85="","",IF(Metodo_Prorrateo="KG",IF(SUMIFS($I$6:$I$305,$D$6:$D$305,D85)=0,0,I85/SUMIFS($I$6:$I$305,$D$6:$D$305,D85)),IF(I85&gt;0,1/COUNTIFS($D$6:$D$305,D85,$I$6:$I$305,"&gt;0"),0)))</f>
      </c>
      <c r="BZ85" s="37">
        <f>IF(B85="","",IF(BP85=0,0,INDEX(COSTOS_FIJOS!$G$41:$AD$41,BP85))*BY85)</f>
      </c>
      <c r="CA85" s="70">
        <f>IF(B85="","",BT85+BV85+BX85+BZ85)</f>
      </c>
      <c r="CB85" s="37">
        <f>IF(B85="","",Q85*Imp_Ventas_Serv)</f>
      </c>
      <c r="CC85" s="37">
        <f>IF(B85="","",Q85*Contrib_Territorial)</f>
      </c>
      <c r="CD85" s="70">
        <f>IF(B85="","",BM85-CA85-CB85-CC85)</f>
      </c>
      <c r="CE85" s="37">
        <f>IF(B85="","",MAX(0,CD85)*Imp_Utilidades)</f>
      </c>
      <c r="CF85" s="70">
        <f>IF(B85="","",CD85-CE85)</f>
      </c>
      <c r="CG85" s="72">
        <f>IF(B85="","",IF(Q85=0,0,CF85/Q85))</f>
      </c>
      <c r="CH85" s="73">
        <f>IF(B85="","",IF(J85=0,0,(BL85+CA85+CB85+CC85)/J85))</f>
      </c>
      <c r="CI85" s="73">
        <f>IF(B85="","",IF(J85=0,0,Q85/J85))</f>
      </c>
      <c r="CJ85" s="73">
        <f>IF(B85="","",IF(J85=0,0,CD85/J85))</f>
      </c>
      <c r="CK85" s="37">
        <f>IF(B85="","",Y85+AE85+BK85+BT85)</f>
      </c>
      <c r="CL85" s="37">
        <f>IF(B85="","",IF(J85=0,0,(M85+P85*G85/J85)*(1-Pct_Reclamaciones-Pct_Banco-Imp_Ventas_Serv-Contrib_Territorial)-AI85-BE85-BV85-CK85*G85/J85))</f>
      </c>
      <c r="CM85" s="37">
        <f>IF(B85="","",IF(J85=0,0,(N85+P85*H85/J85)*(1-Pct_Reclamaciones-Pct_Banco-Imp_Ventas_Serv-Contrib_Territorial)-AS85-BF85-BX85-CK85*H85/J85))</f>
      </c>
      <c r="CN85" s="37">
        <f>IF(B85="","",IF(J85=0,0,(O85+P85*I85/J85)*(1-Pct_Reclamaciones-Pct_Banco-Imp_Ventas_Serv-Contrib_Territorial)-BC85-BG85-BZ85-CK85*I85/J85))</f>
      </c>
      <c r="CO85" s="37">
        <f>IF(B85="","",IF(J85=0,0,ROUND(CD85-CL85-CM85-CN85,4)))</f>
      </c>
      <c r="CP85" s="71">
        <f>IF(B85="","",T85+AG85+AK85+AM85+AU85+AW85)</f>
      </c>
      <c r="CQ85" s="71">
        <f>IF(B85="","",U85+AH85+AL85+AN85+AV85+AX85)</f>
      </c>
      <c r="CR85" s="72">
        <f>IF(B85="","",IF(CP85=0,0,CQ85/CP85-1))</f>
      </c>
      <c r="CS85" s="60">
        <f>IF(B85="","",IF(ENTRADA!$Y85="","",ENTRADA!$Y85-C85))</f>
      </c>
      <c r="CT85" s="66">
        <f>IF(B85="","",IF(ENTRADA!$C85="","Falta fecha. ","")&amp;IF(BP85=0,"Mes fuera del rango de COSTOS_FIJOS. ","")&amp;IF(J85=0,"Sin kg. ","")&amp;IF(E85="","Falta transitaria. ","")&amp;IF(AND(T85&gt;0,U85/T85-1&gt;Tolerancia_Comb),"Combustible al puerto "&amp;TEXT(U85/T85-1,"+0%")&amp;" sobre norma. ","")&amp;IF(AND(AG85&gt;0,AH85/AG85-1&gt;Tolerancia_Comb),"Combustible distribución Occidente "&amp;TEXT(AH85/AG85-1,"+0%")&amp;" sobre norma. ","")&amp;IF(AND(AK85&gt;0,AL85/AK85-1&gt;Tolerancia_Comb),"Combustible traslado Centro "&amp;TEXT(AL85/AK85-1,"+0%")&amp;" sobre norma. ","")&amp;IF(AND(AM85&gt;0,AN85/AM85-1&gt;Tolerancia_Comb),"Combustible distribución Centro "&amp;TEXT(AN85/AM85-1,"+0%")&amp;" sobre norma. ","")&amp;IF(AND(AU85&gt;0,AV85/AU85-1&gt;Tolerancia_Comb),"Combustible traslado Oriente "&amp;TEXT(AV85/AU85-1,"+0%")&amp;" sobre norma. ","")&amp;IF(AND(AW85&gt;0,AX85/AW85-1&gt;Tolerancia_Comb),"Combustible distribución Oriente "&amp;TEXT(AX85/AW85-1,"+0%")&amp;" sobre norma. ","")&amp;IF(AND(ENTRADA!$C85&lt;&gt;"",C85&lt;PRECIOS!$A$6),"Fecha anterior a la 1ª vigencia de precios. ","")&amp;IF(CD85&lt;0,"Contenedor con pérdida. ",""))</f>
      </c>
    </row>
    <row r="86">
      <c r="A86" s="60">
        <f>IF(B86="","",ROW()-5)</f>
      </c>
      <c r="B86" s="63">
        <f>IF(ENTRADA!$B86="","",ENTRADA!$B86)</f>
      </c>
      <c r="C86" s="64">
        <f>IF(B86="","",ENTRADA!$C86)</f>
      </c>
      <c r="D86" s="65">
        <f>IF(B86="","",DATE(YEAR(C86),MONTH(C86),1))</f>
      </c>
      <c r="E86" s="66">
        <f>IF(B86="","",ENTRADA!$D86&amp;"")</f>
      </c>
      <c r="F86" s="66">
        <f>IF(B86="","",ENTRADA!$Z86&amp;"")</f>
      </c>
      <c r="G86" s="67">
        <f>IF(B86="","",N(ENTRADA!$G86))</f>
      </c>
      <c r="H86" s="67">
        <f>IF(B86="","",N(ENTRADA!$H86))</f>
      </c>
      <c r="I86" s="67">
        <f>IF(B86="","",N(ENTRADA!$I86))</f>
      </c>
      <c r="J86" s="68">
        <f>IF(B86="","",G86+H86+I86)</f>
      </c>
      <c r="K86" s="60">
        <f>IF(B86="","",IFERROR(MATCH(SUMPRODUCT(MAX((PRECIOS!$A$6:$A$55&lt;=C86)*PRECIOS!$A$6:$A$55)),PRECIOS!$A$6:$A$55,0),1))</f>
      </c>
      <c r="L86" s="69">
        <f>IF(B86="","",INDEX(PRECIOS!$A$6:$A$55,K86))</f>
      </c>
      <c r="M86" s="37">
        <f>IF(B86="","",G86*INDEX(PRECIOS!$B$6:$B$55,K86))</f>
      </c>
      <c r="N86" s="37">
        <f>IF(B86="","",H86*INDEX(PRECIOS!$C$6:$C$55,K86))</f>
      </c>
      <c r="O86" s="37">
        <f>IF(B86="","",I86*INDEX(PRECIOS!$D$6:$D$55,K86))</f>
      </c>
      <c r="P86" s="37">
        <f>IF(B86="","",N(ENTRADA!$X86))</f>
      </c>
      <c r="Q86" s="70">
        <f>IF(B86="","",M86+N86+O86+P86)</f>
      </c>
      <c r="R86" s="71">
        <f>IF(B86="","",IF(ENTRADA!$J86="",Std_Viajes_Puerto,ENTRADA!$J86))</f>
      </c>
      <c r="S86" s="37">
        <f>IF(B86="","",R86*INDEX(PRECIOS!$F$6:$F$55,K86))</f>
      </c>
      <c r="T86" s="71">
        <f>IF(B86="","",R86*Litros_Puerto_Viaje)</f>
      </c>
      <c r="U86" s="71">
        <f>IF(B86="","",IF(ENTRADA!$K86="",T86,ENTRADA!$K86))</f>
      </c>
      <c r="V86" s="37">
        <f>IF(B86="","",U86*INDEX(PRECIOS!$E$6:$E$55,K86))</f>
      </c>
      <c r="W86" s="37">
        <f>IF(B86="","",IF(ENTRADA!$L86="",R86*INDEX(PRECIOS!$G$6:$G$55,K86),ENTRADA!$L86))</f>
      </c>
      <c r="X86" s="37">
        <f>IF(B86="","",R86*Km_Puerto_Viaje*INDEX(PRECIOS!$N$6:$N$55,K86))</f>
      </c>
      <c r="Y86" s="70">
        <f>IF(B86="","",S86+V86+W86+X86)</f>
      </c>
      <c r="Z86" s="71">
        <f>IF(B86="","",IF(J86=0,0,ROUNDUP(J86/Rend_Desagrupe,0)))</f>
      </c>
      <c r="AA86" s="71">
        <f>IF(B86="","",IF(ENTRADA!$M86="",Z86,ENTRADA!$M86))</f>
      </c>
      <c r="AB86" s="37">
        <f>IF(B86="","",AA86*INDEX(PRECIOS!$H$6:$H$55,K86))</f>
      </c>
      <c r="AC86" s="37">
        <f>IF(B86="","",IF(E86="ENCI",INDEX(PRECIOS!$J$6:$J$55,K86),IF(E86="A.V",INDEX(PRECIOS!$K$6:$K$55,K86),0)))</f>
      </c>
      <c r="AD86" s="37">
        <f>IF(B86="","",N(ENTRADA!$N86))</f>
      </c>
      <c r="AE86" s="70">
        <f>IF(B86="","",AB86+AC86+AD86)</f>
      </c>
      <c r="AF86" s="71">
        <f>IF(B86="","",IF(G86=0,0,ROUNDUP(G86/Cap_Camion_OCC,0)))</f>
      </c>
      <c r="AG86" s="71">
        <f>IF(B86="","",AF86*L_Dist_OCC)</f>
      </c>
      <c r="AH86" s="71">
        <f>IF(B86="","",IF(ENTRADA!$O86="",AG86,ENTRADA!$O86))</f>
      </c>
      <c r="AI86" s="37">
        <f>IF(B86="","",AH86*INDEX(PRECIOS!$E$6:$E$55,K86))</f>
      </c>
      <c r="AJ86" s="71">
        <f>IF(B86="","",IF(H86=0,0,ROUNDUP(H86/Cap_Camion_CEN,0)))</f>
      </c>
      <c r="AK86" s="71">
        <f>IF(B86="","",AJ86*L_Tras_CEN)</f>
      </c>
      <c r="AL86" s="71">
        <f>IF(B86="","",IF(ENTRADA!$P86="",AK86,ENTRADA!$P86))</f>
      </c>
      <c r="AM86" s="71">
        <f>IF(B86="","",AJ86*L_Dist_CEN)</f>
      </c>
      <c r="AN86" s="71">
        <f>IF(B86="","",IF(ENTRADA!$Q86="",AM86,ENTRADA!$Q86))</f>
      </c>
      <c r="AO86" s="37">
        <f>IF(B86="","",(AL86+AN86)*INDEX(PRECIOS!$E$6:$E$55,K86))</f>
      </c>
      <c r="AP86" s="71">
        <f>IF(B86="","",IF(H86=0,0,ROUNDUP(H86/Rend_Desagrupe_CT,0)))</f>
      </c>
      <c r="AQ86" s="71">
        <f>IF(B86="","",IF(ENTRADA!$R86="",AP86,ENTRADA!$R86))</f>
      </c>
      <c r="AR86" s="37">
        <f>IF(B86="","",AQ86*INDEX(PRECIOS!$I$6:$I$55,K86))</f>
      </c>
      <c r="AS86" s="37">
        <f>IF(B86="","",AO86+AR86)</f>
      </c>
      <c r="AT86" s="71">
        <f>IF(B86="","",IF(I86=0,0,ROUNDUP(I86/Cap_Camion_ORI,0)))</f>
      </c>
      <c r="AU86" s="71">
        <f>IF(B86="","",AT86*L_Tras_ORI)</f>
      </c>
      <c r="AV86" s="71">
        <f>IF(B86="","",IF(ENTRADA!$S86="",AU86,ENTRADA!$S86))</f>
      </c>
      <c r="AW86" s="71">
        <f>IF(B86="","",AT86*L_Dist_ORI)</f>
      </c>
      <c r="AX86" s="71">
        <f>IF(B86="","",IF(ENTRADA!$T86="",AW86,ENTRADA!$T86))</f>
      </c>
      <c r="AY86" s="37">
        <f>IF(B86="","",(AV86+AX86)*INDEX(PRECIOS!$E$6:$E$55,K86))</f>
      </c>
      <c r="AZ86" s="71">
        <f>IF(B86="","",IF(I86=0,0,ROUNDUP(I86/Rend_Desagrupe_CT,0)))</f>
      </c>
      <c r="BA86" s="71">
        <f>IF(B86="","",IF(ENTRADA!$U86="",AZ86,ENTRADA!$U86))</f>
      </c>
      <c r="BB86" s="37">
        <f>IF(B86="","",BA86*INDEX(PRECIOS!$I$6:$I$55,K86))</f>
      </c>
      <c r="BC86" s="37">
        <f>IF(B86="","",AY86+BB86)</f>
      </c>
      <c r="BD86" s="70">
        <f>IF(B86="","",AI86+AS86+BC86)</f>
      </c>
      <c r="BE86" s="37">
        <f>IF(B86="","",IF(Base_Comision="% DEL INGRESO",M86*INDEX(PRECIOS!$L$6:$L$55,K86),G86*INDEX(PRECIOS!$M$6:$M$55,K86)))</f>
      </c>
      <c r="BF86" s="37">
        <f>IF(B86="","",IF(Base_Comision="% DEL INGRESO",N86*INDEX(PRECIOS!$L$6:$L$55,K86),H86*INDEX(PRECIOS!$M$6:$M$55,K86)))</f>
      </c>
      <c r="BG86" s="37">
        <f>IF(B86="","",IF(Base_Comision="% DEL INGRESO",O86*INDEX(PRECIOS!$L$6:$L$55,K86),I86*INDEX(PRECIOS!$M$6:$M$55,K86)))</f>
      </c>
      <c r="BH86" s="70">
        <f>IF(B86="","",BE86+BF86+BG86)</f>
      </c>
      <c r="BI86" s="37">
        <f>IF(B86="","",Q86*Pct_Reclamaciones)</f>
      </c>
      <c r="BJ86" s="37">
        <f>IF(B86="","",Q86*Pct_Banco)</f>
      </c>
      <c r="BK86" s="37">
        <f>IF(B86="","",N(ENTRADA!$V86))</f>
      </c>
      <c r="BL86" s="70">
        <f>IF(B86="","",Y86+AE86+BD86+BH86+BI86+BJ86+BK86)</f>
      </c>
      <c r="BM86" s="70">
        <f>IF(B86="","",Q86-BL86)</f>
      </c>
      <c r="BN86" s="72">
        <f>IF(B86="","",IF(Q86=0,0,BM86/Q86))</f>
      </c>
      <c r="BO86" s="73">
        <f>IF(B86="","",IF(J86=0,0,BM86/J86))</f>
      </c>
      <c r="BP86" s="60">
        <f>IF(B86="","",IFERROR(MATCH(D86,COSTOS_FIJOS!$G$5:$AD$5,0),0))</f>
      </c>
      <c r="BQ86" s="60">
        <f>IF(B86="","",COUNTIFS($D$6:$D$305,D86))</f>
      </c>
      <c r="BR86" s="67">
        <f>IF(B86="","",SUMIFS($J$6:$J$305,$D$6:$D$305,D86))</f>
      </c>
      <c r="BS86" s="72">
        <f>IF(B86="","",IF(Metodo_Prorrateo="KG",IF(BR86=0,0,J86/BR86),1/BQ86))</f>
      </c>
      <c r="BT86" s="37">
        <f>IF(B86="","",IF(BP86=0,0,INDEX(COSTOS_FIJOS!$G$38:$AD$38,BP86))*BS86)</f>
      </c>
      <c r="BU86" s="72">
        <f>IF(B86="","",IF(Metodo_Prorrateo="KG",IF(SUMIFS($G$6:$G$305,$D$6:$D$305,D86)=0,0,G86/SUMIFS($G$6:$G$305,$D$6:$D$305,D86)),IF(G86&gt;0,1/COUNTIFS($D$6:$D$305,D86,$G$6:$G$305,"&gt;0"),0)))</f>
      </c>
      <c r="BV86" s="37">
        <f>IF(B86="","",IF(BP86=0,0,INDEX(COSTOS_FIJOS!$G$39:$AD$39,BP86))*BU86)</f>
      </c>
      <c r="BW86" s="72">
        <f>IF(B86="","",IF(Metodo_Prorrateo="KG",IF(SUMIFS($H$6:$H$305,$D$6:$D$305,D86)=0,0,H86/SUMIFS($H$6:$H$305,$D$6:$D$305,D86)),IF(H86&gt;0,1/COUNTIFS($D$6:$D$305,D86,$H$6:$H$305,"&gt;0"),0)))</f>
      </c>
      <c r="BX86" s="37">
        <f>IF(B86="","",IF(BP86=0,0,INDEX(COSTOS_FIJOS!$G$40:$AD$40,BP86))*BW86)</f>
      </c>
      <c r="BY86" s="72">
        <f>IF(B86="","",IF(Metodo_Prorrateo="KG",IF(SUMIFS($I$6:$I$305,$D$6:$D$305,D86)=0,0,I86/SUMIFS($I$6:$I$305,$D$6:$D$305,D86)),IF(I86&gt;0,1/COUNTIFS($D$6:$D$305,D86,$I$6:$I$305,"&gt;0"),0)))</f>
      </c>
      <c r="BZ86" s="37">
        <f>IF(B86="","",IF(BP86=0,0,INDEX(COSTOS_FIJOS!$G$41:$AD$41,BP86))*BY86)</f>
      </c>
      <c r="CA86" s="70">
        <f>IF(B86="","",BT86+BV86+BX86+BZ86)</f>
      </c>
      <c r="CB86" s="37">
        <f>IF(B86="","",Q86*Imp_Ventas_Serv)</f>
      </c>
      <c r="CC86" s="37">
        <f>IF(B86="","",Q86*Contrib_Territorial)</f>
      </c>
      <c r="CD86" s="70">
        <f>IF(B86="","",BM86-CA86-CB86-CC86)</f>
      </c>
      <c r="CE86" s="37">
        <f>IF(B86="","",MAX(0,CD86)*Imp_Utilidades)</f>
      </c>
      <c r="CF86" s="70">
        <f>IF(B86="","",CD86-CE86)</f>
      </c>
      <c r="CG86" s="72">
        <f>IF(B86="","",IF(Q86=0,0,CF86/Q86))</f>
      </c>
      <c r="CH86" s="73">
        <f>IF(B86="","",IF(J86=0,0,(BL86+CA86+CB86+CC86)/J86))</f>
      </c>
      <c r="CI86" s="73">
        <f>IF(B86="","",IF(J86=0,0,Q86/J86))</f>
      </c>
      <c r="CJ86" s="73">
        <f>IF(B86="","",IF(J86=0,0,CD86/J86))</f>
      </c>
      <c r="CK86" s="37">
        <f>IF(B86="","",Y86+AE86+BK86+BT86)</f>
      </c>
      <c r="CL86" s="37">
        <f>IF(B86="","",IF(J86=0,0,(M86+P86*G86/J86)*(1-Pct_Reclamaciones-Pct_Banco-Imp_Ventas_Serv-Contrib_Territorial)-AI86-BE86-BV86-CK86*G86/J86))</f>
      </c>
      <c r="CM86" s="37">
        <f>IF(B86="","",IF(J86=0,0,(N86+P86*H86/J86)*(1-Pct_Reclamaciones-Pct_Banco-Imp_Ventas_Serv-Contrib_Territorial)-AS86-BF86-BX86-CK86*H86/J86))</f>
      </c>
      <c r="CN86" s="37">
        <f>IF(B86="","",IF(J86=0,0,(O86+P86*I86/J86)*(1-Pct_Reclamaciones-Pct_Banco-Imp_Ventas_Serv-Contrib_Territorial)-BC86-BG86-BZ86-CK86*I86/J86))</f>
      </c>
      <c r="CO86" s="37">
        <f>IF(B86="","",IF(J86=0,0,ROUND(CD86-CL86-CM86-CN86,4)))</f>
      </c>
      <c r="CP86" s="71">
        <f>IF(B86="","",T86+AG86+AK86+AM86+AU86+AW86)</f>
      </c>
      <c r="CQ86" s="71">
        <f>IF(B86="","",U86+AH86+AL86+AN86+AV86+AX86)</f>
      </c>
      <c r="CR86" s="72">
        <f>IF(B86="","",IF(CP86=0,0,CQ86/CP86-1))</f>
      </c>
      <c r="CS86" s="60">
        <f>IF(B86="","",IF(ENTRADA!$Y86="","",ENTRADA!$Y86-C86))</f>
      </c>
      <c r="CT86" s="66">
        <f>IF(B86="","",IF(ENTRADA!$C86="","Falta fecha. ","")&amp;IF(BP86=0,"Mes fuera del rango de COSTOS_FIJOS. ","")&amp;IF(J86=0,"Sin kg. ","")&amp;IF(E86="","Falta transitaria. ","")&amp;IF(AND(T86&gt;0,U86/T86-1&gt;Tolerancia_Comb),"Combustible al puerto "&amp;TEXT(U86/T86-1,"+0%")&amp;" sobre norma. ","")&amp;IF(AND(AG86&gt;0,AH86/AG86-1&gt;Tolerancia_Comb),"Combustible distribución Occidente "&amp;TEXT(AH86/AG86-1,"+0%")&amp;" sobre norma. ","")&amp;IF(AND(AK86&gt;0,AL86/AK86-1&gt;Tolerancia_Comb),"Combustible traslado Centro "&amp;TEXT(AL86/AK86-1,"+0%")&amp;" sobre norma. ","")&amp;IF(AND(AM86&gt;0,AN86/AM86-1&gt;Tolerancia_Comb),"Combustible distribución Centro "&amp;TEXT(AN86/AM86-1,"+0%")&amp;" sobre norma. ","")&amp;IF(AND(AU86&gt;0,AV86/AU86-1&gt;Tolerancia_Comb),"Combustible traslado Oriente "&amp;TEXT(AV86/AU86-1,"+0%")&amp;" sobre norma. ","")&amp;IF(AND(AW86&gt;0,AX86/AW86-1&gt;Tolerancia_Comb),"Combustible distribución Oriente "&amp;TEXT(AX86/AW86-1,"+0%")&amp;" sobre norma. ","")&amp;IF(AND(ENTRADA!$C86&lt;&gt;"",C86&lt;PRECIOS!$A$6),"Fecha anterior a la 1ª vigencia de precios. ","")&amp;IF(CD86&lt;0,"Contenedor con pérdida. ",""))</f>
      </c>
    </row>
    <row r="87">
      <c r="A87" s="60">
        <f>IF(B87="","",ROW()-5)</f>
      </c>
      <c r="B87" s="63">
        <f>IF(ENTRADA!$B87="","",ENTRADA!$B87)</f>
      </c>
      <c r="C87" s="64">
        <f>IF(B87="","",ENTRADA!$C87)</f>
      </c>
      <c r="D87" s="65">
        <f>IF(B87="","",DATE(YEAR(C87),MONTH(C87),1))</f>
      </c>
      <c r="E87" s="66">
        <f>IF(B87="","",ENTRADA!$D87&amp;"")</f>
      </c>
      <c r="F87" s="66">
        <f>IF(B87="","",ENTRADA!$Z87&amp;"")</f>
      </c>
      <c r="G87" s="67">
        <f>IF(B87="","",N(ENTRADA!$G87))</f>
      </c>
      <c r="H87" s="67">
        <f>IF(B87="","",N(ENTRADA!$H87))</f>
      </c>
      <c r="I87" s="67">
        <f>IF(B87="","",N(ENTRADA!$I87))</f>
      </c>
      <c r="J87" s="68">
        <f>IF(B87="","",G87+H87+I87)</f>
      </c>
      <c r="K87" s="60">
        <f>IF(B87="","",IFERROR(MATCH(SUMPRODUCT(MAX((PRECIOS!$A$6:$A$55&lt;=C87)*PRECIOS!$A$6:$A$55)),PRECIOS!$A$6:$A$55,0),1))</f>
      </c>
      <c r="L87" s="69">
        <f>IF(B87="","",INDEX(PRECIOS!$A$6:$A$55,K87))</f>
      </c>
      <c r="M87" s="37">
        <f>IF(B87="","",G87*INDEX(PRECIOS!$B$6:$B$55,K87))</f>
      </c>
      <c r="N87" s="37">
        <f>IF(B87="","",H87*INDEX(PRECIOS!$C$6:$C$55,K87))</f>
      </c>
      <c r="O87" s="37">
        <f>IF(B87="","",I87*INDEX(PRECIOS!$D$6:$D$55,K87))</f>
      </c>
      <c r="P87" s="37">
        <f>IF(B87="","",N(ENTRADA!$X87))</f>
      </c>
      <c r="Q87" s="70">
        <f>IF(B87="","",M87+N87+O87+P87)</f>
      </c>
      <c r="R87" s="71">
        <f>IF(B87="","",IF(ENTRADA!$J87="",Std_Viajes_Puerto,ENTRADA!$J87))</f>
      </c>
      <c r="S87" s="37">
        <f>IF(B87="","",R87*INDEX(PRECIOS!$F$6:$F$55,K87))</f>
      </c>
      <c r="T87" s="71">
        <f>IF(B87="","",R87*Litros_Puerto_Viaje)</f>
      </c>
      <c r="U87" s="71">
        <f>IF(B87="","",IF(ENTRADA!$K87="",T87,ENTRADA!$K87))</f>
      </c>
      <c r="V87" s="37">
        <f>IF(B87="","",U87*INDEX(PRECIOS!$E$6:$E$55,K87))</f>
      </c>
      <c r="W87" s="37">
        <f>IF(B87="","",IF(ENTRADA!$L87="",R87*INDEX(PRECIOS!$G$6:$G$55,K87),ENTRADA!$L87))</f>
      </c>
      <c r="X87" s="37">
        <f>IF(B87="","",R87*Km_Puerto_Viaje*INDEX(PRECIOS!$N$6:$N$55,K87))</f>
      </c>
      <c r="Y87" s="70">
        <f>IF(B87="","",S87+V87+W87+X87)</f>
      </c>
      <c r="Z87" s="71">
        <f>IF(B87="","",IF(J87=0,0,ROUNDUP(J87/Rend_Desagrupe,0)))</f>
      </c>
      <c r="AA87" s="71">
        <f>IF(B87="","",IF(ENTRADA!$M87="",Z87,ENTRADA!$M87))</f>
      </c>
      <c r="AB87" s="37">
        <f>IF(B87="","",AA87*INDEX(PRECIOS!$H$6:$H$55,K87))</f>
      </c>
      <c r="AC87" s="37">
        <f>IF(B87="","",IF(E87="ENCI",INDEX(PRECIOS!$J$6:$J$55,K87),IF(E87="A.V",INDEX(PRECIOS!$K$6:$K$55,K87),0)))</f>
      </c>
      <c r="AD87" s="37">
        <f>IF(B87="","",N(ENTRADA!$N87))</f>
      </c>
      <c r="AE87" s="70">
        <f>IF(B87="","",AB87+AC87+AD87)</f>
      </c>
      <c r="AF87" s="71">
        <f>IF(B87="","",IF(G87=0,0,ROUNDUP(G87/Cap_Camion_OCC,0)))</f>
      </c>
      <c r="AG87" s="71">
        <f>IF(B87="","",AF87*L_Dist_OCC)</f>
      </c>
      <c r="AH87" s="71">
        <f>IF(B87="","",IF(ENTRADA!$O87="",AG87,ENTRADA!$O87))</f>
      </c>
      <c r="AI87" s="37">
        <f>IF(B87="","",AH87*INDEX(PRECIOS!$E$6:$E$55,K87))</f>
      </c>
      <c r="AJ87" s="71">
        <f>IF(B87="","",IF(H87=0,0,ROUNDUP(H87/Cap_Camion_CEN,0)))</f>
      </c>
      <c r="AK87" s="71">
        <f>IF(B87="","",AJ87*L_Tras_CEN)</f>
      </c>
      <c r="AL87" s="71">
        <f>IF(B87="","",IF(ENTRADA!$P87="",AK87,ENTRADA!$P87))</f>
      </c>
      <c r="AM87" s="71">
        <f>IF(B87="","",AJ87*L_Dist_CEN)</f>
      </c>
      <c r="AN87" s="71">
        <f>IF(B87="","",IF(ENTRADA!$Q87="",AM87,ENTRADA!$Q87))</f>
      </c>
      <c r="AO87" s="37">
        <f>IF(B87="","",(AL87+AN87)*INDEX(PRECIOS!$E$6:$E$55,K87))</f>
      </c>
      <c r="AP87" s="71">
        <f>IF(B87="","",IF(H87=0,0,ROUNDUP(H87/Rend_Desagrupe_CT,0)))</f>
      </c>
      <c r="AQ87" s="71">
        <f>IF(B87="","",IF(ENTRADA!$R87="",AP87,ENTRADA!$R87))</f>
      </c>
      <c r="AR87" s="37">
        <f>IF(B87="","",AQ87*INDEX(PRECIOS!$I$6:$I$55,K87))</f>
      </c>
      <c r="AS87" s="37">
        <f>IF(B87="","",AO87+AR87)</f>
      </c>
      <c r="AT87" s="71">
        <f>IF(B87="","",IF(I87=0,0,ROUNDUP(I87/Cap_Camion_ORI,0)))</f>
      </c>
      <c r="AU87" s="71">
        <f>IF(B87="","",AT87*L_Tras_ORI)</f>
      </c>
      <c r="AV87" s="71">
        <f>IF(B87="","",IF(ENTRADA!$S87="",AU87,ENTRADA!$S87))</f>
      </c>
      <c r="AW87" s="71">
        <f>IF(B87="","",AT87*L_Dist_ORI)</f>
      </c>
      <c r="AX87" s="71">
        <f>IF(B87="","",IF(ENTRADA!$T87="",AW87,ENTRADA!$T87))</f>
      </c>
      <c r="AY87" s="37">
        <f>IF(B87="","",(AV87+AX87)*INDEX(PRECIOS!$E$6:$E$55,K87))</f>
      </c>
      <c r="AZ87" s="71">
        <f>IF(B87="","",IF(I87=0,0,ROUNDUP(I87/Rend_Desagrupe_CT,0)))</f>
      </c>
      <c r="BA87" s="71">
        <f>IF(B87="","",IF(ENTRADA!$U87="",AZ87,ENTRADA!$U87))</f>
      </c>
      <c r="BB87" s="37">
        <f>IF(B87="","",BA87*INDEX(PRECIOS!$I$6:$I$55,K87))</f>
      </c>
      <c r="BC87" s="37">
        <f>IF(B87="","",AY87+BB87)</f>
      </c>
      <c r="BD87" s="70">
        <f>IF(B87="","",AI87+AS87+BC87)</f>
      </c>
      <c r="BE87" s="37">
        <f>IF(B87="","",IF(Base_Comision="% DEL INGRESO",M87*INDEX(PRECIOS!$L$6:$L$55,K87),G87*INDEX(PRECIOS!$M$6:$M$55,K87)))</f>
      </c>
      <c r="BF87" s="37">
        <f>IF(B87="","",IF(Base_Comision="% DEL INGRESO",N87*INDEX(PRECIOS!$L$6:$L$55,K87),H87*INDEX(PRECIOS!$M$6:$M$55,K87)))</f>
      </c>
      <c r="BG87" s="37">
        <f>IF(B87="","",IF(Base_Comision="% DEL INGRESO",O87*INDEX(PRECIOS!$L$6:$L$55,K87),I87*INDEX(PRECIOS!$M$6:$M$55,K87)))</f>
      </c>
      <c r="BH87" s="70">
        <f>IF(B87="","",BE87+BF87+BG87)</f>
      </c>
      <c r="BI87" s="37">
        <f>IF(B87="","",Q87*Pct_Reclamaciones)</f>
      </c>
      <c r="BJ87" s="37">
        <f>IF(B87="","",Q87*Pct_Banco)</f>
      </c>
      <c r="BK87" s="37">
        <f>IF(B87="","",N(ENTRADA!$V87))</f>
      </c>
      <c r="BL87" s="70">
        <f>IF(B87="","",Y87+AE87+BD87+BH87+BI87+BJ87+BK87)</f>
      </c>
      <c r="BM87" s="70">
        <f>IF(B87="","",Q87-BL87)</f>
      </c>
      <c r="BN87" s="72">
        <f>IF(B87="","",IF(Q87=0,0,BM87/Q87))</f>
      </c>
      <c r="BO87" s="73">
        <f>IF(B87="","",IF(J87=0,0,BM87/J87))</f>
      </c>
      <c r="BP87" s="60">
        <f>IF(B87="","",IFERROR(MATCH(D87,COSTOS_FIJOS!$G$5:$AD$5,0),0))</f>
      </c>
      <c r="BQ87" s="60">
        <f>IF(B87="","",COUNTIFS($D$6:$D$305,D87))</f>
      </c>
      <c r="BR87" s="67">
        <f>IF(B87="","",SUMIFS($J$6:$J$305,$D$6:$D$305,D87))</f>
      </c>
      <c r="BS87" s="72">
        <f>IF(B87="","",IF(Metodo_Prorrateo="KG",IF(BR87=0,0,J87/BR87),1/BQ87))</f>
      </c>
      <c r="BT87" s="37">
        <f>IF(B87="","",IF(BP87=0,0,INDEX(COSTOS_FIJOS!$G$38:$AD$38,BP87))*BS87)</f>
      </c>
      <c r="BU87" s="72">
        <f>IF(B87="","",IF(Metodo_Prorrateo="KG",IF(SUMIFS($G$6:$G$305,$D$6:$D$305,D87)=0,0,G87/SUMIFS($G$6:$G$305,$D$6:$D$305,D87)),IF(G87&gt;0,1/COUNTIFS($D$6:$D$305,D87,$G$6:$G$305,"&gt;0"),0)))</f>
      </c>
      <c r="BV87" s="37">
        <f>IF(B87="","",IF(BP87=0,0,INDEX(COSTOS_FIJOS!$G$39:$AD$39,BP87))*BU87)</f>
      </c>
      <c r="BW87" s="72">
        <f>IF(B87="","",IF(Metodo_Prorrateo="KG",IF(SUMIFS($H$6:$H$305,$D$6:$D$305,D87)=0,0,H87/SUMIFS($H$6:$H$305,$D$6:$D$305,D87)),IF(H87&gt;0,1/COUNTIFS($D$6:$D$305,D87,$H$6:$H$305,"&gt;0"),0)))</f>
      </c>
      <c r="BX87" s="37">
        <f>IF(B87="","",IF(BP87=0,0,INDEX(COSTOS_FIJOS!$G$40:$AD$40,BP87))*BW87)</f>
      </c>
      <c r="BY87" s="72">
        <f>IF(B87="","",IF(Metodo_Prorrateo="KG",IF(SUMIFS($I$6:$I$305,$D$6:$D$305,D87)=0,0,I87/SUMIFS($I$6:$I$305,$D$6:$D$305,D87)),IF(I87&gt;0,1/COUNTIFS($D$6:$D$305,D87,$I$6:$I$305,"&gt;0"),0)))</f>
      </c>
      <c r="BZ87" s="37">
        <f>IF(B87="","",IF(BP87=0,0,INDEX(COSTOS_FIJOS!$G$41:$AD$41,BP87))*BY87)</f>
      </c>
      <c r="CA87" s="70">
        <f>IF(B87="","",BT87+BV87+BX87+BZ87)</f>
      </c>
      <c r="CB87" s="37">
        <f>IF(B87="","",Q87*Imp_Ventas_Serv)</f>
      </c>
      <c r="CC87" s="37">
        <f>IF(B87="","",Q87*Contrib_Territorial)</f>
      </c>
      <c r="CD87" s="70">
        <f>IF(B87="","",BM87-CA87-CB87-CC87)</f>
      </c>
      <c r="CE87" s="37">
        <f>IF(B87="","",MAX(0,CD87)*Imp_Utilidades)</f>
      </c>
      <c r="CF87" s="70">
        <f>IF(B87="","",CD87-CE87)</f>
      </c>
      <c r="CG87" s="72">
        <f>IF(B87="","",IF(Q87=0,0,CF87/Q87))</f>
      </c>
      <c r="CH87" s="73">
        <f>IF(B87="","",IF(J87=0,0,(BL87+CA87+CB87+CC87)/J87))</f>
      </c>
      <c r="CI87" s="73">
        <f>IF(B87="","",IF(J87=0,0,Q87/J87))</f>
      </c>
      <c r="CJ87" s="73">
        <f>IF(B87="","",IF(J87=0,0,CD87/J87))</f>
      </c>
      <c r="CK87" s="37">
        <f>IF(B87="","",Y87+AE87+BK87+BT87)</f>
      </c>
      <c r="CL87" s="37">
        <f>IF(B87="","",IF(J87=0,0,(M87+P87*G87/J87)*(1-Pct_Reclamaciones-Pct_Banco-Imp_Ventas_Serv-Contrib_Territorial)-AI87-BE87-BV87-CK87*G87/J87))</f>
      </c>
      <c r="CM87" s="37">
        <f>IF(B87="","",IF(J87=0,0,(N87+P87*H87/J87)*(1-Pct_Reclamaciones-Pct_Banco-Imp_Ventas_Serv-Contrib_Territorial)-AS87-BF87-BX87-CK87*H87/J87))</f>
      </c>
      <c r="CN87" s="37">
        <f>IF(B87="","",IF(J87=0,0,(O87+P87*I87/J87)*(1-Pct_Reclamaciones-Pct_Banco-Imp_Ventas_Serv-Contrib_Territorial)-BC87-BG87-BZ87-CK87*I87/J87))</f>
      </c>
      <c r="CO87" s="37">
        <f>IF(B87="","",IF(J87=0,0,ROUND(CD87-CL87-CM87-CN87,4)))</f>
      </c>
      <c r="CP87" s="71">
        <f>IF(B87="","",T87+AG87+AK87+AM87+AU87+AW87)</f>
      </c>
      <c r="CQ87" s="71">
        <f>IF(B87="","",U87+AH87+AL87+AN87+AV87+AX87)</f>
      </c>
      <c r="CR87" s="72">
        <f>IF(B87="","",IF(CP87=0,0,CQ87/CP87-1))</f>
      </c>
      <c r="CS87" s="60">
        <f>IF(B87="","",IF(ENTRADA!$Y87="","",ENTRADA!$Y87-C87))</f>
      </c>
      <c r="CT87" s="66">
        <f>IF(B87="","",IF(ENTRADA!$C87="","Falta fecha. ","")&amp;IF(BP87=0,"Mes fuera del rango de COSTOS_FIJOS. ","")&amp;IF(J87=0,"Sin kg. ","")&amp;IF(E87="","Falta transitaria. ","")&amp;IF(AND(T87&gt;0,U87/T87-1&gt;Tolerancia_Comb),"Combustible al puerto "&amp;TEXT(U87/T87-1,"+0%")&amp;" sobre norma. ","")&amp;IF(AND(AG87&gt;0,AH87/AG87-1&gt;Tolerancia_Comb),"Combustible distribución Occidente "&amp;TEXT(AH87/AG87-1,"+0%")&amp;" sobre norma. ","")&amp;IF(AND(AK87&gt;0,AL87/AK87-1&gt;Tolerancia_Comb),"Combustible traslado Centro "&amp;TEXT(AL87/AK87-1,"+0%")&amp;" sobre norma. ","")&amp;IF(AND(AM87&gt;0,AN87/AM87-1&gt;Tolerancia_Comb),"Combustible distribución Centro "&amp;TEXT(AN87/AM87-1,"+0%")&amp;" sobre norma. ","")&amp;IF(AND(AU87&gt;0,AV87/AU87-1&gt;Tolerancia_Comb),"Combustible traslado Oriente "&amp;TEXT(AV87/AU87-1,"+0%")&amp;" sobre norma. ","")&amp;IF(AND(AW87&gt;0,AX87/AW87-1&gt;Tolerancia_Comb),"Combustible distribución Oriente "&amp;TEXT(AX87/AW87-1,"+0%")&amp;" sobre norma. ","")&amp;IF(AND(ENTRADA!$C87&lt;&gt;"",C87&lt;PRECIOS!$A$6),"Fecha anterior a la 1ª vigencia de precios. ","")&amp;IF(CD87&lt;0,"Contenedor con pérdida. ",""))</f>
      </c>
    </row>
    <row r="88">
      <c r="A88" s="60">
        <f>IF(B88="","",ROW()-5)</f>
      </c>
      <c r="B88" s="63">
        <f>IF(ENTRADA!$B88="","",ENTRADA!$B88)</f>
      </c>
      <c r="C88" s="64">
        <f>IF(B88="","",ENTRADA!$C88)</f>
      </c>
      <c r="D88" s="65">
        <f>IF(B88="","",DATE(YEAR(C88),MONTH(C88),1))</f>
      </c>
      <c r="E88" s="66">
        <f>IF(B88="","",ENTRADA!$D88&amp;"")</f>
      </c>
      <c r="F88" s="66">
        <f>IF(B88="","",ENTRADA!$Z88&amp;"")</f>
      </c>
      <c r="G88" s="67">
        <f>IF(B88="","",N(ENTRADA!$G88))</f>
      </c>
      <c r="H88" s="67">
        <f>IF(B88="","",N(ENTRADA!$H88))</f>
      </c>
      <c r="I88" s="67">
        <f>IF(B88="","",N(ENTRADA!$I88))</f>
      </c>
      <c r="J88" s="68">
        <f>IF(B88="","",G88+H88+I88)</f>
      </c>
      <c r="K88" s="60">
        <f>IF(B88="","",IFERROR(MATCH(SUMPRODUCT(MAX((PRECIOS!$A$6:$A$55&lt;=C88)*PRECIOS!$A$6:$A$55)),PRECIOS!$A$6:$A$55,0),1))</f>
      </c>
      <c r="L88" s="69">
        <f>IF(B88="","",INDEX(PRECIOS!$A$6:$A$55,K88))</f>
      </c>
      <c r="M88" s="37">
        <f>IF(B88="","",G88*INDEX(PRECIOS!$B$6:$B$55,K88))</f>
      </c>
      <c r="N88" s="37">
        <f>IF(B88="","",H88*INDEX(PRECIOS!$C$6:$C$55,K88))</f>
      </c>
      <c r="O88" s="37">
        <f>IF(B88="","",I88*INDEX(PRECIOS!$D$6:$D$55,K88))</f>
      </c>
      <c r="P88" s="37">
        <f>IF(B88="","",N(ENTRADA!$X88))</f>
      </c>
      <c r="Q88" s="70">
        <f>IF(B88="","",M88+N88+O88+P88)</f>
      </c>
      <c r="R88" s="71">
        <f>IF(B88="","",IF(ENTRADA!$J88="",Std_Viajes_Puerto,ENTRADA!$J88))</f>
      </c>
      <c r="S88" s="37">
        <f>IF(B88="","",R88*INDEX(PRECIOS!$F$6:$F$55,K88))</f>
      </c>
      <c r="T88" s="71">
        <f>IF(B88="","",R88*Litros_Puerto_Viaje)</f>
      </c>
      <c r="U88" s="71">
        <f>IF(B88="","",IF(ENTRADA!$K88="",T88,ENTRADA!$K88))</f>
      </c>
      <c r="V88" s="37">
        <f>IF(B88="","",U88*INDEX(PRECIOS!$E$6:$E$55,K88))</f>
      </c>
      <c r="W88" s="37">
        <f>IF(B88="","",IF(ENTRADA!$L88="",R88*INDEX(PRECIOS!$G$6:$G$55,K88),ENTRADA!$L88))</f>
      </c>
      <c r="X88" s="37">
        <f>IF(B88="","",R88*Km_Puerto_Viaje*INDEX(PRECIOS!$N$6:$N$55,K88))</f>
      </c>
      <c r="Y88" s="70">
        <f>IF(B88="","",S88+V88+W88+X88)</f>
      </c>
      <c r="Z88" s="71">
        <f>IF(B88="","",IF(J88=0,0,ROUNDUP(J88/Rend_Desagrupe,0)))</f>
      </c>
      <c r="AA88" s="71">
        <f>IF(B88="","",IF(ENTRADA!$M88="",Z88,ENTRADA!$M88))</f>
      </c>
      <c r="AB88" s="37">
        <f>IF(B88="","",AA88*INDEX(PRECIOS!$H$6:$H$55,K88))</f>
      </c>
      <c r="AC88" s="37">
        <f>IF(B88="","",IF(E88="ENCI",INDEX(PRECIOS!$J$6:$J$55,K88),IF(E88="A.V",INDEX(PRECIOS!$K$6:$K$55,K88),0)))</f>
      </c>
      <c r="AD88" s="37">
        <f>IF(B88="","",N(ENTRADA!$N88))</f>
      </c>
      <c r="AE88" s="70">
        <f>IF(B88="","",AB88+AC88+AD88)</f>
      </c>
      <c r="AF88" s="71">
        <f>IF(B88="","",IF(G88=0,0,ROUNDUP(G88/Cap_Camion_OCC,0)))</f>
      </c>
      <c r="AG88" s="71">
        <f>IF(B88="","",AF88*L_Dist_OCC)</f>
      </c>
      <c r="AH88" s="71">
        <f>IF(B88="","",IF(ENTRADA!$O88="",AG88,ENTRADA!$O88))</f>
      </c>
      <c r="AI88" s="37">
        <f>IF(B88="","",AH88*INDEX(PRECIOS!$E$6:$E$55,K88))</f>
      </c>
      <c r="AJ88" s="71">
        <f>IF(B88="","",IF(H88=0,0,ROUNDUP(H88/Cap_Camion_CEN,0)))</f>
      </c>
      <c r="AK88" s="71">
        <f>IF(B88="","",AJ88*L_Tras_CEN)</f>
      </c>
      <c r="AL88" s="71">
        <f>IF(B88="","",IF(ENTRADA!$P88="",AK88,ENTRADA!$P88))</f>
      </c>
      <c r="AM88" s="71">
        <f>IF(B88="","",AJ88*L_Dist_CEN)</f>
      </c>
      <c r="AN88" s="71">
        <f>IF(B88="","",IF(ENTRADA!$Q88="",AM88,ENTRADA!$Q88))</f>
      </c>
      <c r="AO88" s="37">
        <f>IF(B88="","",(AL88+AN88)*INDEX(PRECIOS!$E$6:$E$55,K88))</f>
      </c>
      <c r="AP88" s="71">
        <f>IF(B88="","",IF(H88=0,0,ROUNDUP(H88/Rend_Desagrupe_CT,0)))</f>
      </c>
      <c r="AQ88" s="71">
        <f>IF(B88="","",IF(ENTRADA!$R88="",AP88,ENTRADA!$R88))</f>
      </c>
      <c r="AR88" s="37">
        <f>IF(B88="","",AQ88*INDEX(PRECIOS!$I$6:$I$55,K88))</f>
      </c>
      <c r="AS88" s="37">
        <f>IF(B88="","",AO88+AR88)</f>
      </c>
      <c r="AT88" s="71">
        <f>IF(B88="","",IF(I88=0,0,ROUNDUP(I88/Cap_Camion_ORI,0)))</f>
      </c>
      <c r="AU88" s="71">
        <f>IF(B88="","",AT88*L_Tras_ORI)</f>
      </c>
      <c r="AV88" s="71">
        <f>IF(B88="","",IF(ENTRADA!$S88="",AU88,ENTRADA!$S88))</f>
      </c>
      <c r="AW88" s="71">
        <f>IF(B88="","",AT88*L_Dist_ORI)</f>
      </c>
      <c r="AX88" s="71">
        <f>IF(B88="","",IF(ENTRADA!$T88="",AW88,ENTRADA!$T88))</f>
      </c>
      <c r="AY88" s="37">
        <f>IF(B88="","",(AV88+AX88)*INDEX(PRECIOS!$E$6:$E$55,K88))</f>
      </c>
      <c r="AZ88" s="71">
        <f>IF(B88="","",IF(I88=0,0,ROUNDUP(I88/Rend_Desagrupe_CT,0)))</f>
      </c>
      <c r="BA88" s="71">
        <f>IF(B88="","",IF(ENTRADA!$U88="",AZ88,ENTRADA!$U88))</f>
      </c>
      <c r="BB88" s="37">
        <f>IF(B88="","",BA88*INDEX(PRECIOS!$I$6:$I$55,K88))</f>
      </c>
      <c r="BC88" s="37">
        <f>IF(B88="","",AY88+BB88)</f>
      </c>
      <c r="BD88" s="70">
        <f>IF(B88="","",AI88+AS88+BC88)</f>
      </c>
      <c r="BE88" s="37">
        <f>IF(B88="","",IF(Base_Comision="% DEL INGRESO",M88*INDEX(PRECIOS!$L$6:$L$55,K88),G88*INDEX(PRECIOS!$M$6:$M$55,K88)))</f>
      </c>
      <c r="BF88" s="37">
        <f>IF(B88="","",IF(Base_Comision="% DEL INGRESO",N88*INDEX(PRECIOS!$L$6:$L$55,K88),H88*INDEX(PRECIOS!$M$6:$M$55,K88)))</f>
      </c>
      <c r="BG88" s="37">
        <f>IF(B88="","",IF(Base_Comision="% DEL INGRESO",O88*INDEX(PRECIOS!$L$6:$L$55,K88),I88*INDEX(PRECIOS!$M$6:$M$55,K88)))</f>
      </c>
      <c r="BH88" s="70">
        <f>IF(B88="","",BE88+BF88+BG88)</f>
      </c>
      <c r="BI88" s="37">
        <f>IF(B88="","",Q88*Pct_Reclamaciones)</f>
      </c>
      <c r="BJ88" s="37">
        <f>IF(B88="","",Q88*Pct_Banco)</f>
      </c>
      <c r="BK88" s="37">
        <f>IF(B88="","",N(ENTRADA!$V88))</f>
      </c>
      <c r="BL88" s="70">
        <f>IF(B88="","",Y88+AE88+BD88+BH88+BI88+BJ88+BK88)</f>
      </c>
      <c r="BM88" s="70">
        <f>IF(B88="","",Q88-BL88)</f>
      </c>
      <c r="BN88" s="72">
        <f>IF(B88="","",IF(Q88=0,0,BM88/Q88))</f>
      </c>
      <c r="BO88" s="73">
        <f>IF(B88="","",IF(J88=0,0,BM88/J88))</f>
      </c>
      <c r="BP88" s="60">
        <f>IF(B88="","",IFERROR(MATCH(D88,COSTOS_FIJOS!$G$5:$AD$5,0),0))</f>
      </c>
      <c r="BQ88" s="60">
        <f>IF(B88="","",COUNTIFS($D$6:$D$305,D88))</f>
      </c>
      <c r="BR88" s="67">
        <f>IF(B88="","",SUMIFS($J$6:$J$305,$D$6:$D$305,D88))</f>
      </c>
      <c r="BS88" s="72">
        <f>IF(B88="","",IF(Metodo_Prorrateo="KG",IF(BR88=0,0,J88/BR88),1/BQ88))</f>
      </c>
      <c r="BT88" s="37">
        <f>IF(B88="","",IF(BP88=0,0,INDEX(COSTOS_FIJOS!$G$38:$AD$38,BP88))*BS88)</f>
      </c>
      <c r="BU88" s="72">
        <f>IF(B88="","",IF(Metodo_Prorrateo="KG",IF(SUMIFS($G$6:$G$305,$D$6:$D$305,D88)=0,0,G88/SUMIFS($G$6:$G$305,$D$6:$D$305,D88)),IF(G88&gt;0,1/COUNTIFS($D$6:$D$305,D88,$G$6:$G$305,"&gt;0"),0)))</f>
      </c>
      <c r="BV88" s="37">
        <f>IF(B88="","",IF(BP88=0,0,INDEX(COSTOS_FIJOS!$G$39:$AD$39,BP88))*BU88)</f>
      </c>
      <c r="BW88" s="72">
        <f>IF(B88="","",IF(Metodo_Prorrateo="KG",IF(SUMIFS($H$6:$H$305,$D$6:$D$305,D88)=0,0,H88/SUMIFS($H$6:$H$305,$D$6:$D$305,D88)),IF(H88&gt;0,1/COUNTIFS($D$6:$D$305,D88,$H$6:$H$305,"&gt;0"),0)))</f>
      </c>
      <c r="BX88" s="37">
        <f>IF(B88="","",IF(BP88=0,0,INDEX(COSTOS_FIJOS!$G$40:$AD$40,BP88))*BW88)</f>
      </c>
      <c r="BY88" s="72">
        <f>IF(B88="","",IF(Metodo_Prorrateo="KG",IF(SUMIFS($I$6:$I$305,$D$6:$D$305,D88)=0,0,I88/SUMIFS($I$6:$I$305,$D$6:$D$305,D88)),IF(I88&gt;0,1/COUNTIFS($D$6:$D$305,D88,$I$6:$I$305,"&gt;0"),0)))</f>
      </c>
      <c r="BZ88" s="37">
        <f>IF(B88="","",IF(BP88=0,0,INDEX(COSTOS_FIJOS!$G$41:$AD$41,BP88))*BY88)</f>
      </c>
      <c r="CA88" s="70">
        <f>IF(B88="","",BT88+BV88+BX88+BZ88)</f>
      </c>
      <c r="CB88" s="37">
        <f>IF(B88="","",Q88*Imp_Ventas_Serv)</f>
      </c>
      <c r="CC88" s="37">
        <f>IF(B88="","",Q88*Contrib_Territorial)</f>
      </c>
      <c r="CD88" s="70">
        <f>IF(B88="","",BM88-CA88-CB88-CC88)</f>
      </c>
      <c r="CE88" s="37">
        <f>IF(B88="","",MAX(0,CD88)*Imp_Utilidades)</f>
      </c>
      <c r="CF88" s="70">
        <f>IF(B88="","",CD88-CE88)</f>
      </c>
      <c r="CG88" s="72">
        <f>IF(B88="","",IF(Q88=0,0,CF88/Q88))</f>
      </c>
      <c r="CH88" s="73">
        <f>IF(B88="","",IF(J88=0,0,(BL88+CA88+CB88+CC88)/J88))</f>
      </c>
      <c r="CI88" s="73">
        <f>IF(B88="","",IF(J88=0,0,Q88/J88))</f>
      </c>
      <c r="CJ88" s="73">
        <f>IF(B88="","",IF(J88=0,0,CD88/J88))</f>
      </c>
      <c r="CK88" s="37">
        <f>IF(B88="","",Y88+AE88+BK88+BT88)</f>
      </c>
      <c r="CL88" s="37">
        <f>IF(B88="","",IF(J88=0,0,(M88+P88*G88/J88)*(1-Pct_Reclamaciones-Pct_Banco-Imp_Ventas_Serv-Contrib_Territorial)-AI88-BE88-BV88-CK88*G88/J88))</f>
      </c>
      <c r="CM88" s="37">
        <f>IF(B88="","",IF(J88=0,0,(N88+P88*H88/J88)*(1-Pct_Reclamaciones-Pct_Banco-Imp_Ventas_Serv-Contrib_Territorial)-AS88-BF88-BX88-CK88*H88/J88))</f>
      </c>
      <c r="CN88" s="37">
        <f>IF(B88="","",IF(J88=0,0,(O88+P88*I88/J88)*(1-Pct_Reclamaciones-Pct_Banco-Imp_Ventas_Serv-Contrib_Territorial)-BC88-BG88-BZ88-CK88*I88/J88))</f>
      </c>
      <c r="CO88" s="37">
        <f>IF(B88="","",IF(J88=0,0,ROUND(CD88-CL88-CM88-CN88,4)))</f>
      </c>
      <c r="CP88" s="71">
        <f>IF(B88="","",T88+AG88+AK88+AM88+AU88+AW88)</f>
      </c>
      <c r="CQ88" s="71">
        <f>IF(B88="","",U88+AH88+AL88+AN88+AV88+AX88)</f>
      </c>
      <c r="CR88" s="72">
        <f>IF(B88="","",IF(CP88=0,0,CQ88/CP88-1))</f>
      </c>
      <c r="CS88" s="60">
        <f>IF(B88="","",IF(ENTRADA!$Y88="","",ENTRADA!$Y88-C88))</f>
      </c>
      <c r="CT88" s="66">
        <f>IF(B88="","",IF(ENTRADA!$C88="","Falta fecha. ","")&amp;IF(BP88=0,"Mes fuera del rango de COSTOS_FIJOS. ","")&amp;IF(J88=0,"Sin kg. ","")&amp;IF(E88="","Falta transitaria. ","")&amp;IF(AND(T88&gt;0,U88/T88-1&gt;Tolerancia_Comb),"Combustible al puerto "&amp;TEXT(U88/T88-1,"+0%")&amp;" sobre norma. ","")&amp;IF(AND(AG88&gt;0,AH88/AG88-1&gt;Tolerancia_Comb),"Combustible distribución Occidente "&amp;TEXT(AH88/AG88-1,"+0%")&amp;" sobre norma. ","")&amp;IF(AND(AK88&gt;0,AL88/AK88-1&gt;Tolerancia_Comb),"Combustible traslado Centro "&amp;TEXT(AL88/AK88-1,"+0%")&amp;" sobre norma. ","")&amp;IF(AND(AM88&gt;0,AN88/AM88-1&gt;Tolerancia_Comb),"Combustible distribución Centro "&amp;TEXT(AN88/AM88-1,"+0%")&amp;" sobre norma. ","")&amp;IF(AND(AU88&gt;0,AV88/AU88-1&gt;Tolerancia_Comb),"Combustible traslado Oriente "&amp;TEXT(AV88/AU88-1,"+0%")&amp;" sobre norma. ","")&amp;IF(AND(AW88&gt;0,AX88/AW88-1&gt;Tolerancia_Comb),"Combustible distribución Oriente "&amp;TEXT(AX88/AW88-1,"+0%")&amp;" sobre norma. ","")&amp;IF(AND(ENTRADA!$C88&lt;&gt;"",C88&lt;PRECIOS!$A$6),"Fecha anterior a la 1ª vigencia de precios. ","")&amp;IF(CD88&lt;0,"Contenedor con pérdida. ",""))</f>
      </c>
    </row>
    <row r="89">
      <c r="A89" s="60">
        <f>IF(B89="","",ROW()-5)</f>
      </c>
      <c r="B89" s="63">
        <f>IF(ENTRADA!$B89="","",ENTRADA!$B89)</f>
      </c>
      <c r="C89" s="64">
        <f>IF(B89="","",ENTRADA!$C89)</f>
      </c>
      <c r="D89" s="65">
        <f>IF(B89="","",DATE(YEAR(C89),MONTH(C89),1))</f>
      </c>
      <c r="E89" s="66">
        <f>IF(B89="","",ENTRADA!$D89&amp;"")</f>
      </c>
      <c r="F89" s="66">
        <f>IF(B89="","",ENTRADA!$Z89&amp;"")</f>
      </c>
      <c r="G89" s="67">
        <f>IF(B89="","",N(ENTRADA!$G89))</f>
      </c>
      <c r="H89" s="67">
        <f>IF(B89="","",N(ENTRADA!$H89))</f>
      </c>
      <c r="I89" s="67">
        <f>IF(B89="","",N(ENTRADA!$I89))</f>
      </c>
      <c r="J89" s="68">
        <f>IF(B89="","",G89+H89+I89)</f>
      </c>
      <c r="K89" s="60">
        <f>IF(B89="","",IFERROR(MATCH(SUMPRODUCT(MAX((PRECIOS!$A$6:$A$55&lt;=C89)*PRECIOS!$A$6:$A$55)),PRECIOS!$A$6:$A$55,0),1))</f>
      </c>
      <c r="L89" s="69">
        <f>IF(B89="","",INDEX(PRECIOS!$A$6:$A$55,K89))</f>
      </c>
      <c r="M89" s="37">
        <f>IF(B89="","",G89*INDEX(PRECIOS!$B$6:$B$55,K89))</f>
      </c>
      <c r="N89" s="37">
        <f>IF(B89="","",H89*INDEX(PRECIOS!$C$6:$C$55,K89))</f>
      </c>
      <c r="O89" s="37">
        <f>IF(B89="","",I89*INDEX(PRECIOS!$D$6:$D$55,K89))</f>
      </c>
      <c r="P89" s="37">
        <f>IF(B89="","",N(ENTRADA!$X89))</f>
      </c>
      <c r="Q89" s="70">
        <f>IF(B89="","",M89+N89+O89+P89)</f>
      </c>
      <c r="R89" s="71">
        <f>IF(B89="","",IF(ENTRADA!$J89="",Std_Viajes_Puerto,ENTRADA!$J89))</f>
      </c>
      <c r="S89" s="37">
        <f>IF(B89="","",R89*INDEX(PRECIOS!$F$6:$F$55,K89))</f>
      </c>
      <c r="T89" s="71">
        <f>IF(B89="","",R89*Litros_Puerto_Viaje)</f>
      </c>
      <c r="U89" s="71">
        <f>IF(B89="","",IF(ENTRADA!$K89="",T89,ENTRADA!$K89))</f>
      </c>
      <c r="V89" s="37">
        <f>IF(B89="","",U89*INDEX(PRECIOS!$E$6:$E$55,K89))</f>
      </c>
      <c r="W89" s="37">
        <f>IF(B89="","",IF(ENTRADA!$L89="",R89*INDEX(PRECIOS!$G$6:$G$55,K89),ENTRADA!$L89))</f>
      </c>
      <c r="X89" s="37">
        <f>IF(B89="","",R89*Km_Puerto_Viaje*INDEX(PRECIOS!$N$6:$N$55,K89))</f>
      </c>
      <c r="Y89" s="70">
        <f>IF(B89="","",S89+V89+W89+X89)</f>
      </c>
      <c r="Z89" s="71">
        <f>IF(B89="","",IF(J89=0,0,ROUNDUP(J89/Rend_Desagrupe,0)))</f>
      </c>
      <c r="AA89" s="71">
        <f>IF(B89="","",IF(ENTRADA!$M89="",Z89,ENTRADA!$M89))</f>
      </c>
      <c r="AB89" s="37">
        <f>IF(B89="","",AA89*INDEX(PRECIOS!$H$6:$H$55,K89))</f>
      </c>
      <c r="AC89" s="37">
        <f>IF(B89="","",IF(E89="ENCI",INDEX(PRECIOS!$J$6:$J$55,K89),IF(E89="A.V",INDEX(PRECIOS!$K$6:$K$55,K89),0)))</f>
      </c>
      <c r="AD89" s="37">
        <f>IF(B89="","",N(ENTRADA!$N89))</f>
      </c>
      <c r="AE89" s="70">
        <f>IF(B89="","",AB89+AC89+AD89)</f>
      </c>
      <c r="AF89" s="71">
        <f>IF(B89="","",IF(G89=0,0,ROUNDUP(G89/Cap_Camion_OCC,0)))</f>
      </c>
      <c r="AG89" s="71">
        <f>IF(B89="","",AF89*L_Dist_OCC)</f>
      </c>
      <c r="AH89" s="71">
        <f>IF(B89="","",IF(ENTRADA!$O89="",AG89,ENTRADA!$O89))</f>
      </c>
      <c r="AI89" s="37">
        <f>IF(B89="","",AH89*INDEX(PRECIOS!$E$6:$E$55,K89))</f>
      </c>
      <c r="AJ89" s="71">
        <f>IF(B89="","",IF(H89=0,0,ROUNDUP(H89/Cap_Camion_CEN,0)))</f>
      </c>
      <c r="AK89" s="71">
        <f>IF(B89="","",AJ89*L_Tras_CEN)</f>
      </c>
      <c r="AL89" s="71">
        <f>IF(B89="","",IF(ENTRADA!$P89="",AK89,ENTRADA!$P89))</f>
      </c>
      <c r="AM89" s="71">
        <f>IF(B89="","",AJ89*L_Dist_CEN)</f>
      </c>
      <c r="AN89" s="71">
        <f>IF(B89="","",IF(ENTRADA!$Q89="",AM89,ENTRADA!$Q89))</f>
      </c>
      <c r="AO89" s="37">
        <f>IF(B89="","",(AL89+AN89)*INDEX(PRECIOS!$E$6:$E$55,K89))</f>
      </c>
      <c r="AP89" s="71">
        <f>IF(B89="","",IF(H89=0,0,ROUNDUP(H89/Rend_Desagrupe_CT,0)))</f>
      </c>
      <c r="AQ89" s="71">
        <f>IF(B89="","",IF(ENTRADA!$R89="",AP89,ENTRADA!$R89))</f>
      </c>
      <c r="AR89" s="37">
        <f>IF(B89="","",AQ89*INDEX(PRECIOS!$I$6:$I$55,K89))</f>
      </c>
      <c r="AS89" s="37">
        <f>IF(B89="","",AO89+AR89)</f>
      </c>
      <c r="AT89" s="71">
        <f>IF(B89="","",IF(I89=0,0,ROUNDUP(I89/Cap_Camion_ORI,0)))</f>
      </c>
      <c r="AU89" s="71">
        <f>IF(B89="","",AT89*L_Tras_ORI)</f>
      </c>
      <c r="AV89" s="71">
        <f>IF(B89="","",IF(ENTRADA!$S89="",AU89,ENTRADA!$S89))</f>
      </c>
      <c r="AW89" s="71">
        <f>IF(B89="","",AT89*L_Dist_ORI)</f>
      </c>
      <c r="AX89" s="71">
        <f>IF(B89="","",IF(ENTRADA!$T89="",AW89,ENTRADA!$T89))</f>
      </c>
      <c r="AY89" s="37">
        <f>IF(B89="","",(AV89+AX89)*INDEX(PRECIOS!$E$6:$E$55,K89))</f>
      </c>
      <c r="AZ89" s="71">
        <f>IF(B89="","",IF(I89=0,0,ROUNDUP(I89/Rend_Desagrupe_CT,0)))</f>
      </c>
      <c r="BA89" s="71">
        <f>IF(B89="","",IF(ENTRADA!$U89="",AZ89,ENTRADA!$U89))</f>
      </c>
      <c r="BB89" s="37">
        <f>IF(B89="","",BA89*INDEX(PRECIOS!$I$6:$I$55,K89))</f>
      </c>
      <c r="BC89" s="37">
        <f>IF(B89="","",AY89+BB89)</f>
      </c>
      <c r="BD89" s="70">
        <f>IF(B89="","",AI89+AS89+BC89)</f>
      </c>
      <c r="BE89" s="37">
        <f>IF(B89="","",IF(Base_Comision="% DEL INGRESO",M89*INDEX(PRECIOS!$L$6:$L$55,K89),G89*INDEX(PRECIOS!$M$6:$M$55,K89)))</f>
      </c>
      <c r="BF89" s="37">
        <f>IF(B89="","",IF(Base_Comision="% DEL INGRESO",N89*INDEX(PRECIOS!$L$6:$L$55,K89),H89*INDEX(PRECIOS!$M$6:$M$55,K89)))</f>
      </c>
      <c r="BG89" s="37">
        <f>IF(B89="","",IF(Base_Comision="% DEL INGRESO",O89*INDEX(PRECIOS!$L$6:$L$55,K89),I89*INDEX(PRECIOS!$M$6:$M$55,K89)))</f>
      </c>
      <c r="BH89" s="70">
        <f>IF(B89="","",BE89+BF89+BG89)</f>
      </c>
      <c r="BI89" s="37">
        <f>IF(B89="","",Q89*Pct_Reclamaciones)</f>
      </c>
      <c r="BJ89" s="37">
        <f>IF(B89="","",Q89*Pct_Banco)</f>
      </c>
      <c r="BK89" s="37">
        <f>IF(B89="","",N(ENTRADA!$V89))</f>
      </c>
      <c r="BL89" s="70">
        <f>IF(B89="","",Y89+AE89+BD89+BH89+BI89+BJ89+BK89)</f>
      </c>
      <c r="BM89" s="70">
        <f>IF(B89="","",Q89-BL89)</f>
      </c>
      <c r="BN89" s="72">
        <f>IF(B89="","",IF(Q89=0,0,BM89/Q89))</f>
      </c>
      <c r="BO89" s="73">
        <f>IF(B89="","",IF(J89=0,0,BM89/J89))</f>
      </c>
      <c r="BP89" s="60">
        <f>IF(B89="","",IFERROR(MATCH(D89,COSTOS_FIJOS!$G$5:$AD$5,0),0))</f>
      </c>
      <c r="BQ89" s="60">
        <f>IF(B89="","",COUNTIFS($D$6:$D$305,D89))</f>
      </c>
      <c r="BR89" s="67">
        <f>IF(B89="","",SUMIFS($J$6:$J$305,$D$6:$D$305,D89))</f>
      </c>
      <c r="BS89" s="72">
        <f>IF(B89="","",IF(Metodo_Prorrateo="KG",IF(BR89=0,0,J89/BR89),1/BQ89))</f>
      </c>
      <c r="BT89" s="37">
        <f>IF(B89="","",IF(BP89=0,0,INDEX(COSTOS_FIJOS!$G$38:$AD$38,BP89))*BS89)</f>
      </c>
      <c r="BU89" s="72">
        <f>IF(B89="","",IF(Metodo_Prorrateo="KG",IF(SUMIFS($G$6:$G$305,$D$6:$D$305,D89)=0,0,G89/SUMIFS($G$6:$G$305,$D$6:$D$305,D89)),IF(G89&gt;0,1/COUNTIFS($D$6:$D$305,D89,$G$6:$G$305,"&gt;0"),0)))</f>
      </c>
      <c r="BV89" s="37">
        <f>IF(B89="","",IF(BP89=0,0,INDEX(COSTOS_FIJOS!$G$39:$AD$39,BP89))*BU89)</f>
      </c>
      <c r="BW89" s="72">
        <f>IF(B89="","",IF(Metodo_Prorrateo="KG",IF(SUMIFS($H$6:$H$305,$D$6:$D$305,D89)=0,0,H89/SUMIFS($H$6:$H$305,$D$6:$D$305,D89)),IF(H89&gt;0,1/COUNTIFS($D$6:$D$305,D89,$H$6:$H$305,"&gt;0"),0)))</f>
      </c>
      <c r="BX89" s="37">
        <f>IF(B89="","",IF(BP89=0,0,INDEX(COSTOS_FIJOS!$G$40:$AD$40,BP89))*BW89)</f>
      </c>
      <c r="BY89" s="72">
        <f>IF(B89="","",IF(Metodo_Prorrateo="KG",IF(SUMIFS($I$6:$I$305,$D$6:$D$305,D89)=0,0,I89/SUMIFS($I$6:$I$305,$D$6:$D$305,D89)),IF(I89&gt;0,1/COUNTIFS($D$6:$D$305,D89,$I$6:$I$305,"&gt;0"),0)))</f>
      </c>
      <c r="BZ89" s="37">
        <f>IF(B89="","",IF(BP89=0,0,INDEX(COSTOS_FIJOS!$G$41:$AD$41,BP89))*BY89)</f>
      </c>
      <c r="CA89" s="70">
        <f>IF(B89="","",BT89+BV89+BX89+BZ89)</f>
      </c>
      <c r="CB89" s="37">
        <f>IF(B89="","",Q89*Imp_Ventas_Serv)</f>
      </c>
      <c r="CC89" s="37">
        <f>IF(B89="","",Q89*Contrib_Territorial)</f>
      </c>
      <c r="CD89" s="70">
        <f>IF(B89="","",BM89-CA89-CB89-CC89)</f>
      </c>
      <c r="CE89" s="37">
        <f>IF(B89="","",MAX(0,CD89)*Imp_Utilidades)</f>
      </c>
      <c r="CF89" s="70">
        <f>IF(B89="","",CD89-CE89)</f>
      </c>
      <c r="CG89" s="72">
        <f>IF(B89="","",IF(Q89=0,0,CF89/Q89))</f>
      </c>
      <c r="CH89" s="73">
        <f>IF(B89="","",IF(J89=0,0,(BL89+CA89+CB89+CC89)/J89))</f>
      </c>
      <c r="CI89" s="73">
        <f>IF(B89="","",IF(J89=0,0,Q89/J89))</f>
      </c>
      <c r="CJ89" s="73">
        <f>IF(B89="","",IF(J89=0,0,CD89/J89))</f>
      </c>
      <c r="CK89" s="37">
        <f>IF(B89="","",Y89+AE89+BK89+BT89)</f>
      </c>
      <c r="CL89" s="37">
        <f>IF(B89="","",IF(J89=0,0,(M89+P89*G89/J89)*(1-Pct_Reclamaciones-Pct_Banco-Imp_Ventas_Serv-Contrib_Territorial)-AI89-BE89-BV89-CK89*G89/J89))</f>
      </c>
      <c r="CM89" s="37">
        <f>IF(B89="","",IF(J89=0,0,(N89+P89*H89/J89)*(1-Pct_Reclamaciones-Pct_Banco-Imp_Ventas_Serv-Contrib_Territorial)-AS89-BF89-BX89-CK89*H89/J89))</f>
      </c>
      <c r="CN89" s="37">
        <f>IF(B89="","",IF(J89=0,0,(O89+P89*I89/J89)*(1-Pct_Reclamaciones-Pct_Banco-Imp_Ventas_Serv-Contrib_Territorial)-BC89-BG89-BZ89-CK89*I89/J89))</f>
      </c>
      <c r="CO89" s="37">
        <f>IF(B89="","",IF(J89=0,0,ROUND(CD89-CL89-CM89-CN89,4)))</f>
      </c>
      <c r="CP89" s="71">
        <f>IF(B89="","",T89+AG89+AK89+AM89+AU89+AW89)</f>
      </c>
      <c r="CQ89" s="71">
        <f>IF(B89="","",U89+AH89+AL89+AN89+AV89+AX89)</f>
      </c>
      <c r="CR89" s="72">
        <f>IF(B89="","",IF(CP89=0,0,CQ89/CP89-1))</f>
      </c>
      <c r="CS89" s="60">
        <f>IF(B89="","",IF(ENTRADA!$Y89="","",ENTRADA!$Y89-C89))</f>
      </c>
      <c r="CT89" s="66">
        <f>IF(B89="","",IF(ENTRADA!$C89="","Falta fecha. ","")&amp;IF(BP89=0,"Mes fuera del rango de COSTOS_FIJOS. ","")&amp;IF(J89=0,"Sin kg. ","")&amp;IF(E89="","Falta transitaria. ","")&amp;IF(AND(T89&gt;0,U89/T89-1&gt;Tolerancia_Comb),"Combustible al puerto "&amp;TEXT(U89/T89-1,"+0%")&amp;" sobre norma. ","")&amp;IF(AND(AG89&gt;0,AH89/AG89-1&gt;Tolerancia_Comb),"Combustible distribución Occidente "&amp;TEXT(AH89/AG89-1,"+0%")&amp;" sobre norma. ","")&amp;IF(AND(AK89&gt;0,AL89/AK89-1&gt;Tolerancia_Comb),"Combustible traslado Centro "&amp;TEXT(AL89/AK89-1,"+0%")&amp;" sobre norma. ","")&amp;IF(AND(AM89&gt;0,AN89/AM89-1&gt;Tolerancia_Comb),"Combustible distribución Centro "&amp;TEXT(AN89/AM89-1,"+0%")&amp;" sobre norma. ","")&amp;IF(AND(AU89&gt;0,AV89/AU89-1&gt;Tolerancia_Comb),"Combustible traslado Oriente "&amp;TEXT(AV89/AU89-1,"+0%")&amp;" sobre norma. ","")&amp;IF(AND(AW89&gt;0,AX89/AW89-1&gt;Tolerancia_Comb),"Combustible distribución Oriente "&amp;TEXT(AX89/AW89-1,"+0%")&amp;" sobre norma. ","")&amp;IF(AND(ENTRADA!$C89&lt;&gt;"",C89&lt;PRECIOS!$A$6),"Fecha anterior a la 1ª vigencia de precios. ","")&amp;IF(CD89&lt;0,"Contenedor con pérdida. ",""))</f>
      </c>
    </row>
    <row r="90">
      <c r="A90" s="60">
        <f>IF(B90="","",ROW()-5)</f>
      </c>
      <c r="B90" s="63">
        <f>IF(ENTRADA!$B90="","",ENTRADA!$B90)</f>
      </c>
      <c r="C90" s="64">
        <f>IF(B90="","",ENTRADA!$C90)</f>
      </c>
      <c r="D90" s="65">
        <f>IF(B90="","",DATE(YEAR(C90),MONTH(C90),1))</f>
      </c>
      <c r="E90" s="66">
        <f>IF(B90="","",ENTRADA!$D90&amp;"")</f>
      </c>
      <c r="F90" s="66">
        <f>IF(B90="","",ENTRADA!$Z90&amp;"")</f>
      </c>
      <c r="G90" s="67">
        <f>IF(B90="","",N(ENTRADA!$G90))</f>
      </c>
      <c r="H90" s="67">
        <f>IF(B90="","",N(ENTRADA!$H90))</f>
      </c>
      <c r="I90" s="67">
        <f>IF(B90="","",N(ENTRADA!$I90))</f>
      </c>
      <c r="J90" s="68">
        <f>IF(B90="","",G90+H90+I90)</f>
      </c>
      <c r="K90" s="60">
        <f>IF(B90="","",IFERROR(MATCH(SUMPRODUCT(MAX((PRECIOS!$A$6:$A$55&lt;=C90)*PRECIOS!$A$6:$A$55)),PRECIOS!$A$6:$A$55,0),1))</f>
      </c>
      <c r="L90" s="69">
        <f>IF(B90="","",INDEX(PRECIOS!$A$6:$A$55,K90))</f>
      </c>
      <c r="M90" s="37">
        <f>IF(B90="","",G90*INDEX(PRECIOS!$B$6:$B$55,K90))</f>
      </c>
      <c r="N90" s="37">
        <f>IF(B90="","",H90*INDEX(PRECIOS!$C$6:$C$55,K90))</f>
      </c>
      <c r="O90" s="37">
        <f>IF(B90="","",I90*INDEX(PRECIOS!$D$6:$D$55,K90))</f>
      </c>
      <c r="P90" s="37">
        <f>IF(B90="","",N(ENTRADA!$X90))</f>
      </c>
      <c r="Q90" s="70">
        <f>IF(B90="","",M90+N90+O90+P90)</f>
      </c>
      <c r="R90" s="71">
        <f>IF(B90="","",IF(ENTRADA!$J90="",Std_Viajes_Puerto,ENTRADA!$J90))</f>
      </c>
      <c r="S90" s="37">
        <f>IF(B90="","",R90*INDEX(PRECIOS!$F$6:$F$55,K90))</f>
      </c>
      <c r="T90" s="71">
        <f>IF(B90="","",R90*Litros_Puerto_Viaje)</f>
      </c>
      <c r="U90" s="71">
        <f>IF(B90="","",IF(ENTRADA!$K90="",T90,ENTRADA!$K90))</f>
      </c>
      <c r="V90" s="37">
        <f>IF(B90="","",U90*INDEX(PRECIOS!$E$6:$E$55,K90))</f>
      </c>
      <c r="W90" s="37">
        <f>IF(B90="","",IF(ENTRADA!$L90="",R90*INDEX(PRECIOS!$G$6:$G$55,K90),ENTRADA!$L90))</f>
      </c>
      <c r="X90" s="37">
        <f>IF(B90="","",R90*Km_Puerto_Viaje*INDEX(PRECIOS!$N$6:$N$55,K90))</f>
      </c>
      <c r="Y90" s="70">
        <f>IF(B90="","",S90+V90+W90+X90)</f>
      </c>
      <c r="Z90" s="71">
        <f>IF(B90="","",IF(J90=0,0,ROUNDUP(J90/Rend_Desagrupe,0)))</f>
      </c>
      <c r="AA90" s="71">
        <f>IF(B90="","",IF(ENTRADA!$M90="",Z90,ENTRADA!$M90))</f>
      </c>
      <c r="AB90" s="37">
        <f>IF(B90="","",AA90*INDEX(PRECIOS!$H$6:$H$55,K90))</f>
      </c>
      <c r="AC90" s="37">
        <f>IF(B90="","",IF(E90="ENCI",INDEX(PRECIOS!$J$6:$J$55,K90),IF(E90="A.V",INDEX(PRECIOS!$K$6:$K$55,K90),0)))</f>
      </c>
      <c r="AD90" s="37">
        <f>IF(B90="","",N(ENTRADA!$N90))</f>
      </c>
      <c r="AE90" s="70">
        <f>IF(B90="","",AB90+AC90+AD90)</f>
      </c>
      <c r="AF90" s="71">
        <f>IF(B90="","",IF(G90=0,0,ROUNDUP(G90/Cap_Camion_OCC,0)))</f>
      </c>
      <c r="AG90" s="71">
        <f>IF(B90="","",AF90*L_Dist_OCC)</f>
      </c>
      <c r="AH90" s="71">
        <f>IF(B90="","",IF(ENTRADA!$O90="",AG90,ENTRADA!$O90))</f>
      </c>
      <c r="AI90" s="37">
        <f>IF(B90="","",AH90*INDEX(PRECIOS!$E$6:$E$55,K90))</f>
      </c>
      <c r="AJ90" s="71">
        <f>IF(B90="","",IF(H90=0,0,ROUNDUP(H90/Cap_Camion_CEN,0)))</f>
      </c>
      <c r="AK90" s="71">
        <f>IF(B90="","",AJ90*L_Tras_CEN)</f>
      </c>
      <c r="AL90" s="71">
        <f>IF(B90="","",IF(ENTRADA!$P90="",AK90,ENTRADA!$P90))</f>
      </c>
      <c r="AM90" s="71">
        <f>IF(B90="","",AJ90*L_Dist_CEN)</f>
      </c>
      <c r="AN90" s="71">
        <f>IF(B90="","",IF(ENTRADA!$Q90="",AM90,ENTRADA!$Q90))</f>
      </c>
      <c r="AO90" s="37">
        <f>IF(B90="","",(AL90+AN90)*INDEX(PRECIOS!$E$6:$E$55,K90))</f>
      </c>
      <c r="AP90" s="71">
        <f>IF(B90="","",IF(H90=0,0,ROUNDUP(H90/Rend_Desagrupe_CT,0)))</f>
      </c>
      <c r="AQ90" s="71">
        <f>IF(B90="","",IF(ENTRADA!$R90="",AP90,ENTRADA!$R90))</f>
      </c>
      <c r="AR90" s="37">
        <f>IF(B90="","",AQ90*INDEX(PRECIOS!$I$6:$I$55,K90))</f>
      </c>
      <c r="AS90" s="37">
        <f>IF(B90="","",AO90+AR90)</f>
      </c>
      <c r="AT90" s="71">
        <f>IF(B90="","",IF(I90=0,0,ROUNDUP(I90/Cap_Camion_ORI,0)))</f>
      </c>
      <c r="AU90" s="71">
        <f>IF(B90="","",AT90*L_Tras_ORI)</f>
      </c>
      <c r="AV90" s="71">
        <f>IF(B90="","",IF(ENTRADA!$S90="",AU90,ENTRADA!$S90))</f>
      </c>
      <c r="AW90" s="71">
        <f>IF(B90="","",AT90*L_Dist_ORI)</f>
      </c>
      <c r="AX90" s="71">
        <f>IF(B90="","",IF(ENTRADA!$T90="",AW90,ENTRADA!$T90))</f>
      </c>
      <c r="AY90" s="37">
        <f>IF(B90="","",(AV90+AX90)*INDEX(PRECIOS!$E$6:$E$55,K90))</f>
      </c>
      <c r="AZ90" s="71">
        <f>IF(B90="","",IF(I90=0,0,ROUNDUP(I90/Rend_Desagrupe_CT,0)))</f>
      </c>
      <c r="BA90" s="71">
        <f>IF(B90="","",IF(ENTRADA!$U90="",AZ90,ENTRADA!$U90))</f>
      </c>
      <c r="BB90" s="37">
        <f>IF(B90="","",BA90*INDEX(PRECIOS!$I$6:$I$55,K90))</f>
      </c>
      <c r="BC90" s="37">
        <f>IF(B90="","",AY90+BB90)</f>
      </c>
      <c r="BD90" s="70">
        <f>IF(B90="","",AI90+AS90+BC90)</f>
      </c>
      <c r="BE90" s="37">
        <f>IF(B90="","",IF(Base_Comision="% DEL INGRESO",M90*INDEX(PRECIOS!$L$6:$L$55,K90),G90*INDEX(PRECIOS!$M$6:$M$55,K90)))</f>
      </c>
      <c r="BF90" s="37">
        <f>IF(B90="","",IF(Base_Comision="% DEL INGRESO",N90*INDEX(PRECIOS!$L$6:$L$55,K90),H90*INDEX(PRECIOS!$M$6:$M$55,K90)))</f>
      </c>
      <c r="BG90" s="37">
        <f>IF(B90="","",IF(Base_Comision="% DEL INGRESO",O90*INDEX(PRECIOS!$L$6:$L$55,K90),I90*INDEX(PRECIOS!$M$6:$M$55,K90)))</f>
      </c>
      <c r="BH90" s="70">
        <f>IF(B90="","",BE90+BF90+BG90)</f>
      </c>
      <c r="BI90" s="37">
        <f>IF(B90="","",Q90*Pct_Reclamaciones)</f>
      </c>
      <c r="BJ90" s="37">
        <f>IF(B90="","",Q90*Pct_Banco)</f>
      </c>
      <c r="BK90" s="37">
        <f>IF(B90="","",N(ENTRADA!$V90))</f>
      </c>
      <c r="BL90" s="70">
        <f>IF(B90="","",Y90+AE90+BD90+BH90+BI90+BJ90+BK90)</f>
      </c>
      <c r="BM90" s="70">
        <f>IF(B90="","",Q90-BL90)</f>
      </c>
      <c r="BN90" s="72">
        <f>IF(B90="","",IF(Q90=0,0,BM90/Q90))</f>
      </c>
      <c r="BO90" s="73">
        <f>IF(B90="","",IF(J90=0,0,BM90/J90))</f>
      </c>
      <c r="BP90" s="60">
        <f>IF(B90="","",IFERROR(MATCH(D90,COSTOS_FIJOS!$G$5:$AD$5,0),0))</f>
      </c>
      <c r="BQ90" s="60">
        <f>IF(B90="","",COUNTIFS($D$6:$D$305,D90))</f>
      </c>
      <c r="BR90" s="67">
        <f>IF(B90="","",SUMIFS($J$6:$J$305,$D$6:$D$305,D90))</f>
      </c>
      <c r="BS90" s="72">
        <f>IF(B90="","",IF(Metodo_Prorrateo="KG",IF(BR90=0,0,J90/BR90),1/BQ90))</f>
      </c>
      <c r="BT90" s="37">
        <f>IF(B90="","",IF(BP90=0,0,INDEX(COSTOS_FIJOS!$G$38:$AD$38,BP90))*BS90)</f>
      </c>
      <c r="BU90" s="72">
        <f>IF(B90="","",IF(Metodo_Prorrateo="KG",IF(SUMIFS($G$6:$G$305,$D$6:$D$305,D90)=0,0,G90/SUMIFS($G$6:$G$305,$D$6:$D$305,D90)),IF(G90&gt;0,1/COUNTIFS($D$6:$D$305,D90,$G$6:$G$305,"&gt;0"),0)))</f>
      </c>
      <c r="BV90" s="37">
        <f>IF(B90="","",IF(BP90=0,0,INDEX(COSTOS_FIJOS!$G$39:$AD$39,BP90))*BU90)</f>
      </c>
      <c r="BW90" s="72">
        <f>IF(B90="","",IF(Metodo_Prorrateo="KG",IF(SUMIFS($H$6:$H$305,$D$6:$D$305,D90)=0,0,H90/SUMIFS($H$6:$H$305,$D$6:$D$305,D90)),IF(H90&gt;0,1/COUNTIFS($D$6:$D$305,D90,$H$6:$H$305,"&gt;0"),0)))</f>
      </c>
      <c r="BX90" s="37">
        <f>IF(B90="","",IF(BP90=0,0,INDEX(COSTOS_FIJOS!$G$40:$AD$40,BP90))*BW90)</f>
      </c>
      <c r="BY90" s="72">
        <f>IF(B90="","",IF(Metodo_Prorrateo="KG",IF(SUMIFS($I$6:$I$305,$D$6:$D$305,D90)=0,0,I90/SUMIFS($I$6:$I$305,$D$6:$D$305,D90)),IF(I90&gt;0,1/COUNTIFS($D$6:$D$305,D90,$I$6:$I$305,"&gt;0"),0)))</f>
      </c>
      <c r="BZ90" s="37">
        <f>IF(B90="","",IF(BP90=0,0,INDEX(COSTOS_FIJOS!$G$41:$AD$41,BP90))*BY90)</f>
      </c>
      <c r="CA90" s="70">
        <f>IF(B90="","",BT90+BV90+BX90+BZ90)</f>
      </c>
      <c r="CB90" s="37">
        <f>IF(B90="","",Q90*Imp_Ventas_Serv)</f>
      </c>
      <c r="CC90" s="37">
        <f>IF(B90="","",Q90*Contrib_Territorial)</f>
      </c>
      <c r="CD90" s="70">
        <f>IF(B90="","",BM90-CA90-CB90-CC90)</f>
      </c>
      <c r="CE90" s="37">
        <f>IF(B90="","",MAX(0,CD90)*Imp_Utilidades)</f>
      </c>
      <c r="CF90" s="70">
        <f>IF(B90="","",CD90-CE90)</f>
      </c>
      <c r="CG90" s="72">
        <f>IF(B90="","",IF(Q90=0,0,CF90/Q90))</f>
      </c>
      <c r="CH90" s="73">
        <f>IF(B90="","",IF(J90=0,0,(BL90+CA90+CB90+CC90)/J90))</f>
      </c>
      <c r="CI90" s="73">
        <f>IF(B90="","",IF(J90=0,0,Q90/J90))</f>
      </c>
      <c r="CJ90" s="73">
        <f>IF(B90="","",IF(J90=0,0,CD90/J90))</f>
      </c>
      <c r="CK90" s="37">
        <f>IF(B90="","",Y90+AE90+BK90+BT90)</f>
      </c>
      <c r="CL90" s="37">
        <f>IF(B90="","",IF(J90=0,0,(M90+P90*G90/J90)*(1-Pct_Reclamaciones-Pct_Banco-Imp_Ventas_Serv-Contrib_Territorial)-AI90-BE90-BV90-CK90*G90/J90))</f>
      </c>
      <c r="CM90" s="37">
        <f>IF(B90="","",IF(J90=0,0,(N90+P90*H90/J90)*(1-Pct_Reclamaciones-Pct_Banco-Imp_Ventas_Serv-Contrib_Territorial)-AS90-BF90-BX90-CK90*H90/J90))</f>
      </c>
      <c r="CN90" s="37">
        <f>IF(B90="","",IF(J90=0,0,(O90+P90*I90/J90)*(1-Pct_Reclamaciones-Pct_Banco-Imp_Ventas_Serv-Contrib_Territorial)-BC90-BG90-BZ90-CK90*I90/J90))</f>
      </c>
      <c r="CO90" s="37">
        <f>IF(B90="","",IF(J90=0,0,ROUND(CD90-CL90-CM90-CN90,4)))</f>
      </c>
      <c r="CP90" s="71">
        <f>IF(B90="","",T90+AG90+AK90+AM90+AU90+AW90)</f>
      </c>
      <c r="CQ90" s="71">
        <f>IF(B90="","",U90+AH90+AL90+AN90+AV90+AX90)</f>
      </c>
      <c r="CR90" s="72">
        <f>IF(B90="","",IF(CP90=0,0,CQ90/CP90-1))</f>
      </c>
      <c r="CS90" s="60">
        <f>IF(B90="","",IF(ENTRADA!$Y90="","",ENTRADA!$Y90-C90))</f>
      </c>
      <c r="CT90" s="66">
        <f>IF(B90="","",IF(ENTRADA!$C90="","Falta fecha. ","")&amp;IF(BP90=0,"Mes fuera del rango de COSTOS_FIJOS. ","")&amp;IF(J90=0,"Sin kg. ","")&amp;IF(E90="","Falta transitaria. ","")&amp;IF(AND(T90&gt;0,U90/T90-1&gt;Tolerancia_Comb),"Combustible al puerto "&amp;TEXT(U90/T90-1,"+0%")&amp;" sobre norma. ","")&amp;IF(AND(AG90&gt;0,AH90/AG90-1&gt;Tolerancia_Comb),"Combustible distribución Occidente "&amp;TEXT(AH90/AG90-1,"+0%")&amp;" sobre norma. ","")&amp;IF(AND(AK90&gt;0,AL90/AK90-1&gt;Tolerancia_Comb),"Combustible traslado Centro "&amp;TEXT(AL90/AK90-1,"+0%")&amp;" sobre norma. ","")&amp;IF(AND(AM90&gt;0,AN90/AM90-1&gt;Tolerancia_Comb),"Combustible distribución Centro "&amp;TEXT(AN90/AM90-1,"+0%")&amp;" sobre norma. ","")&amp;IF(AND(AU90&gt;0,AV90/AU90-1&gt;Tolerancia_Comb),"Combustible traslado Oriente "&amp;TEXT(AV90/AU90-1,"+0%")&amp;" sobre norma. ","")&amp;IF(AND(AW90&gt;0,AX90/AW90-1&gt;Tolerancia_Comb),"Combustible distribución Oriente "&amp;TEXT(AX90/AW90-1,"+0%")&amp;" sobre norma. ","")&amp;IF(AND(ENTRADA!$C90&lt;&gt;"",C90&lt;PRECIOS!$A$6),"Fecha anterior a la 1ª vigencia de precios. ","")&amp;IF(CD90&lt;0,"Contenedor con pérdida. ",""))</f>
      </c>
    </row>
    <row r="91">
      <c r="A91" s="60">
        <f>IF(B91="","",ROW()-5)</f>
      </c>
      <c r="B91" s="63">
        <f>IF(ENTRADA!$B91="","",ENTRADA!$B91)</f>
      </c>
      <c r="C91" s="64">
        <f>IF(B91="","",ENTRADA!$C91)</f>
      </c>
      <c r="D91" s="65">
        <f>IF(B91="","",DATE(YEAR(C91),MONTH(C91),1))</f>
      </c>
      <c r="E91" s="66">
        <f>IF(B91="","",ENTRADA!$D91&amp;"")</f>
      </c>
      <c r="F91" s="66">
        <f>IF(B91="","",ENTRADA!$Z91&amp;"")</f>
      </c>
      <c r="G91" s="67">
        <f>IF(B91="","",N(ENTRADA!$G91))</f>
      </c>
      <c r="H91" s="67">
        <f>IF(B91="","",N(ENTRADA!$H91))</f>
      </c>
      <c r="I91" s="67">
        <f>IF(B91="","",N(ENTRADA!$I91))</f>
      </c>
      <c r="J91" s="68">
        <f>IF(B91="","",G91+H91+I91)</f>
      </c>
      <c r="K91" s="60">
        <f>IF(B91="","",IFERROR(MATCH(SUMPRODUCT(MAX((PRECIOS!$A$6:$A$55&lt;=C91)*PRECIOS!$A$6:$A$55)),PRECIOS!$A$6:$A$55,0),1))</f>
      </c>
      <c r="L91" s="69">
        <f>IF(B91="","",INDEX(PRECIOS!$A$6:$A$55,K91))</f>
      </c>
      <c r="M91" s="37">
        <f>IF(B91="","",G91*INDEX(PRECIOS!$B$6:$B$55,K91))</f>
      </c>
      <c r="N91" s="37">
        <f>IF(B91="","",H91*INDEX(PRECIOS!$C$6:$C$55,K91))</f>
      </c>
      <c r="O91" s="37">
        <f>IF(B91="","",I91*INDEX(PRECIOS!$D$6:$D$55,K91))</f>
      </c>
      <c r="P91" s="37">
        <f>IF(B91="","",N(ENTRADA!$X91))</f>
      </c>
      <c r="Q91" s="70">
        <f>IF(B91="","",M91+N91+O91+P91)</f>
      </c>
      <c r="R91" s="71">
        <f>IF(B91="","",IF(ENTRADA!$J91="",Std_Viajes_Puerto,ENTRADA!$J91))</f>
      </c>
      <c r="S91" s="37">
        <f>IF(B91="","",R91*INDEX(PRECIOS!$F$6:$F$55,K91))</f>
      </c>
      <c r="T91" s="71">
        <f>IF(B91="","",R91*Litros_Puerto_Viaje)</f>
      </c>
      <c r="U91" s="71">
        <f>IF(B91="","",IF(ENTRADA!$K91="",T91,ENTRADA!$K91))</f>
      </c>
      <c r="V91" s="37">
        <f>IF(B91="","",U91*INDEX(PRECIOS!$E$6:$E$55,K91))</f>
      </c>
      <c r="W91" s="37">
        <f>IF(B91="","",IF(ENTRADA!$L91="",R91*INDEX(PRECIOS!$G$6:$G$55,K91),ENTRADA!$L91))</f>
      </c>
      <c r="X91" s="37">
        <f>IF(B91="","",R91*Km_Puerto_Viaje*INDEX(PRECIOS!$N$6:$N$55,K91))</f>
      </c>
      <c r="Y91" s="70">
        <f>IF(B91="","",S91+V91+W91+X91)</f>
      </c>
      <c r="Z91" s="71">
        <f>IF(B91="","",IF(J91=0,0,ROUNDUP(J91/Rend_Desagrupe,0)))</f>
      </c>
      <c r="AA91" s="71">
        <f>IF(B91="","",IF(ENTRADA!$M91="",Z91,ENTRADA!$M91))</f>
      </c>
      <c r="AB91" s="37">
        <f>IF(B91="","",AA91*INDEX(PRECIOS!$H$6:$H$55,K91))</f>
      </c>
      <c r="AC91" s="37">
        <f>IF(B91="","",IF(E91="ENCI",INDEX(PRECIOS!$J$6:$J$55,K91),IF(E91="A.V",INDEX(PRECIOS!$K$6:$K$55,K91),0)))</f>
      </c>
      <c r="AD91" s="37">
        <f>IF(B91="","",N(ENTRADA!$N91))</f>
      </c>
      <c r="AE91" s="70">
        <f>IF(B91="","",AB91+AC91+AD91)</f>
      </c>
      <c r="AF91" s="71">
        <f>IF(B91="","",IF(G91=0,0,ROUNDUP(G91/Cap_Camion_OCC,0)))</f>
      </c>
      <c r="AG91" s="71">
        <f>IF(B91="","",AF91*L_Dist_OCC)</f>
      </c>
      <c r="AH91" s="71">
        <f>IF(B91="","",IF(ENTRADA!$O91="",AG91,ENTRADA!$O91))</f>
      </c>
      <c r="AI91" s="37">
        <f>IF(B91="","",AH91*INDEX(PRECIOS!$E$6:$E$55,K91))</f>
      </c>
      <c r="AJ91" s="71">
        <f>IF(B91="","",IF(H91=0,0,ROUNDUP(H91/Cap_Camion_CEN,0)))</f>
      </c>
      <c r="AK91" s="71">
        <f>IF(B91="","",AJ91*L_Tras_CEN)</f>
      </c>
      <c r="AL91" s="71">
        <f>IF(B91="","",IF(ENTRADA!$P91="",AK91,ENTRADA!$P91))</f>
      </c>
      <c r="AM91" s="71">
        <f>IF(B91="","",AJ91*L_Dist_CEN)</f>
      </c>
      <c r="AN91" s="71">
        <f>IF(B91="","",IF(ENTRADA!$Q91="",AM91,ENTRADA!$Q91))</f>
      </c>
      <c r="AO91" s="37">
        <f>IF(B91="","",(AL91+AN91)*INDEX(PRECIOS!$E$6:$E$55,K91))</f>
      </c>
      <c r="AP91" s="71">
        <f>IF(B91="","",IF(H91=0,0,ROUNDUP(H91/Rend_Desagrupe_CT,0)))</f>
      </c>
      <c r="AQ91" s="71">
        <f>IF(B91="","",IF(ENTRADA!$R91="",AP91,ENTRADA!$R91))</f>
      </c>
      <c r="AR91" s="37">
        <f>IF(B91="","",AQ91*INDEX(PRECIOS!$I$6:$I$55,K91))</f>
      </c>
      <c r="AS91" s="37">
        <f>IF(B91="","",AO91+AR91)</f>
      </c>
      <c r="AT91" s="71">
        <f>IF(B91="","",IF(I91=0,0,ROUNDUP(I91/Cap_Camion_ORI,0)))</f>
      </c>
      <c r="AU91" s="71">
        <f>IF(B91="","",AT91*L_Tras_ORI)</f>
      </c>
      <c r="AV91" s="71">
        <f>IF(B91="","",IF(ENTRADA!$S91="",AU91,ENTRADA!$S91))</f>
      </c>
      <c r="AW91" s="71">
        <f>IF(B91="","",AT91*L_Dist_ORI)</f>
      </c>
      <c r="AX91" s="71">
        <f>IF(B91="","",IF(ENTRADA!$T91="",AW91,ENTRADA!$T91))</f>
      </c>
      <c r="AY91" s="37">
        <f>IF(B91="","",(AV91+AX91)*INDEX(PRECIOS!$E$6:$E$55,K91))</f>
      </c>
      <c r="AZ91" s="71">
        <f>IF(B91="","",IF(I91=0,0,ROUNDUP(I91/Rend_Desagrupe_CT,0)))</f>
      </c>
      <c r="BA91" s="71">
        <f>IF(B91="","",IF(ENTRADA!$U91="",AZ91,ENTRADA!$U91))</f>
      </c>
      <c r="BB91" s="37">
        <f>IF(B91="","",BA91*INDEX(PRECIOS!$I$6:$I$55,K91))</f>
      </c>
      <c r="BC91" s="37">
        <f>IF(B91="","",AY91+BB91)</f>
      </c>
      <c r="BD91" s="70">
        <f>IF(B91="","",AI91+AS91+BC91)</f>
      </c>
      <c r="BE91" s="37">
        <f>IF(B91="","",IF(Base_Comision="% DEL INGRESO",M91*INDEX(PRECIOS!$L$6:$L$55,K91),G91*INDEX(PRECIOS!$M$6:$M$55,K91)))</f>
      </c>
      <c r="BF91" s="37">
        <f>IF(B91="","",IF(Base_Comision="% DEL INGRESO",N91*INDEX(PRECIOS!$L$6:$L$55,K91),H91*INDEX(PRECIOS!$M$6:$M$55,K91)))</f>
      </c>
      <c r="BG91" s="37">
        <f>IF(B91="","",IF(Base_Comision="% DEL INGRESO",O91*INDEX(PRECIOS!$L$6:$L$55,K91),I91*INDEX(PRECIOS!$M$6:$M$55,K91)))</f>
      </c>
      <c r="BH91" s="70">
        <f>IF(B91="","",BE91+BF91+BG91)</f>
      </c>
      <c r="BI91" s="37">
        <f>IF(B91="","",Q91*Pct_Reclamaciones)</f>
      </c>
      <c r="BJ91" s="37">
        <f>IF(B91="","",Q91*Pct_Banco)</f>
      </c>
      <c r="BK91" s="37">
        <f>IF(B91="","",N(ENTRADA!$V91))</f>
      </c>
      <c r="BL91" s="70">
        <f>IF(B91="","",Y91+AE91+BD91+BH91+BI91+BJ91+BK91)</f>
      </c>
      <c r="BM91" s="70">
        <f>IF(B91="","",Q91-BL91)</f>
      </c>
      <c r="BN91" s="72">
        <f>IF(B91="","",IF(Q91=0,0,BM91/Q91))</f>
      </c>
      <c r="BO91" s="73">
        <f>IF(B91="","",IF(J91=0,0,BM91/J91))</f>
      </c>
      <c r="BP91" s="60">
        <f>IF(B91="","",IFERROR(MATCH(D91,COSTOS_FIJOS!$G$5:$AD$5,0),0))</f>
      </c>
      <c r="BQ91" s="60">
        <f>IF(B91="","",COUNTIFS($D$6:$D$305,D91))</f>
      </c>
      <c r="BR91" s="67">
        <f>IF(B91="","",SUMIFS($J$6:$J$305,$D$6:$D$305,D91))</f>
      </c>
      <c r="BS91" s="72">
        <f>IF(B91="","",IF(Metodo_Prorrateo="KG",IF(BR91=0,0,J91/BR91),1/BQ91))</f>
      </c>
      <c r="BT91" s="37">
        <f>IF(B91="","",IF(BP91=0,0,INDEX(COSTOS_FIJOS!$G$38:$AD$38,BP91))*BS91)</f>
      </c>
      <c r="BU91" s="72">
        <f>IF(B91="","",IF(Metodo_Prorrateo="KG",IF(SUMIFS($G$6:$G$305,$D$6:$D$305,D91)=0,0,G91/SUMIFS($G$6:$G$305,$D$6:$D$305,D91)),IF(G91&gt;0,1/COUNTIFS($D$6:$D$305,D91,$G$6:$G$305,"&gt;0"),0)))</f>
      </c>
      <c r="BV91" s="37">
        <f>IF(B91="","",IF(BP91=0,0,INDEX(COSTOS_FIJOS!$G$39:$AD$39,BP91))*BU91)</f>
      </c>
      <c r="BW91" s="72">
        <f>IF(B91="","",IF(Metodo_Prorrateo="KG",IF(SUMIFS($H$6:$H$305,$D$6:$D$305,D91)=0,0,H91/SUMIFS($H$6:$H$305,$D$6:$D$305,D91)),IF(H91&gt;0,1/COUNTIFS($D$6:$D$305,D91,$H$6:$H$305,"&gt;0"),0)))</f>
      </c>
      <c r="BX91" s="37">
        <f>IF(B91="","",IF(BP91=0,0,INDEX(COSTOS_FIJOS!$G$40:$AD$40,BP91))*BW91)</f>
      </c>
      <c r="BY91" s="72">
        <f>IF(B91="","",IF(Metodo_Prorrateo="KG",IF(SUMIFS($I$6:$I$305,$D$6:$D$305,D91)=0,0,I91/SUMIFS($I$6:$I$305,$D$6:$D$305,D91)),IF(I91&gt;0,1/COUNTIFS($D$6:$D$305,D91,$I$6:$I$305,"&gt;0"),0)))</f>
      </c>
      <c r="BZ91" s="37">
        <f>IF(B91="","",IF(BP91=0,0,INDEX(COSTOS_FIJOS!$G$41:$AD$41,BP91))*BY91)</f>
      </c>
      <c r="CA91" s="70">
        <f>IF(B91="","",BT91+BV91+BX91+BZ91)</f>
      </c>
      <c r="CB91" s="37">
        <f>IF(B91="","",Q91*Imp_Ventas_Serv)</f>
      </c>
      <c r="CC91" s="37">
        <f>IF(B91="","",Q91*Contrib_Territorial)</f>
      </c>
      <c r="CD91" s="70">
        <f>IF(B91="","",BM91-CA91-CB91-CC91)</f>
      </c>
      <c r="CE91" s="37">
        <f>IF(B91="","",MAX(0,CD91)*Imp_Utilidades)</f>
      </c>
      <c r="CF91" s="70">
        <f>IF(B91="","",CD91-CE91)</f>
      </c>
      <c r="CG91" s="72">
        <f>IF(B91="","",IF(Q91=0,0,CF91/Q91))</f>
      </c>
      <c r="CH91" s="73">
        <f>IF(B91="","",IF(J91=0,0,(BL91+CA91+CB91+CC91)/J91))</f>
      </c>
      <c r="CI91" s="73">
        <f>IF(B91="","",IF(J91=0,0,Q91/J91))</f>
      </c>
      <c r="CJ91" s="73">
        <f>IF(B91="","",IF(J91=0,0,CD91/J91))</f>
      </c>
      <c r="CK91" s="37">
        <f>IF(B91="","",Y91+AE91+BK91+BT91)</f>
      </c>
      <c r="CL91" s="37">
        <f>IF(B91="","",IF(J91=0,0,(M91+P91*G91/J91)*(1-Pct_Reclamaciones-Pct_Banco-Imp_Ventas_Serv-Contrib_Territorial)-AI91-BE91-BV91-CK91*G91/J91))</f>
      </c>
      <c r="CM91" s="37">
        <f>IF(B91="","",IF(J91=0,0,(N91+P91*H91/J91)*(1-Pct_Reclamaciones-Pct_Banco-Imp_Ventas_Serv-Contrib_Territorial)-AS91-BF91-BX91-CK91*H91/J91))</f>
      </c>
      <c r="CN91" s="37">
        <f>IF(B91="","",IF(J91=0,0,(O91+P91*I91/J91)*(1-Pct_Reclamaciones-Pct_Banco-Imp_Ventas_Serv-Contrib_Territorial)-BC91-BG91-BZ91-CK91*I91/J91))</f>
      </c>
      <c r="CO91" s="37">
        <f>IF(B91="","",IF(J91=0,0,ROUND(CD91-CL91-CM91-CN91,4)))</f>
      </c>
      <c r="CP91" s="71">
        <f>IF(B91="","",T91+AG91+AK91+AM91+AU91+AW91)</f>
      </c>
      <c r="CQ91" s="71">
        <f>IF(B91="","",U91+AH91+AL91+AN91+AV91+AX91)</f>
      </c>
      <c r="CR91" s="72">
        <f>IF(B91="","",IF(CP91=0,0,CQ91/CP91-1))</f>
      </c>
      <c r="CS91" s="60">
        <f>IF(B91="","",IF(ENTRADA!$Y91="","",ENTRADA!$Y91-C91))</f>
      </c>
      <c r="CT91" s="66">
        <f>IF(B91="","",IF(ENTRADA!$C91="","Falta fecha. ","")&amp;IF(BP91=0,"Mes fuera del rango de COSTOS_FIJOS. ","")&amp;IF(J91=0,"Sin kg. ","")&amp;IF(E91="","Falta transitaria. ","")&amp;IF(AND(T91&gt;0,U91/T91-1&gt;Tolerancia_Comb),"Combustible al puerto "&amp;TEXT(U91/T91-1,"+0%")&amp;" sobre norma. ","")&amp;IF(AND(AG91&gt;0,AH91/AG91-1&gt;Tolerancia_Comb),"Combustible distribución Occidente "&amp;TEXT(AH91/AG91-1,"+0%")&amp;" sobre norma. ","")&amp;IF(AND(AK91&gt;0,AL91/AK91-1&gt;Tolerancia_Comb),"Combustible traslado Centro "&amp;TEXT(AL91/AK91-1,"+0%")&amp;" sobre norma. ","")&amp;IF(AND(AM91&gt;0,AN91/AM91-1&gt;Tolerancia_Comb),"Combustible distribución Centro "&amp;TEXT(AN91/AM91-1,"+0%")&amp;" sobre norma. ","")&amp;IF(AND(AU91&gt;0,AV91/AU91-1&gt;Tolerancia_Comb),"Combustible traslado Oriente "&amp;TEXT(AV91/AU91-1,"+0%")&amp;" sobre norma. ","")&amp;IF(AND(AW91&gt;0,AX91/AW91-1&gt;Tolerancia_Comb),"Combustible distribución Oriente "&amp;TEXT(AX91/AW91-1,"+0%")&amp;" sobre norma. ","")&amp;IF(AND(ENTRADA!$C91&lt;&gt;"",C91&lt;PRECIOS!$A$6),"Fecha anterior a la 1ª vigencia de precios. ","")&amp;IF(CD91&lt;0,"Contenedor con pérdida. ",""))</f>
      </c>
    </row>
    <row r="92">
      <c r="A92" s="60">
        <f>IF(B92="","",ROW()-5)</f>
      </c>
      <c r="B92" s="63">
        <f>IF(ENTRADA!$B92="","",ENTRADA!$B92)</f>
      </c>
      <c r="C92" s="64">
        <f>IF(B92="","",ENTRADA!$C92)</f>
      </c>
      <c r="D92" s="65">
        <f>IF(B92="","",DATE(YEAR(C92),MONTH(C92),1))</f>
      </c>
      <c r="E92" s="66">
        <f>IF(B92="","",ENTRADA!$D92&amp;"")</f>
      </c>
      <c r="F92" s="66">
        <f>IF(B92="","",ENTRADA!$Z92&amp;"")</f>
      </c>
      <c r="G92" s="67">
        <f>IF(B92="","",N(ENTRADA!$G92))</f>
      </c>
      <c r="H92" s="67">
        <f>IF(B92="","",N(ENTRADA!$H92))</f>
      </c>
      <c r="I92" s="67">
        <f>IF(B92="","",N(ENTRADA!$I92))</f>
      </c>
      <c r="J92" s="68">
        <f>IF(B92="","",G92+H92+I92)</f>
      </c>
      <c r="K92" s="60">
        <f>IF(B92="","",IFERROR(MATCH(SUMPRODUCT(MAX((PRECIOS!$A$6:$A$55&lt;=C92)*PRECIOS!$A$6:$A$55)),PRECIOS!$A$6:$A$55,0),1))</f>
      </c>
      <c r="L92" s="69">
        <f>IF(B92="","",INDEX(PRECIOS!$A$6:$A$55,K92))</f>
      </c>
      <c r="M92" s="37">
        <f>IF(B92="","",G92*INDEX(PRECIOS!$B$6:$B$55,K92))</f>
      </c>
      <c r="N92" s="37">
        <f>IF(B92="","",H92*INDEX(PRECIOS!$C$6:$C$55,K92))</f>
      </c>
      <c r="O92" s="37">
        <f>IF(B92="","",I92*INDEX(PRECIOS!$D$6:$D$55,K92))</f>
      </c>
      <c r="P92" s="37">
        <f>IF(B92="","",N(ENTRADA!$X92))</f>
      </c>
      <c r="Q92" s="70">
        <f>IF(B92="","",M92+N92+O92+P92)</f>
      </c>
      <c r="R92" s="71">
        <f>IF(B92="","",IF(ENTRADA!$J92="",Std_Viajes_Puerto,ENTRADA!$J92))</f>
      </c>
      <c r="S92" s="37">
        <f>IF(B92="","",R92*INDEX(PRECIOS!$F$6:$F$55,K92))</f>
      </c>
      <c r="T92" s="71">
        <f>IF(B92="","",R92*Litros_Puerto_Viaje)</f>
      </c>
      <c r="U92" s="71">
        <f>IF(B92="","",IF(ENTRADA!$K92="",T92,ENTRADA!$K92))</f>
      </c>
      <c r="V92" s="37">
        <f>IF(B92="","",U92*INDEX(PRECIOS!$E$6:$E$55,K92))</f>
      </c>
      <c r="W92" s="37">
        <f>IF(B92="","",IF(ENTRADA!$L92="",R92*INDEX(PRECIOS!$G$6:$G$55,K92),ENTRADA!$L92))</f>
      </c>
      <c r="X92" s="37">
        <f>IF(B92="","",R92*Km_Puerto_Viaje*INDEX(PRECIOS!$N$6:$N$55,K92))</f>
      </c>
      <c r="Y92" s="70">
        <f>IF(B92="","",S92+V92+W92+X92)</f>
      </c>
      <c r="Z92" s="71">
        <f>IF(B92="","",IF(J92=0,0,ROUNDUP(J92/Rend_Desagrupe,0)))</f>
      </c>
      <c r="AA92" s="71">
        <f>IF(B92="","",IF(ENTRADA!$M92="",Z92,ENTRADA!$M92))</f>
      </c>
      <c r="AB92" s="37">
        <f>IF(B92="","",AA92*INDEX(PRECIOS!$H$6:$H$55,K92))</f>
      </c>
      <c r="AC92" s="37">
        <f>IF(B92="","",IF(E92="ENCI",INDEX(PRECIOS!$J$6:$J$55,K92),IF(E92="A.V",INDEX(PRECIOS!$K$6:$K$55,K92),0)))</f>
      </c>
      <c r="AD92" s="37">
        <f>IF(B92="","",N(ENTRADA!$N92))</f>
      </c>
      <c r="AE92" s="70">
        <f>IF(B92="","",AB92+AC92+AD92)</f>
      </c>
      <c r="AF92" s="71">
        <f>IF(B92="","",IF(G92=0,0,ROUNDUP(G92/Cap_Camion_OCC,0)))</f>
      </c>
      <c r="AG92" s="71">
        <f>IF(B92="","",AF92*L_Dist_OCC)</f>
      </c>
      <c r="AH92" s="71">
        <f>IF(B92="","",IF(ENTRADA!$O92="",AG92,ENTRADA!$O92))</f>
      </c>
      <c r="AI92" s="37">
        <f>IF(B92="","",AH92*INDEX(PRECIOS!$E$6:$E$55,K92))</f>
      </c>
      <c r="AJ92" s="71">
        <f>IF(B92="","",IF(H92=0,0,ROUNDUP(H92/Cap_Camion_CEN,0)))</f>
      </c>
      <c r="AK92" s="71">
        <f>IF(B92="","",AJ92*L_Tras_CEN)</f>
      </c>
      <c r="AL92" s="71">
        <f>IF(B92="","",IF(ENTRADA!$P92="",AK92,ENTRADA!$P92))</f>
      </c>
      <c r="AM92" s="71">
        <f>IF(B92="","",AJ92*L_Dist_CEN)</f>
      </c>
      <c r="AN92" s="71">
        <f>IF(B92="","",IF(ENTRADA!$Q92="",AM92,ENTRADA!$Q92))</f>
      </c>
      <c r="AO92" s="37">
        <f>IF(B92="","",(AL92+AN92)*INDEX(PRECIOS!$E$6:$E$55,K92))</f>
      </c>
      <c r="AP92" s="71">
        <f>IF(B92="","",IF(H92=0,0,ROUNDUP(H92/Rend_Desagrupe_CT,0)))</f>
      </c>
      <c r="AQ92" s="71">
        <f>IF(B92="","",IF(ENTRADA!$R92="",AP92,ENTRADA!$R92))</f>
      </c>
      <c r="AR92" s="37">
        <f>IF(B92="","",AQ92*INDEX(PRECIOS!$I$6:$I$55,K92))</f>
      </c>
      <c r="AS92" s="37">
        <f>IF(B92="","",AO92+AR92)</f>
      </c>
      <c r="AT92" s="71">
        <f>IF(B92="","",IF(I92=0,0,ROUNDUP(I92/Cap_Camion_ORI,0)))</f>
      </c>
      <c r="AU92" s="71">
        <f>IF(B92="","",AT92*L_Tras_ORI)</f>
      </c>
      <c r="AV92" s="71">
        <f>IF(B92="","",IF(ENTRADA!$S92="",AU92,ENTRADA!$S92))</f>
      </c>
      <c r="AW92" s="71">
        <f>IF(B92="","",AT92*L_Dist_ORI)</f>
      </c>
      <c r="AX92" s="71">
        <f>IF(B92="","",IF(ENTRADA!$T92="",AW92,ENTRADA!$T92))</f>
      </c>
      <c r="AY92" s="37">
        <f>IF(B92="","",(AV92+AX92)*INDEX(PRECIOS!$E$6:$E$55,K92))</f>
      </c>
      <c r="AZ92" s="71">
        <f>IF(B92="","",IF(I92=0,0,ROUNDUP(I92/Rend_Desagrupe_CT,0)))</f>
      </c>
      <c r="BA92" s="71">
        <f>IF(B92="","",IF(ENTRADA!$U92="",AZ92,ENTRADA!$U92))</f>
      </c>
      <c r="BB92" s="37">
        <f>IF(B92="","",BA92*INDEX(PRECIOS!$I$6:$I$55,K92))</f>
      </c>
      <c r="BC92" s="37">
        <f>IF(B92="","",AY92+BB92)</f>
      </c>
      <c r="BD92" s="70">
        <f>IF(B92="","",AI92+AS92+BC92)</f>
      </c>
      <c r="BE92" s="37">
        <f>IF(B92="","",IF(Base_Comision="% DEL INGRESO",M92*INDEX(PRECIOS!$L$6:$L$55,K92),G92*INDEX(PRECIOS!$M$6:$M$55,K92)))</f>
      </c>
      <c r="BF92" s="37">
        <f>IF(B92="","",IF(Base_Comision="% DEL INGRESO",N92*INDEX(PRECIOS!$L$6:$L$55,K92),H92*INDEX(PRECIOS!$M$6:$M$55,K92)))</f>
      </c>
      <c r="BG92" s="37">
        <f>IF(B92="","",IF(Base_Comision="% DEL INGRESO",O92*INDEX(PRECIOS!$L$6:$L$55,K92),I92*INDEX(PRECIOS!$M$6:$M$55,K92)))</f>
      </c>
      <c r="BH92" s="70">
        <f>IF(B92="","",BE92+BF92+BG92)</f>
      </c>
      <c r="BI92" s="37">
        <f>IF(B92="","",Q92*Pct_Reclamaciones)</f>
      </c>
      <c r="BJ92" s="37">
        <f>IF(B92="","",Q92*Pct_Banco)</f>
      </c>
      <c r="BK92" s="37">
        <f>IF(B92="","",N(ENTRADA!$V92))</f>
      </c>
      <c r="BL92" s="70">
        <f>IF(B92="","",Y92+AE92+BD92+BH92+BI92+BJ92+BK92)</f>
      </c>
      <c r="BM92" s="70">
        <f>IF(B92="","",Q92-BL92)</f>
      </c>
      <c r="BN92" s="72">
        <f>IF(B92="","",IF(Q92=0,0,BM92/Q92))</f>
      </c>
      <c r="BO92" s="73">
        <f>IF(B92="","",IF(J92=0,0,BM92/J92))</f>
      </c>
      <c r="BP92" s="60">
        <f>IF(B92="","",IFERROR(MATCH(D92,COSTOS_FIJOS!$G$5:$AD$5,0),0))</f>
      </c>
      <c r="BQ92" s="60">
        <f>IF(B92="","",COUNTIFS($D$6:$D$305,D92))</f>
      </c>
      <c r="BR92" s="67">
        <f>IF(B92="","",SUMIFS($J$6:$J$305,$D$6:$D$305,D92))</f>
      </c>
      <c r="BS92" s="72">
        <f>IF(B92="","",IF(Metodo_Prorrateo="KG",IF(BR92=0,0,J92/BR92),1/BQ92))</f>
      </c>
      <c r="BT92" s="37">
        <f>IF(B92="","",IF(BP92=0,0,INDEX(COSTOS_FIJOS!$G$38:$AD$38,BP92))*BS92)</f>
      </c>
      <c r="BU92" s="72">
        <f>IF(B92="","",IF(Metodo_Prorrateo="KG",IF(SUMIFS($G$6:$G$305,$D$6:$D$305,D92)=0,0,G92/SUMIFS($G$6:$G$305,$D$6:$D$305,D92)),IF(G92&gt;0,1/COUNTIFS($D$6:$D$305,D92,$G$6:$G$305,"&gt;0"),0)))</f>
      </c>
      <c r="BV92" s="37">
        <f>IF(B92="","",IF(BP92=0,0,INDEX(COSTOS_FIJOS!$G$39:$AD$39,BP92))*BU92)</f>
      </c>
      <c r="BW92" s="72">
        <f>IF(B92="","",IF(Metodo_Prorrateo="KG",IF(SUMIFS($H$6:$H$305,$D$6:$D$305,D92)=0,0,H92/SUMIFS($H$6:$H$305,$D$6:$D$305,D92)),IF(H92&gt;0,1/COUNTIFS($D$6:$D$305,D92,$H$6:$H$305,"&gt;0"),0)))</f>
      </c>
      <c r="BX92" s="37">
        <f>IF(B92="","",IF(BP92=0,0,INDEX(COSTOS_FIJOS!$G$40:$AD$40,BP92))*BW92)</f>
      </c>
      <c r="BY92" s="72">
        <f>IF(B92="","",IF(Metodo_Prorrateo="KG",IF(SUMIFS($I$6:$I$305,$D$6:$D$305,D92)=0,0,I92/SUMIFS($I$6:$I$305,$D$6:$D$305,D92)),IF(I92&gt;0,1/COUNTIFS($D$6:$D$305,D92,$I$6:$I$305,"&gt;0"),0)))</f>
      </c>
      <c r="BZ92" s="37">
        <f>IF(B92="","",IF(BP92=0,0,INDEX(COSTOS_FIJOS!$G$41:$AD$41,BP92))*BY92)</f>
      </c>
      <c r="CA92" s="70">
        <f>IF(B92="","",BT92+BV92+BX92+BZ92)</f>
      </c>
      <c r="CB92" s="37">
        <f>IF(B92="","",Q92*Imp_Ventas_Serv)</f>
      </c>
      <c r="CC92" s="37">
        <f>IF(B92="","",Q92*Contrib_Territorial)</f>
      </c>
      <c r="CD92" s="70">
        <f>IF(B92="","",BM92-CA92-CB92-CC92)</f>
      </c>
      <c r="CE92" s="37">
        <f>IF(B92="","",MAX(0,CD92)*Imp_Utilidades)</f>
      </c>
      <c r="CF92" s="70">
        <f>IF(B92="","",CD92-CE92)</f>
      </c>
      <c r="CG92" s="72">
        <f>IF(B92="","",IF(Q92=0,0,CF92/Q92))</f>
      </c>
      <c r="CH92" s="73">
        <f>IF(B92="","",IF(J92=0,0,(BL92+CA92+CB92+CC92)/J92))</f>
      </c>
      <c r="CI92" s="73">
        <f>IF(B92="","",IF(J92=0,0,Q92/J92))</f>
      </c>
      <c r="CJ92" s="73">
        <f>IF(B92="","",IF(J92=0,0,CD92/J92))</f>
      </c>
      <c r="CK92" s="37">
        <f>IF(B92="","",Y92+AE92+BK92+BT92)</f>
      </c>
      <c r="CL92" s="37">
        <f>IF(B92="","",IF(J92=0,0,(M92+P92*G92/J92)*(1-Pct_Reclamaciones-Pct_Banco-Imp_Ventas_Serv-Contrib_Territorial)-AI92-BE92-BV92-CK92*G92/J92))</f>
      </c>
      <c r="CM92" s="37">
        <f>IF(B92="","",IF(J92=0,0,(N92+P92*H92/J92)*(1-Pct_Reclamaciones-Pct_Banco-Imp_Ventas_Serv-Contrib_Territorial)-AS92-BF92-BX92-CK92*H92/J92))</f>
      </c>
      <c r="CN92" s="37">
        <f>IF(B92="","",IF(J92=0,0,(O92+P92*I92/J92)*(1-Pct_Reclamaciones-Pct_Banco-Imp_Ventas_Serv-Contrib_Territorial)-BC92-BG92-BZ92-CK92*I92/J92))</f>
      </c>
      <c r="CO92" s="37">
        <f>IF(B92="","",IF(J92=0,0,ROUND(CD92-CL92-CM92-CN92,4)))</f>
      </c>
      <c r="CP92" s="71">
        <f>IF(B92="","",T92+AG92+AK92+AM92+AU92+AW92)</f>
      </c>
      <c r="CQ92" s="71">
        <f>IF(B92="","",U92+AH92+AL92+AN92+AV92+AX92)</f>
      </c>
      <c r="CR92" s="72">
        <f>IF(B92="","",IF(CP92=0,0,CQ92/CP92-1))</f>
      </c>
      <c r="CS92" s="60">
        <f>IF(B92="","",IF(ENTRADA!$Y92="","",ENTRADA!$Y92-C92))</f>
      </c>
      <c r="CT92" s="66">
        <f>IF(B92="","",IF(ENTRADA!$C92="","Falta fecha. ","")&amp;IF(BP92=0,"Mes fuera del rango de COSTOS_FIJOS. ","")&amp;IF(J92=0,"Sin kg. ","")&amp;IF(E92="","Falta transitaria. ","")&amp;IF(AND(T92&gt;0,U92/T92-1&gt;Tolerancia_Comb),"Combustible al puerto "&amp;TEXT(U92/T92-1,"+0%")&amp;" sobre norma. ","")&amp;IF(AND(AG92&gt;0,AH92/AG92-1&gt;Tolerancia_Comb),"Combustible distribución Occidente "&amp;TEXT(AH92/AG92-1,"+0%")&amp;" sobre norma. ","")&amp;IF(AND(AK92&gt;0,AL92/AK92-1&gt;Tolerancia_Comb),"Combustible traslado Centro "&amp;TEXT(AL92/AK92-1,"+0%")&amp;" sobre norma. ","")&amp;IF(AND(AM92&gt;0,AN92/AM92-1&gt;Tolerancia_Comb),"Combustible distribución Centro "&amp;TEXT(AN92/AM92-1,"+0%")&amp;" sobre norma. ","")&amp;IF(AND(AU92&gt;0,AV92/AU92-1&gt;Tolerancia_Comb),"Combustible traslado Oriente "&amp;TEXT(AV92/AU92-1,"+0%")&amp;" sobre norma. ","")&amp;IF(AND(AW92&gt;0,AX92/AW92-1&gt;Tolerancia_Comb),"Combustible distribución Oriente "&amp;TEXT(AX92/AW92-1,"+0%")&amp;" sobre norma. ","")&amp;IF(AND(ENTRADA!$C92&lt;&gt;"",C92&lt;PRECIOS!$A$6),"Fecha anterior a la 1ª vigencia de precios. ","")&amp;IF(CD92&lt;0,"Contenedor con pérdida. ",""))</f>
      </c>
    </row>
    <row r="93">
      <c r="A93" s="60">
        <f>IF(B93="","",ROW()-5)</f>
      </c>
      <c r="B93" s="63">
        <f>IF(ENTRADA!$B93="","",ENTRADA!$B93)</f>
      </c>
      <c r="C93" s="64">
        <f>IF(B93="","",ENTRADA!$C93)</f>
      </c>
      <c r="D93" s="65">
        <f>IF(B93="","",DATE(YEAR(C93),MONTH(C93),1))</f>
      </c>
      <c r="E93" s="66">
        <f>IF(B93="","",ENTRADA!$D93&amp;"")</f>
      </c>
      <c r="F93" s="66">
        <f>IF(B93="","",ENTRADA!$Z93&amp;"")</f>
      </c>
      <c r="G93" s="67">
        <f>IF(B93="","",N(ENTRADA!$G93))</f>
      </c>
      <c r="H93" s="67">
        <f>IF(B93="","",N(ENTRADA!$H93))</f>
      </c>
      <c r="I93" s="67">
        <f>IF(B93="","",N(ENTRADA!$I93))</f>
      </c>
      <c r="J93" s="68">
        <f>IF(B93="","",G93+H93+I93)</f>
      </c>
      <c r="K93" s="60">
        <f>IF(B93="","",IFERROR(MATCH(SUMPRODUCT(MAX((PRECIOS!$A$6:$A$55&lt;=C93)*PRECIOS!$A$6:$A$55)),PRECIOS!$A$6:$A$55,0),1))</f>
      </c>
      <c r="L93" s="69">
        <f>IF(B93="","",INDEX(PRECIOS!$A$6:$A$55,K93))</f>
      </c>
      <c r="M93" s="37">
        <f>IF(B93="","",G93*INDEX(PRECIOS!$B$6:$B$55,K93))</f>
      </c>
      <c r="N93" s="37">
        <f>IF(B93="","",H93*INDEX(PRECIOS!$C$6:$C$55,K93))</f>
      </c>
      <c r="O93" s="37">
        <f>IF(B93="","",I93*INDEX(PRECIOS!$D$6:$D$55,K93))</f>
      </c>
      <c r="P93" s="37">
        <f>IF(B93="","",N(ENTRADA!$X93))</f>
      </c>
      <c r="Q93" s="70">
        <f>IF(B93="","",M93+N93+O93+P93)</f>
      </c>
      <c r="R93" s="71">
        <f>IF(B93="","",IF(ENTRADA!$J93="",Std_Viajes_Puerto,ENTRADA!$J93))</f>
      </c>
      <c r="S93" s="37">
        <f>IF(B93="","",R93*INDEX(PRECIOS!$F$6:$F$55,K93))</f>
      </c>
      <c r="T93" s="71">
        <f>IF(B93="","",R93*Litros_Puerto_Viaje)</f>
      </c>
      <c r="U93" s="71">
        <f>IF(B93="","",IF(ENTRADA!$K93="",T93,ENTRADA!$K93))</f>
      </c>
      <c r="V93" s="37">
        <f>IF(B93="","",U93*INDEX(PRECIOS!$E$6:$E$55,K93))</f>
      </c>
      <c r="W93" s="37">
        <f>IF(B93="","",IF(ENTRADA!$L93="",R93*INDEX(PRECIOS!$G$6:$G$55,K93),ENTRADA!$L93))</f>
      </c>
      <c r="X93" s="37">
        <f>IF(B93="","",R93*Km_Puerto_Viaje*INDEX(PRECIOS!$N$6:$N$55,K93))</f>
      </c>
      <c r="Y93" s="70">
        <f>IF(B93="","",S93+V93+W93+X93)</f>
      </c>
      <c r="Z93" s="71">
        <f>IF(B93="","",IF(J93=0,0,ROUNDUP(J93/Rend_Desagrupe,0)))</f>
      </c>
      <c r="AA93" s="71">
        <f>IF(B93="","",IF(ENTRADA!$M93="",Z93,ENTRADA!$M93))</f>
      </c>
      <c r="AB93" s="37">
        <f>IF(B93="","",AA93*INDEX(PRECIOS!$H$6:$H$55,K93))</f>
      </c>
      <c r="AC93" s="37">
        <f>IF(B93="","",IF(E93="ENCI",INDEX(PRECIOS!$J$6:$J$55,K93),IF(E93="A.V",INDEX(PRECIOS!$K$6:$K$55,K93),0)))</f>
      </c>
      <c r="AD93" s="37">
        <f>IF(B93="","",N(ENTRADA!$N93))</f>
      </c>
      <c r="AE93" s="70">
        <f>IF(B93="","",AB93+AC93+AD93)</f>
      </c>
      <c r="AF93" s="71">
        <f>IF(B93="","",IF(G93=0,0,ROUNDUP(G93/Cap_Camion_OCC,0)))</f>
      </c>
      <c r="AG93" s="71">
        <f>IF(B93="","",AF93*L_Dist_OCC)</f>
      </c>
      <c r="AH93" s="71">
        <f>IF(B93="","",IF(ENTRADA!$O93="",AG93,ENTRADA!$O93))</f>
      </c>
      <c r="AI93" s="37">
        <f>IF(B93="","",AH93*INDEX(PRECIOS!$E$6:$E$55,K93))</f>
      </c>
      <c r="AJ93" s="71">
        <f>IF(B93="","",IF(H93=0,0,ROUNDUP(H93/Cap_Camion_CEN,0)))</f>
      </c>
      <c r="AK93" s="71">
        <f>IF(B93="","",AJ93*L_Tras_CEN)</f>
      </c>
      <c r="AL93" s="71">
        <f>IF(B93="","",IF(ENTRADA!$P93="",AK93,ENTRADA!$P93))</f>
      </c>
      <c r="AM93" s="71">
        <f>IF(B93="","",AJ93*L_Dist_CEN)</f>
      </c>
      <c r="AN93" s="71">
        <f>IF(B93="","",IF(ENTRADA!$Q93="",AM93,ENTRADA!$Q93))</f>
      </c>
      <c r="AO93" s="37">
        <f>IF(B93="","",(AL93+AN93)*INDEX(PRECIOS!$E$6:$E$55,K93))</f>
      </c>
      <c r="AP93" s="71">
        <f>IF(B93="","",IF(H93=0,0,ROUNDUP(H93/Rend_Desagrupe_CT,0)))</f>
      </c>
      <c r="AQ93" s="71">
        <f>IF(B93="","",IF(ENTRADA!$R93="",AP93,ENTRADA!$R93))</f>
      </c>
      <c r="AR93" s="37">
        <f>IF(B93="","",AQ93*INDEX(PRECIOS!$I$6:$I$55,K93))</f>
      </c>
      <c r="AS93" s="37">
        <f>IF(B93="","",AO93+AR93)</f>
      </c>
      <c r="AT93" s="71">
        <f>IF(B93="","",IF(I93=0,0,ROUNDUP(I93/Cap_Camion_ORI,0)))</f>
      </c>
      <c r="AU93" s="71">
        <f>IF(B93="","",AT93*L_Tras_ORI)</f>
      </c>
      <c r="AV93" s="71">
        <f>IF(B93="","",IF(ENTRADA!$S93="",AU93,ENTRADA!$S93))</f>
      </c>
      <c r="AW93" s="71">
        <f>IF(B93="","",AT93*L_Dist_ORI)</f>
      </c>
      <c r="AX93" s="71">
        <f>IF(B93="","",IF(ENTRADA!$T93="",AW93,ENTRADA!$T93))</f>
      </c>
      <c r="AY93" s="37">
        <f>IF(B93="","",(AV93+AX93)*INDEX(PRECIOS!$E$6:$E$55,K93))</f>
      </c>
      <c r="AZ93" s="71">
        <f>IF(B93="","",IF(I93=0,0,ROUNDUP(I93/Rend_Desagrupe_CT,0)))</f>
      </c>
      <c r="BA93" s="71">
        <f>IF(B93="","",IF(ENTRADA!$U93="",AZ93,ENTRADA!$U93))</f>
      </c>
      <c r="BB93" s="37">
        <f>IF(B93="","",BA93*INDEX(PRECIOS!$I$6:$I$55,K93))</f>
      </c>
      <c r="BC93" s="37">
        <f>IF(B93="","",AY93+BB93)</f>
      </c>
      <c r="BD93" s="70">
        <f>IF(B93="","",AI93+AS93+BC93)</f>
      </c>
      <c r="BE93" s="37">
        <f>IF(B93="","",IF(Base_Comision="% DEL INGRESO",M93*INDEX(PRECIOS!$L$6:$L$55,K93),G93*INDEX(PRECIOS!$M$6:$M$55,K93)))</f>
      </c>
      <c r="BF93" s="37">
        <f>IF(B93="","",IF(Base_Comision="% DEL INGRESO",N93*INDEX(PRECIOS!$L$6:$L$55,K93),H93*INDEX(PRECIOS!$M$6:$M$55,K93)))</f>
      </c>
      <c r="BG93" s="37">
        <f>IF(B93="","",IF(Base_Comision="% DEL INGRESO",O93*INDEX(PRECIOS!$L$6:$L$55,K93),I93*INDEX(PRECIOS!$M$6:$M$55,K93)))</f>
      </c>
      <c r="BH93" s="70">
        <f>IF(B93="","",BE93+BF93+BG93)</f>
      </c>
      <c r="BI93" s="37">
        <f>IF(B93="","",Q93*Pct_Reclamaciones)</f>
      </c>
      <c r="BJ93" s="37">
        <f>IF(B93="","",Q93*Pct_Banco)</f>
      </c>
      <c r="BK93" s="37">
        <f>IF(B93="","",N(ENTRADA!$V93))</f>
      </c>
      <c r="BL93" s="70">
        <f>IF(B93="","",Y93+AE93+BD93+BH93+BI93+BJ93+BK93)</f>
      </c>
      <c r="BM93" s="70">
        <f>IF(B93="","",Q93-BL93)</f>
      </c>
      <c r="BN93" s="72">
        <f>IF(B93="","",IF(Q93=0,0,BM93/Q93))</f>
      </c>
      <c r="BO93" s="73">
        <f>IF(B93="","",IF(J93=0,0,BM93/J93))</f>
      </c>
      <c r="BP93" s="60">
        <f>IF(B93="","",IFERROR(MATCH(D93,COSTOS_FIJOS!$G$5:$AD$5,0),0))</f>
      </c>
      <c r="BQ93" s="60">
        <f>IF(B93="","",COUNTIFS($D$6:$D$305,D93))</f>
      </c>
      <c r="BR93" s="67">
        <f>IF(B93="","",SUMIFS($J$6:$J$305,$D$6:$D$305,D93))</f>
      </c>
      <c r="BS93" s="72">
        <f>IF(B93="","",IF(Metodo_Prorrateo="KG",IF(BR93=0,0,J93/BR93),1/BQ93))</f>
      </c>
      <c r="BT93" s="37">
        <f>IF(B93="","",IF(BP93=0,0,INDEX(COSTOS_FIJOS!$G$38:$AD$38,BP93))*BS93)</f>
      </c>
      <c r="BU93" s="72">
        <f>IF(B93="","",IF(Metodo_Prorrateo="KG",IF(SUMIFS($G$6:$G$305,$D$6:$D$305,D93)=0,0,G93/SUMIFS($G$6:$G$305,$D$6:$D$305,D93)),IF(G93&gt;0,1/COUNTIFS($D$6:$D$305,D93,$G$6:$G$305,"&gt;0"),0)))</f>
      </c>
      <c r="BV93" s="37">
        <f>IF(B93="","",IF(BP93=0,0,INDEX(COSTOS_FIJOS!$G$39:$AD$39,BP93))*BU93)</f>
      </c>
      <c r="BW93" s="72">
        <f>IF(B93="","",IF(Metodo_Prorrateo="KG",IF(SUMIFS($H$6:$H$305,$D$6:$D$305,D93)=0,0,H93/SUMIFS($H$6:$H$305,$D$6:$D$305,D93)),IF(H93&gt;0,1/COUNTIFS($D$6:$D$305,D93,$H$6:$H$305,"&gt;0"),0)))</f>
      </c>
      <c r="BX93" s="37">
        <f>IF(B93="","",IF(BP93=0,0,INDEX(COSTOS_FIJOS!$G$40:$AD$40,BP93))*BW93)</f>
      </c>
      <c r="BY93" s="72">
        <f>IF(B93="","",IF(Metodo_Prorrateo="KG",IF(SUMIFS($I$6:$I$305,$D$6:$D$305,D93)=0,0,I93/SUMIFS($I$6:$I$305,$D$6:$D$305,D93)),IF(I93&gt;0,1/COUNTIFS($D$6:$D$305,D93,$I$6:$I$305,"&gt;0"),0)))</f>
      </c>
      <c r="BZ93" s="37">
        <f>IF(B93="","",IF(BP93=0,0,INDEX(COSTOS_FIJOS!$G$41:$AD$41,BP93))*BY93)</f>
      </c>
      <c r="CA93" s="70">
        <f>IF(B93="","",BT93+BV93+BX93+BZ93)</f>
      </c>
      <c r="CB93" s="37">
        <f>IF(B93="","",Q93*Imp_Ventas_Serv)</f>
      </c>
      <c r="CC93" s="37">
        <f>IF(B93="","",Q93*Contrib_Territorial)</f>
      </c>
      <c r="CD93" s="70">
        <f>IF(B93="","",BM93-CA93-CB93-CC93)</f>
      </c>
      <c r="CE93" s="37">
        <f>IF(B93="","",MAX(0,CD93)*Imp_Utilidades)</f>
      </c>
      <c r="CF93" s="70">
        <f>IF(B93="","",CD93-CE93)</f>
      </c>
      <c r="CG93" s="72">
        <f>IF(B93="","",IF(Q93=0,0,CF93/Q93))</f>
      </c>
      <c r="CH93" s="73">
        <f>IF(B93="","",IF(J93=0,0,(BL93+CA93+CB93+CC93)/J93))</f>
      </c>
      <c r="CI93" s="73">
        <f>IF(B93="","",IF(J93=0,0,Q93/J93))</f>
      </c>
      <c r="CJ93" s="73">
        <f>IF(B93="","",IF(J93=0,0,CD93/J93))</f>
      </c>
      <c r="CK93" s="37">
        <f>IF(B93="","",Y93+AE93+BK93+BT93)</f>
      </c>
      <c r="CL93" s="37">
        <f>IF(B93="","",IF(J93=0,0,(M93+P93*G93/J93)*(1-Pct_Reclamaciones-Pct_Banco-Imp_Ventas_Serv-Contrib_Territorial)-AI93-BE93-BV93-CK93*G93/J93))</f>
      </c>
      <c r="CM93" s="37">
        <f>IF(B93="","",IF(J93=0,0,(N93+P93*H93/J93)*(1-Pct_Reclamaciones-Pct_Banco-Imp_Ventas_Serv-Contrib_Territorial)-AS93-BF93-BX93-CK93*H93/J93))</f>
      </c>
      <c r="CN93" s="37">
        <f>IF(B93="","",IF(J93=0,0,(O93+P93*I93/J93)*(1-Pct_Reclamaciones-Pct_Banco-Imp_Ventas_Serv-Contrib_Territorial)-BC93-BG93-BZ93-CK93*I93/J93))</f>
      </c>
      <c r="CO93" s="37">
        <f>IF(B93="","",IF(J93=0,0,ROUND(CD93-CL93-CM93-CN93,4)))</f>
      </c>
      <c r="CP93" s="71">
        <f>IF(B93="","",T93+AG93+AK93+AM93+AU93+AW93)</f>
      </c>
      <c r="CQ93" s="71">
        <f>IF(B93="","",U93+AH93+AL93+AN93+AV93+AX93)</f>
      </c>
      <c r="CR93" s="72">
        <f>IF(B93="","",IF(CP93=0,0,CQ93/CP93-1))</f>
      </c>
      <c r="CS93" s="60">
        <f>IF(B93="","",IF(ENTRADA!$Y93="","",ENTRADA!$Y93-C93))</f>
      </c>
      <c r="CT93" s="66">
        <f>IF(B93="","",IF(ENTRADA!$C93="","Falta fecha. ","")&amp;IF(BP93=0,"Mes fuera del rango de COSTOS_FIJOS. ","")&amp;IF(J93=0,"Sin kg. ","")&amp;IF(E93="","Falta transitaria. ","")&amp;IF(AND(T93&gt;0,U93/T93-1&gt;Tolerancia_Comb),"Combustible al puerto "&amp;TEXT(U93/T93-1,"+0%")&amp;" sobre norma. ","")&amp;IF(AND(AG93&gt;0,AH93/AG93-1&gt;Tolerancia_Comb),"Combustible distribución Occidente "&amp;TEXT(AH93/AG93-1,"+0%")&amp;" sobre norma. ","")&amp;IF(AND(AK93&gt;0,AL93/AK93-1&gt;Tolerancia_Comb),"Combustible traslado Centro "&amp;TEXT(AL93/AK93-1,"+0%")&amp;" sobre norma. ","")&amp;IF(AND(AM93&gt;0,AN93/AM93-1&gt;Tolerancia_Comb),"Combustible distribución Centro "&amp;TEXT(AN93/AM93-1,"+0%")&amp;" sobre norma. ","")&amp;IF(AND(AU93&gt;0,AV93/AU93-1&gt;Tolerancia_Comb),"Combustible traslado Oriente "&amp;TEXT(AV93/AU93-1,"+0%")&amp;" sobre norma. ","")&amp;IF(AND(AW93&gt;0,AX93/AW93-1&gt;Tolerancia_Comb),"Combustible distribución Oriente "&amp;TEXT(AX93/AW93-1,"+0%")&amp;" sobre norma. ","")&amp;IF(AND(ENTRADA!$C93&lt;&gt;"",C93&lt;PRECIOS!$A$6),"Fecha anterior a la 1ª vigencia de precios. ","")&amp;IF(CD93&lt;0,"Contenedor con pérdida. ",""))</f>
      </c>
    </row>
    <row r="94">
      <c r="A94" s="60">
        <f>IF(B94="","",ROW()-5)</f>
      </c>
      <c r="B94" s="63">
        <f>IF(ENTRADA!$B94="","",ENTRADA!$B94)</f>
      </c>
      <c r="C94" s="64">
        <f>IF(B94="","",ENTRADA!$C94)</f>
      </c>
      <c r="D94" s="65">
        <f>IF(B94="","",DATE(YEAR(C94),MONTH(C94),1))</f>
      </c>
      <c r="E94" s="66">
        <f>IF(B94="","",ENTRADA!$D94&amp;"")</f>
      </c>
      <c r="F94" s="66">
        <f>IF(B94="","",ENTRADA!$Z94&amp;"")</f>
      </c>
      <c r="G94" s="67">
        <f>IF(B94="","",N(ENTRADA!$G94))</f>
      </c>
      <c r="H94" s="67">
        <f>IF(B94="","",N(ENTRADA!$H94))</f>
      </c>
      <c r="I94" s="67">
        <f>IF(B94="","",N(ENTRADA!$I94))</f>
      </c>
      <c r="J94" s="68">
        <f>IF(B94="","",G94+H94+I94)</f>
      </c>
      <c r="K94" s="60">
        <f>IF(B94="","",IFERROR(MATCH(SUMPRODUCT(MAX((PRECIOS!$A$6:$A$55&lt;=C94)*PRECIOS!$A$6:$A$55)),PRECIOS!$A$6:$A$55,0),1))</f>
      </c>
      <c r="L94" s="69">
        <f>IF(B94="","",INDEX(PRECIOS!$A$6:$A$55,K94))</f>
      </c>
      <c r="M94" s="37">
        <f>IF(B94="","",G94*INDEX(PRECIOS!$B$6:$B$55,K94))</f>
      </c>
      <c r="N94" s="37">
        <f>IF(B94="","",H94*INDEX(PRECIOS!$C$6:$C$55,K94))</f>
      </c>
      <c r="O94" s="37">
        <f>IF(B94="","",I94*INDEX(PRECIOS!$D$6:$D$55,K94))</f>
      </c>
      <c r="P94" s="37">
        <f>IF(B94="","",N(ENTRADA!$X94))</f>
      </c>
      <c r="Q94" s="70">
        <f>IF(B94="","",M94+N94+O94+P94)</f>
      </c>
      <c r="R94" s="71">
        <f>IF(B94="","",IF(ENTRADA!$J94="",Std_Viajes_Puerto,ENTRADA!$J94))</f>
      </c>
      <c r="S94" s="37">
        <f>IF(B94="","",R94*INDEX(PRECIOS!$F$6:$F$55,K94))</f>
      </c>
      <c r="T94" s="71">
        <f>IF(B94="","",R94*Litros_Puerto_Viaje)</f>
      </c>
      <c r="U94" s="71">
        <f>IF(B94="","",IF(ENTRADA!$K94="",T94,ENTRADA!$K94))</f>
      </c>
      <c r="V94" s="37">
        <f>IF(B94="","",U94*INDEX(PRECIOS!$E$6:$E$55,K94))</f>
      </c>
      <c r="W94" s="37">
        <f>IF(B94="","",IF(ENTRADA!$L94="",R94*INDEX(PRECIOS!$G$6:$G$55,K94),ENTRADA!$L94))</f>
      </c>
      <c r="X94" s="37">
        <f>IF(B94="","",R94*Km_Puerto_Viaje*INDEX(PRECIOS!$N$6:$N$55,K94))</f>
      </c>
      <c r="Y94" s="70">
        <f>IF(B94="","",S94+V94+W94+X94)</f>
      </c>
      <c r="Z94" s="71">
        <f>IF(B94="","",IF(J94=0,0,ROUNDUP(J94/Rend_Desagrupe,0)))</f>
      </c>
      <c r="AA94" s="71">
        <f>IF(B94="","",IF(ENTRADA!$M94="",Z94,ENTRADA!$M94))</f>
      </c>
      <c r="AB94" s="37">
        <f>IF(B94="","",AA94*INDEX(PRECIOS!$H$6:$H$55,K94))</f>
      </c>
      <c r="AC94" s="37">
        <f>IF(B94="","",IF(E94="ENCI",INDEX(PRECIOS!$J$6:$J$55,K94),IF(E94="A.V",INDEX(PRECIOS!$K$6:$K$55,K94),0)))</f>
      </c>
      <c r="AD94" s="37">
        <f>IF(B94="","",N(ENTRADA!$N94))</f>
      </c>
      <c r="AE94" s="70">
        <f>IF(B94="","",AB94+AC94+AD94)</f>
      </c>
      <c r="AF94" s="71">
        <f>IF(B94="","",IF(G94=0,0,ROUNDUP(G94/Cap_Camion_OCC,0)))</f>
      </c>
      <c r="AG94" s="71">
        <f>IF(B94="","",AF94*L_Dist_OCC)</f>
      </c>
      <c r="AH94" s="71">
        <f>IF(B94="","",IF(ENTRADA!$O94="",AG94,ENTRADA!$O94))</f>
      </c>
      <c r="AI94" s="37">
        <f>IF(B94="","",AH94*INDEX(PRECIOS!$E$6:$E$55,K94))</f>
      </c>
      <c r="AJ94" s="71">
        <f>IF(B94="","",IF(H94=0,0,ROUNDUP(H94/Cap_Camion_CEN,0)))</f>
      </c>
      <c r="AK94" s="71">
        <f>IF(B94="","",AJ94*L_Tras_CEN)</f>
      </c>
      <c r="AL94" s="71">
        <f>IF(B94="","",IF(ENTRADA!$P94="",AK94,ENTRADA!$P94))</f>
      </c>
      <c r="AM94" s="71">
        <f>IF(B94="","",AJ94*L_Dist_CEN)</f>
      </c>
      <c r="AN94" s="71">
        <f>IF(B94="","",IF(ENTRADA!$Q94="",AM94,ENTRADA!$Q94))</f>
      </c>
      <c r="AO94" s="37">
        <f>IF(B94="","",(AL94+AN94)*INDEX(PRECIOS!$E$6:$E$55,K94))</f>
      </c>
      <c r="AP94" s="71">
        <f>IF(B94="","",IF(H94=0,0,ROUNDUP(H94/Rend_Desagrupe_CT,0)))</f>
      </c>
      <c r="AQ94" s="71">
        <f>IF(B94="","",IF(ENTRADA!$R94="",AP94,ENTRADA!$R94))</f>
      </c>
      <c r="AR94" s="37">
        <f>IF(B94="","",AQ94*INDEX(PRECIOS!$I$6:$I$55,K94))</f>
      </c>
      <c r="AS94" s="37">
        <f>IF(B94="","",AO94+AR94)</f>
      </c>
      <c r="AT94" s="71">
        <f>IF(B94="","",IF(I94=0,0,ROUNDUP(I94/Cap_Camion_ORI,0)))</f>
      </c>
      <c r="AU94" s="71">
        <f>IF(B94="","",AT94*L_Tras_ORI)</f>
      </c>
      <c r="AV94" s="71">
        <f>IF(B94="","",IF(ENTRADA!$S94="",AU94,ENTRADA!$S94))</f>
      </c>
      <c r="AW94" s="71">
        <f>IF(B94="","",AT94*L_Dist_ORI)</f>
      </c>
      <c r="AX94" s="71">
        <f>IF(B94="","",IF(ENTRADA!$T94="",AW94,ENTRADA!$T94))</f>
      </c>
      <c r="AY94" s="37">
        <f>IF(B94="","",(AV94+AX94)*INDEX(PRECIOS!$E$6:$E$55,K94))</f>
      </c>
      <c r="AZ94" s="71">
        <f>IF(B94="","",IF(I94=0,0,ROUNDUP(I94/Rend_Desagrupe_CT,0)))</f>
      </c>
      <c r="BA94" s="71">
        <f>IF(B94="","",IF(ENTRADA!$U94="",AZ94,ENTRADA!$U94))</f>
      </c>
      <c r="BB94" s="37">
        <f>IF(B94="","",BA94*INDEX(PRECIOS!$I$6:$I$55,K94))</f>
      </c>
      <c r="BC94" s="37">
        <f>IF(B94="","",AY94+BB94)</f>
      </c>
      <c r="BD94" s="70">
        <f>IF(B94="","",AI94+AS94+BC94)</f>
      </c>
      <c r="BE94" s="37">
        <f>IF(B94="","",IF(Base_Comision="% DEL INGRESO",M94*INDEX(PRECIOS!$L$6:$L$55,K94),G94*INDEX(PRECIOS!$M$6:$M$55,K94)))</f>
      </c>
      <c r="BF94" s="37">
        <f>IF(B94="","",IF(Base_Comision="% DEL INGRESO",N94*INDEX(PRECIOS!$L$6:$L$55,K94),H94*INDEX(PRECIOS!$M$6:$M$55,K94)))</f>
      </c>
      <c r="BG94" s="37">
        <f>IF(B94="","",IF(Base_Comision="% DEL INGRESO",O94*INDEX(PRECIOS!$L$6:$L$55,K94),I94*INDEX(PRECIOS!$M$6:$M$55,K94)))</f>
      </c>
      <c r="BH94" s="70">
        <f>IF(B94="","",BE94+BF94+BG94)</f>
      </c>
      <c r="BI94" s="37">
        <f>IF(B94="","",Q94*Pct_Reclamaciones)</f>
      </c>
      <c r="BJ94" s="37">
        <f>IF(B94="","",Q94*Pct_Banco)</f>
      </c>
      <c r="BK94" s="37">
        <f>IF(B94="","",N(ENTRADA!$V94))</f>
      </c>
      <c r="BL94" s="70">
        <f>IF(B94="","",Y94+AE94+BD94+BH94+BI94+BJ94+BK94)</f>
      </c>
      <c r="BM94" s="70">
        <f>IF(B94="","",Q94-BL94)</f>
      </c>
      <c r="BN94" s="72">
        <f>IF(B94="","",IF(Q94=0,0,BM94/Q94))</f>
      </c>
      <c r="BO94" s="73">
        <f>IF(B94="","",IF(J94=0,0,BM94/J94))</f>
      </c>
      <c r="BP94" s="60">
        <f>IF(B94="","",IFERROR(MATCH(D94,COSTOS_FIJOS!$G$5:$AD$5,0),0))</f>
      </c>
      <c r="BQ94" s="60">
        <f>IF(B94="","",COUNTIFS($D$6:$D$305,D94))</f>
      </c>
      <c r="BR94" s="67">
        <f>IF(B94="","",SUMIFS($J$6:$J$305,$D$6:$D$305,D94))</f>
      </c>
      <c r="BS94" s="72">
        <f>IF(B94="","",IF(Metodo_Prorrateo="KG",IF(BR94=0,0,J94/BR94),1/BQ94))</f>
      </c>
      <c r="BT94" s="37">
        <f>IF(B94="","",IF(BP94=0,0,INDEX(COSTOS_FIJOS!$G$38:$AD$38,BP94))*BS94)</f>
      </c>
      <c r="BU94" s="72">
        <f>IF(B94="","",IF(Metodo_Prorrateo="KG",IF(SUMIFS($G$6:$G$305,$D$6:$D$305,D94)=0,0,G94/SUMIFS($G$6:$G$305,$D$6:$D$305,D94)),IF(G94&gt;0,1/COUNTIFS($D$6:$D$305,D94,$G$6:$G$305,"&gt;0"),0)))</f>
      </c>
      <c r="BV94" s="37">
        <f>IF(B94="","",IF(BP94=0,0,INDEX(COSTOS_FIJOS!$G$39:$AD$39,BP94))*BU94)</f>
      </c>
      <c r="BW94" s="72">
        <f>IF(B94="","",IF(Metodo_Prorrateo="KG",IF(SUMIFS($H$6:$H$305,$D$6:$D$305,D94)=0,0,H94/SUMIFS($H$6:$H$305,$D$6:$D$305,D94)),IF(H94&gt;0,1/COUNTIFS($D$6:$D$305,D94,$H$6:$H$305,"&gt;0"),0)))</f>
      </c>
      <c r="BX94" s="37">
        <f>IF(B94="","",IF(BP94=0,0,INDEX(COSTOS_FIJOS!$G$40:$AD$40,BP94))*BW94)</f>
      </c>
      <c r="BY94" s="72">
        <f>IF(B94="","",IF(Metodo_Prorrateo="KG",IF(SUMIFS($I$6:$I$305,$D$6:$D$305,D94)=0,0,I94/SUMIFS($I$6:$I$305,$D$6:$D$305,D94)),IF(I94&gt;0,1/COUNTIFS($D$6:$D$305,D94,$I$6:$I$305,"&gt;0"),0)))</f>
      </c>
      <c r="BZ94" s="37">
        <f>IF(B94="","",IF(BP94=0,0,INDEX(COSTOS_FIJOS!$G$41:$AD$41,BP94))*BY94)</f>
      </c>
      <c r="CA94" s="70">
        <f>IF(B94="","",BT94+BV94+BX94+BZ94)</f>
      </c>
      <c r="CB94" s="37">
        <f>IF(B94="","",Q94*Imp_Ventas_Serv)</f>
      </c>
      <c r="CC94" s="37">
        <f>IF(B94="","",Q94*Contrib_Territorial)</f>
      </c>
      <c r="CD94" s="70">
        <f>IF(B94="","",BM94-CA94-CB94-CC94)</f>
      </c>
      <c r="CE94" s="37">
        <f>IF(B94="","",MAX(0,CD94)*Imp_Utilidades)</f>
      </c>
      <c r="CF94" s="70">
        <f>IF(B94="","",CD94-CE94)</f>
      </c>
      <c r="CG94" s="72">
        <f>IF(B94="","",IF(Q94=0,0,CF94/Q94))</f>
      </c>
      <c r="CH94" s="73">
        <f>IF(B94="","",IF(J94=0,0,(BL94+CA94+CB94+CC94)/J94))</f>
      </c>
      <c r="CI94" s="73">
        <f>IF(B94="","",IF(J94=0,0,Q94/J94))</f>
      </c>
      <c r="CJ94" s="73">
        <f>IF(B94="","",IF(J94=0,0,CD94/J94))</f>
      </c>
      <c r="CK94" s="37">
        <f>IF(B94="","",Y94+AE94+BK94+BT94)</f>
      </c>
      <c r="CL94" s="37">
        <f>IF(B94="","",IF(J94=0,0,(M94+P94*G94/J94)*(1-Pct_Reclamaciones-Pct_Banco-Imp_Ventas_Serv-Contrib_Territorial)-AI94-BE94-BV94-CK94*G94/J94))</f>
      </c>
      <c r="CM94" s="37">
        <f>IF(B94="","",IF(J94=0,0,(N94+P94*H94/J94)*(1-Pct_Reclamaciones-Pct_Banco-Imp_Ventas_Serv-Contrib_Territorial)-AS94-BF94-BX94-CK94*H94/J94))</f>
      </c>
      <c r="CN94" s="37">
        <f>IF(B94="","",IF(J94=0,0,(O94+P94*I94/J94)*(1-Pct_Reclamaciones-Pct_Banco-Imp_Ventas_Serv-Contrib_Territorial)-BC94-BG94-BZ94-CK94*I94/J94))</f>
      </c>
      <c r="CO94" s="37">
        <f>IF(B94="","",IF(J94=0,0,ROUND(CD94-CL94-CM94-CN94,4)))</f>
      </c>
      <c r="CP94" s="71">
        <f>IF(B94="","",T94+AG94+AK94+AM94+AU94+AW94)</f>
      </c>
      <c r="CQ94" s="71">
        <f>IF(B94="","",U94+AH94+AL94+AN94+AV94+AX94)</f>
      </c>
      <c r="CR94" s="72">
        <f>IF(B94="","",IF(CP94=0,0,CQ94/CP94-1))</f>
      </c>
      <c r="CS94" s="60">
        <f>IF(B94="","",IF(ENTRADA!$Y94="","",ENTRADA!$Y94-C94))</f>
      </c>
      <c r="CT94" s="66">
        <f>IF(B94="","",IF(ENTRADA!$C94="","Falta fecha. ","")&amp;IF(BP94=0,"Mes fuera del rango de COSTOS_FIJOS. ","")&amp;IF(J94=0,"Sin kg. ","")&amp;IF(E94="","Falta transitaria. ","")&amp;IF(AND(T94&gt;0,U94/T94-1&gt;Tolerancia_Comb),"Combustible al puerto "&amp;TEXT(U94/T94-1,"+0%")&amp;" sobre norma. ","")&amp;IF(AND(AG94&gt;0,AH94/AG94-1&gt;Tolerancia_Comb),"Combustible distribución Occidente "&amp;TEXT(AH94/AG94-1,"+0%")&amp;" sobre norma. ","")&amp;IF(AND(AK94&gt;0,AL94/AK94-1&gt;Tolerancia_Comb),"Combustible traslado Centro "&amp;TEXT(AL94/AK94-1,"+0%")&amp;" sobre norma. ","")&amp;IF(AND(AM94&gt;0,AN94/AM94-1&gt;Tolerancia_Comb),"Combustible distribución Centro "&amp;TEXT(AN94/AM94-1,"+0%")&amp;" sobre norma. ","")&amp;IF(AND(AU94&gt;0,AV94/AU94-1&gt;Tolerancia_Comb),"Combustible traslado Oriente "&amp;TEXT(AV94/AU94-1,"+0%")&amp;" sobre norma. ","")&amp;IF(AND(AW94&gt;0,AX94/AW94-1&gt;Tolerancia_Comb),"Combustible distribución Oriente "&amp;TEXT(AX94/AW94-1,"+0%")&amp;" sobre norma. ","")&amp;IF(AND(ENTRADA!$C94&lt;&gt;"",C94&lt;PRECIOS!$A$6),"Fecha anterior a la 1ª vigencia de precios. ","")&amp;IF(CD94&lt;0,"Contenedor con pérdida. ",""))</f>
      </c>
    </row>
    <row r="95">
      <c r="A95" s="60">
        <f>IF(B95="","",ROW()-5)</f>
      </c>
      <c r="B95" s="63">
        <f>IF(ENTRADA!$B95="","",ENTRADA!$B95)</f>
      </c>
      <c r="C95" s="64">
        <f>IF(B95="","",ENTRADA!$C95)</f>
      </c>
      <c r="D95" s="65">
        <f>IF(B95="","",DATE(YEAR(C95),MONTH(C95),1))</f>
      </c>
      <c r="E95" s="66">
        <f>IF(B95="","",ENTRADA!$D95&amp;"")</f>
      </c>
      <c r="F95" s="66">
        <f>IF(B95="","",ENTRADA!$Z95&amp;"")</f>
      </c>
      <c r="G95" s="67">
        <f>IF(B95="","",N(ENTRADA!$G95))</f>
      </c>
      <c r="H95" s="67">
        <f>IF(B95="","",N(ENTRADA!$H95))</f>
      </c>
      <c r="I95" s="67">
        <f>IF(B95="","",N(ENTRADA!$I95))</f>
      </c>
      <c r="J95" s="68">
        <f>IF(B95="","",G95+H95+I95)</f>
      </c>
      <c r="K95" s="60">
        <f>IF(B95="","",IFERROR(MATCH(SUMPRODUCT(MAX((PRECIOS!$A$6:$A$55&lt;=C95)*PRECIOS!$A$6:$A$55)),PRECIOS!$A$6:$A$55,0),1))</f>
      </c>
      <c r="L95" s="69">
        <f>IF(B95="","",INDEX(PRECIOS!$A$6:$A$55,K95))</f>
      </c>
      <c r="M95" s="37">
        <f>IF(B95="","",G95*INDEX(PRECIOS!$B$6:$B$55,K95))</f>
      </c>
      <c r="N95" s="37">
        <f>IF(B95="","",H95*INDEX(PRECIOS!$C$6:$C$55,K95))</f>
      </c>
      <c r="O95" s="37">
        <f>IF(B95="","",I95*INDEX(PRECIOS!$D$6:$D$55,K95))</f>
      </c>
      <c r="P95" s="37">
        <f>IF(B95="","",N(ENTRADA!$X95))</f>
      </c>
      <c r="Q95" s="70">
        <f>IF(B95="","",M95+N95+O95+P95)</f>
      </c>
      <c r="R95" s="71">
        <f>IF(B95="","",IF(ENTRADA!$J95="",Std_Viajes_Puerto,ENTRADA!$J95))</f>
      </c>
      <c r="S95" s="37">
        <f>IF(B95="","",R95*INDEX(PRECIOS!$F$6:$F$55,K95))</f>
      </c>
      <c r="T95" s="71">
        <f>IF(B95="","",R95*Litros_Puerto_Viaje)</f>
      </c>
      <c r="U95" s="71">
        <f>IF(B95="","",IF(ENTRADA!$K95="",T95,ENTRADA!$K95))</f>
      </c>
      <c r="V95" s="37">
        <f>IF(B95="","",U95*INDEX(PRECIOS!$E$6:$E$55,K95))</f>
      </c>
      <c r="W95" s="37">
        <f>IF(B95="","",IF(ENTRADA!$L95="",R95*INDEX(PRECIOS!$G$6:$G$55,K95),ENTRADA!$L95))</f>
      </c>
      <c r="X95" s="37">
        <f>IF(B95="","",R95*Km_Puerto_Viaje*INDEX(PRECIOS!$N$6:$N$55,K95))</f>
      </c>
      <c r="Y95" s="70">
        <f>IF(B95="","",S95+V95+W95+X95)</f>
      </c>
      <c r="Z95" s="71">
        <f>IF(B95="","",IF(J95=0,0,ROUNDUP(J95/Rend_Desagrupe,0)))</f>
      </c>
      <c r="AA95" s="71">
        <f>IF(B95="","",IF(ENTRADA!$M95="",Z95,ENTRADA!$M95))</f>
      </c>
      <c r="AB95" s="37">
        <f>IF(B95="","",AA95*INDEX(PRECIOS!$H$6:$H$55,K95))</f>
      </c>
      <c r="AC95" s="37">
        <f>IF(B95="","",IF(E95="ENCI",INDEX(PRECIOS!$J$6:$J$55,K95),IF(E95="A.V",INDEX(PRECIOS!$K$6:$K$55,K95),0)))</f>
      </c>
      <c r="AD95" s="37">
        <f>IF(B95="","",N(ENTRADA!$N95))</f>
      </c>
      <c r="AE95" s="70">
        <f>IF(B95="","",AB95+AC95+AD95)</f>
      </c>
      <c r="AF95" s="71">
        <f>IF(B95="","",IF(G95=0,0,ROUNDUP(G95/Cap_Camion_OCC,0)))</f>
      </c>
      <c r="AG95" s="71">
        <f>IF(B95="","",AF95*L_Dist_OCC)</f>
      </c>
      <c r="AH95" s="71">
        <f>IF(B95="","",IF(ENTRADA!$O95="",AG95,ENTRADA!$O95))</f>
      </c>
      <c r="AI95" s="37">
        <f>IF(B95="","",AH95*INDEX(PRECIOS!$E$6:$E$55,K95))</f>
      </c>
      <c r="AJ95" s="71">
        <f>IF(B95="","",IF(H95=0,0,ROUNDUP(H95/Cap_Camion_CEN,0)))</f>
      </c>
      <c r="AK95" s="71">
        <f>IF(B95="","",AJ95*L_Tras_CEN)</f>
      </c>
      <c r="AL95" s="71">
        <f>IF(B95="","",IF(ENTRADA!$P95="",AK95,ENTRADA!$P95))</f>
      </c>
      <c r="AM95" s="71">
        <f>IF(B95="","",AJ95*L_Dist_CEN)</f>
      </c>
      <c r="AN95" s="71">
        <f>IF(B95="","",IF(ENTRADA!$Q95="",AM95,ENTRADA!$Q95))</f>
      </c>
      <c r="AO95" s="37">
        <f>IF(B95="","",(AL95+AN95)*INDEX(PRECIOS!$E$6:$E$55,K95))</f>
      </c>
      <c r="AP95" s="71">
        <f>IF(B95="","",IF(H95=0,0,ROUNDUP(H95/Rend_Desagrupe_CT,0)))</f>
      </c>
      <c r="AQ95" s="71">
        <f>IF(B95="","",IF(ENTRADA!$R95="",AP95,ENTRADA!$R95))</f>
      </c>
      <c r="AR95" s="37">
        <f>IF(B95="","",AQ95*INDEX(PRECIOS!$I$6:$I$55,K95))</f>
      </c>
      <c r="AS95" s="37">
        <f>IF(B95="","",AO95+AR95)</f>
      </c>
      <c r="AT95" s="71">
        <f>IF(B95="","",IF(I95=0,0,ROUNDUP(I95/Cap_Camion_ORI,0)))</f>
      </c>
      <c r="AU95" s="71">
        <f>IF(B95="","",AT95*L_Tras_ORI)</f>
      </c>
      <c r="AV95" s="71">
        <f>IF(B95="","",IF(ENTRADA!$S95="",AU95,ENTRADA!$S95))</f>
      </c>
      <c r="AW95" s="71">
        <f>IF(B95="","",AT95*L_Dist_ORI)</f>
      </c>
      <c r="AX95" s="71">
        <f>IF(B95="","",IF(ENTRADA!$T95="",AW95,ENTRADA!$T95))</f>
      </c>
      <c r="AY95" s="37">
        <f>IF(B95="","",(AV95+AX95)*INDEX(PRECIOS!$E$6:$E$55,K95))</f>
      </c>
      <c r="AZ95" s="71">
        <f>IF(B95="","",IF(I95=0,0,ROUNDUP(I95/Rend_Desagrupe_CT,0)))</f>
      </c>
      <c r="BA95" s="71">
        <f>IF(B95="","",IF(ENTRADA!$U95="",AZ95,ENTRADA!$U95))</f>
      </c>
      <c r="BB95" s="37">
        <f>IF(B95="","",BA95*INDEX(PRECIOS!$I$6:$I$55,K95))</f>
      </c>
      <c r="BC95" s="37">
        <f>IF(B95="","",AY95+BB95)</f>
      </c>
      <c r="BD95" s="70">
        <f>IF(B95="","",AI95+AS95+BC95)</f>
      </c>
      <c r="BE95" s="37">
        <f>IF(B95="","",IF(Base_Comision="% DEL INGRESO",M95*INDEX(PRECIOS!$L$6:$L$55,K95),G95*INDEX(PRECIOS!$M$6:$M$55,K95)))</f>
      </c>
      <c r="BF95" s="37">
        <f>IF(B95="","",IF(Base_Comision="% DEL INGRESO",N95*INDEX(PRECIOS!$L$6:$L$55,K95),H95*INDEX(PRECIOS!$M$6:$M$55,K95)))</f>
      </c>
      <c r="BG95" s="37">
        <f>IF(B95="","",IF(Base_Comision="% DEL INGRESO",O95*INDEX(PRECIOS!$L$6:$L$55,K95),I95*INDEX(PRECIOS!$M$6:$M$55,K95)))</f>
      </c>
      <c r="BH95" s="70">
        <f>IF(B95="","",BE95+BF95+BG95)</f>
      </c>
      <c r="BI95" s="37">
        <f>IF(B95="","",Q95*Pct_Reclamaciones)</f>
      </c>
      <c r="BJ95" s="37">
        <f>IF(B95="","",Q95*Pct_Banco)</f>
      </c>
      <c r="BK95" s="37">
        <f>IF(B95="","",N(ENTRADA!$V95))</f>
      </c>
      <c r="BL95" s="70">
        <f>IF(B95="","",Y95+AE95+BD95+BH95+BI95+BJ95+BK95)</f>
      </c>
      <c r="BM95" s="70">
        <f>IF(B95="","",Q95-BL95)</f>
      </c>
      <c r="BN95" s="72">
        <f>IF(B95="","",IF(Q95=0,0,BM95/Q95))</f>
      </c>
      <c r="BO95" s="73">
        <f>IF(B95="","",IF(J95=0,0,BM95/J95))</f>
      </c>
      <c r="BP95" s="60">
        <f>IF(B95="","",IFERROR(MATCH(D95,COSTOS_FIJOS!$G$5:$AD$5,0),0))</f>
      </c>
      <c r="BQ95" s="60">
        <f>IF(B95="","",COUNTIFS($D$6:$D$305,D95))</f>
      </c>
      <c r="BR95" s="67">
        <f>IF(B95="","",SUMIFS($J$6:$J$305,$D$6:$D$305,D95))</f>
      </c>
      <c r="BS95" s="72">
        <f>IF(B95="","",IF(Metodo_Prorrateo="KG",IF(BR95=0,0,J95/BR95),1/BQ95))</f>
      </c>
      <c r="BT95" s="37">
        <f>IF(B95="","",IF(BP95=0,0,INDEX(COSTOS_FIJOS!$G$38:$AD$38,BP95))*BS95)</f>
      </c>
      <c r="BU95" s="72">
        <f>IF(B95="","",IF(Metodo_Prorrateo="KG",IF(SUMIFS($G$6:$G$305,$D$6:$D$305,D95)=0,0,G95/SUMIFS($G$6:$G$305,$D$6:$D$305,D95)),IF(G95&gt;0,1/COUNTIFS($D$6:$D$305,D95,$G$6:$G$305,"&gt;0"),0)))</f>
      </c>
      <c r="BV95" s="37">
        <f>IF(B95="","",IF(BP95=0,0,INDEX(COSTOS_FIJOS!$G$39:$AD$39,BP95))*BU95)</f>
      </c>
      <c r="BW95" s="72">
        <f>IF(B95="","",IF(Metodo_Prorrateo="KG",IF(SUMIFS($H$6:$H$305,$D$6:$D$305,D95)=0,0,H95/SUMIFS($H$6:$H$305,$D$6:$D$305,D95)),IF(H95&gt;0,1/COUNTIFS($D$6:$D$305,D95,$H$6:$H$305,"&gt;0"),0)))</f>
      </c>
      <c r="BX95" s="37">
        <f>IF(B95="","",IF(BP95=0,0,INDEX(COSTOS_FIJOS!$G$40:$AD$40,BP95))*BW95)</f>
      </c>
      <c r="BY95" s="72">
        <f>IF(B95="","",IF(Metodo_Prorrateo="KG",IF(SUMIFS($I$6:$I$305,$D$6:$D$305,D95)=0,0,I95/SUMIFS($I$6:$I$305,$D$6:$D$305,D95)),IF(I95&gt;0,1/COUNTIFS($D$6:$D$305,D95,$I$6:$I$305,"&gt;0"),0)))</f>
      </c>
      <c r="BZ95" s="37">
        <f>IF(B95="","",IF(BP95=0,0,INDEX(COSTOS_FIJOS!$G$41:$AD$41,BP95))*BY95)</f>
      </c>
      <c r="CA95" s="70">
        <f>IF(B95="","",BT95+BV95+BX95+BZ95)</f>
      </c>
      <c r="CB95" s="37">
        <f>IF(B95="","",Q95*Imp_Ventas_Serv)</f>
      </c>
      <c r="CC95" s="37">
        <f>IF(B95="","",Q95*Contrib_Territorial)</f>
      </c>
      <c r="CD95" s="70">
        <f>IF(B95="","",BM95-CA95-CB95-CC95)</f>
      </c>
      <c r="CE95" s="37">
        <f>IF(B95="","",MAX(0,CD95)*Imp_Utilidades)</f>
      </c>
      <c r="CF95" s="70">
        <f>IF(B95="","",CD95-CE95)</f>
      </c>
      <c r="CG95" s="72">
        <f>IF(B95="","",IF(Q95=0,0,CF95/Q95))</f>
      </c>
      <c r="CH95" s="73">
        <f>IF(B95="","",IF(J95=0,0,(BL95+CA95+CB95+CC95)/J95))</f>
      </c>
      <c r="CI95" s="73">
        <f>IF(B95="","",IF(J95=0,0,Q95/J95))</f>
      </c>
      <c r="CJ95" s="73">
        <f>IF(B95="","",IF(J95=0,0,CD95/J95))</f>
      </c>
      <c r="CK95" s="37">
        <f>IF(B95="","",Y95+AE95+BK95+BT95)</f>
      </c>
      <c r="CL95" s="37">
        <f>IF(B95="","",IF(J95=0,0,(M95+P95*G95/J95)*(1-Pct_Reclamaciones-Pct_Banco-Imp_Ventas_Serv-Contrib_Territorial)-AI95-BE95-BV95-CK95*G95/J95))</f>
      </c>
      <c r="CM95" s="37">
        <f>IF(B95="","",IF(J95=0,0,(N95+P95*H95/J95)*(1-Pct_Reclamaciones-Pct_Banco-Imp_Ventas_Serv-Contrib_Territorial)-AS95-BF95-BX95-CK95*H95/J95))</f>
      </c>
      <c r="CN95" s="37">
        <f>IF(B95="","",IF(J95=0,0,(O95+P95*I95/J95)*(1-Pct_Reclamaciones-Pct_Banco-Imp_Ventas_Serv-Contrib_Territorial)-BC95-BG95-BZ95-CK95*I95/J95))</f>
      </c>
      <c r="CO95" s="37">
        <f>IF(B95="","",IF(J95=0,0,ROUND(CD95-CL95-CM95-CN95,4)))</f>
      </c>
      <c r="CP95" s="71">
        <f>IF(B95="","",T95+AG95+AK95+AM95+AU95+AW95)</f>
      </c>
      <c r="CQ95" s="71">
        <f>IF(B95="","",U95+AH95+AL95+AN95+AV95+AX95)</f>
      </c>
      <c r="CR95" s="72">
        <f>IF(B95="","",IF(CP95=0,0,CQ95/CP95-1))</f>
      </c>
      <c r="CS95" s="60">
        <f>IF(B95="","",IF(ENTRADA!$Y95="","",ENTRADA!$Y95-C95))</f>
      </c>
      <c r="CT95" s="66">
        <f>IF(B95="","",IF(ENTRADA!$C95="","Falta fecha. ","")&amp;IF(BP95=0,"Mes fuera del rango de COSTOS_FIJOS. ","")&amp;IF(J95=0,"Sin kg. ","")&amp;IF(E95="","Falta transitaria. ","")&amp;IF(AND(T95&gt;0,U95/T95-1&gt;Tolerancia_Comb),"Combustible al puerto "&amp;TEXT(U95/T95-1,"+0%")&amp;" sobre norma. ","")&amp;IF(AND(AG95&gt;0,AH95/AG95-1&gt;Tolerancia_Comb),"Combustible distribución Occidente "&amp;TEXT(AH95/AG95-1,"+0%")&amp;" sobre norma. ","")&amp;IF(AND(AK95&gt;0,AL95/AK95-1&gt;Tolerancia_Comb),"Combustible traslado Centro "&amp;TEXT(AL95/AK95-1,"+0%")&amp;" sobre norma. ","")&amp;IF(AND(AM95&gt;0,AN95/AM95-1&gt;Tolerancia_Comb),"Combustible distribución Centro "&amp;TEXT(AN95/AM95-1,"+0%")&amp;" sobre norma. ","")&amp;IF(AND(AU95&gt;0,AV95/AU95-1&gt;Tolerancia_Comb),"Combustible traslado Oriente "&amp;TEXT(AV95/AU95-1,"+0%")&amp;" sobre norma. ","")&amp;IF(AND(AW95&gt;0,AX95/AW95-1&gt;Tolerancia_Comb),"Combustible distribución Oriente "&amp;TEXT(AX95/AW95-1,"+0%")&amp;" sobre norma. ","")&amp;IF(AND(ENTRADA!$C95&lt;&gt;"",C95&lt;PRECIOS!$A$6),"Fecha anterior a la 1ª vigencia de precios. ","")&amp;IF(CD95&lt;0,"Contenedor con pérdida. ",""))</f>
      </c>
    </row>
    <row r="96">
      <c r="A96" s="60">
        <f>IF(B96="","",ROW()-5)</f>
      </c>
      <c r="B96" s="63">
        <f>IF(ENTRADA!$B96="","",ENTRADA!$B96)</f>
      </c>
      <c r="C96" s="64">
        <f>IF(B96="","",ENTRADA!$C96)</f>
      </c>
      <c r="D96" s="65">
        <f>IF(B96="","",DATE(YEAR(C96),MONTH(C96),1))</f>
      </c>
      <c r="E96" s="66">
        <f>IF(B96="","",ENTRADA!$D96&amp;"")</f>
      </c>
      <c r="F96" s="66">
        <f>IF(B96="","",ENTRADA!$Z96&amp;"")</f>
      </c>
      <c r="G96" s="67">
        <f>IF(B96="","",N(ENTRADA!$G96))</f>
      </c>
      <c r="H96" s="67">
        <f>IF(B96="","",N(ENTRADA!$H96))</f>
      </c>
      <c r="I96" s="67">
        <f>IF(B96="","",N(ENTRADA!$I96))</f>
      </c>
      <c r="J96" s="68">
        <f>IF(B96="","",G96+H96+I96)</f>
      </c>
      <c r="K96" s="60">
        <f>IF(B96="","",IFERROR(MATCH(SUMPRODUCT(MAX((PRECIOS!$A$6:$A$55&lt;=C96)*PRECIOS!$A$6:$A$55)),PRECIOS!$A$6:$A$55,0),1))</f>
      </c>
      <c r="L96" s="69">
        <f>IF(B96="","",INDEX(PRECIOS!$A$6:$A$55,K96))</f>
      </c>
      <c r="M96" s="37">
        <f>IF(B96="","",G96*INDEX(PRECIOS!$B$6:$B$55,K96))</f>
      </c>
      <c r="N96" s="37">
        <f>IF(B96="","",H96*INDEX(PRECIOS!$C$6:$C$55,K96))</f>
      </c>
      <c r="O96" s="37">
        <f>IF(B96="","",I96*INDEX(PRECIOS!$D$6:$D$55,K96))</f>
      </c>
      <c r="P96" s="37">
        <f>IF(B96="","",N(ENTRADA!$X96))</f>
      </c>
      <c r="Q96" s="70">
        <f>IF(B96="","",M96+N96+O96+P96)</f>
      </c>
      <c r="R96" s="71">
        <f>IF(B96="","",IF(ENTRADA!$J96="",Std_Viajes_Puerto,ENTRADA!$J96))</f>
      </c>
      <c r="S96" s="37">
        <f>IF(B96="","",R96*INDEX(PRECIOS!$F$6:$F$55,K96))</f>
      </c>
      <c r="T96" s="71">
        <f>IF(B96="","",R96*Litros_Puerto_Viaje)</f>
      </c>
      <c r="U96" s="71">
        <f>IF(B96="","",IF(ENTRADA!$K96="",T96,ENTRADA!$K96))</f>
      </c>
      <c r="V96" s="37">
        <f>IF(B96="","",U96*INDEX(PRECIOS!$E$6:$E$55,K96))</f>
      </c>
      <c r="W96" s="37">
        <f>IF(B96="","",IF(ENTRADA!$L96="",R96*INDEX(PRECIOS!$G$6:$G$55,K96),ENTRADA!$L96))</f>
      </c>
      <c r="X96" s="37">
        <f>IF(B96="","",R96*Km_Puerto_Viaje*INDEX(PRECIOS!$N$6:$N$55,K96))</f>
      </c>
      <c r="Y96" s="70">
        <f>IF(B96="","",S96+V96+W96+X96)</f>
      </c>
      <c r="Z96" s="71">
        <f>IF(B96="","",IF(J96=0,0,ROUNDUP(J96/Rend_Desagrupe,0)))</f>
      </c>
      <c r="AA96" s="71">
        <f>IF(B96="","",IF(ENTRADA!$M96="",Z96,ENTRADA!$M96))</f>
      </c>
      <c r="AB96" s="37">
        <f>IF(B96="","",AA96*INDEX(PRECIOS!$H$6:$H$55,K96))</f>
      </c>
      <c r="AC96" s="37">
        <f>IF(B96="","",IF(E96="ENCI",INDEX(PRECIOS!$J$6:$J$55,K96),IF(E96="A.V",INDEX(PRECIOS!$K$6:$K$55,K96),0)))</f>
      </c>
      <c r="AD96" s="37">
        <f>IF(B96="","",N(ENTRADA!$N96))</f>
      </c>
      <c r="AE96" s="70">
        <f>IF(B96="","",AB96+AC96+AD96)</f>
      </c>
      <c r="AF96" s="71">
        <f>IF(B96="","",IF(G96=0,0,ROUNDUP(G96/Cap_Camion_OCC,0)))</f>
      </c>
      <c r="AG96" s="71">
        <f>IF(B96="","",AF96*L_Dist_OCC)</f>
      </c>
      <c r="AH96" s="71">
        <f>IF(B96="","",IF(ENTRADA!$O96="",AG96,ENTRADA!$O96))</f>
      </c>
      <c r="AI96" s="37">
        <f>IF(B96="","",AH96*INDEX(PRECIOS!$E$6:$E$55,K96))</f>
      </c>
      <c r="AJ96" s="71">
        <f>IF(B96="","",IF(H96=0,0,ROUNDUP(H96/Cap_Camion_CEN,0)))</f>
      </c>
      <c r="AK96" s="71">
        <f>IF(B96="","",AJ96*L_Tras_CEN)</f>
      </c>
      <c r="AL96" s="71">
        <f>IF(B96="","",IF(ENTRADA!$P96="",AK96,ENTRADA!$P96))</f>
      </c>
      <c r="AM96" s="71">
        <f>IF(B96="","",AJ96*L_Dist_CEN)</f>
      </c>
      <c r="AN96" s="71">
        <f>IF(B96="","",IF(ENTRADA!$Q96="",AM96,ENTRADA!$Q96))</f>
      </c>
      <c r="AO96" s="37">
        <f>IF(B96="","",(AL96+AN96)*INDEX(PRECIOS!$E$6:$E$55,K96))</f>
      </c>
      <c r="AP96" s="71">
        <f>IF(B96="","",IF(H96=0,0,ROUNDUP(H96/Rend_Desagrupe_CT,0)))</f>
      </c>
      <c r="AQ96" s="71">
        <f>IF(B96="","",IF(ENTRADA!$R96="",AP96,ENTRADA!$R96))</f>
      </c>
      <c r="AR96" s="37">
        <f>IF(B96="","",AQ96*INDEX(PRECIOS!$I$6:$I$55,K96))</f>
      </c>
      <c r="AS96" s="37">
        <f>IF(B96="","",AO96+AR96)</f>
      </c>
      <c r="AT96" s="71">
        <f>IF(B96="","",IF(I96=0,0,ROUNDUP(I96/Cap_Camion_ORI,0)))</f>
      </c>
      <c r="AU96" s="71">
        <f>IF(B96="","",AT96*L_Tras_ORI)</f>
      </c>
      <c r="AV96" s="71">
        <f>IF(B96="","",IF(ENTRADA!$S96="",AU96,ENTRADA!$S96))</f>
      </c>
      <c r="AW96" s="71">
        <f>IF(B96="","",AT96*L_Dist_ORI)</f>
      </c>
      <c r="AX96" s="71">
        <f>IF(B96="","",IF(ENTRADA!$T96="",AW96,ENTRADA!$T96))</f>
      </c>
      <c r="AY96" s="37">
        <f>IF(B96="","",(AV96+AX96)*INDEX(PRECIOS!$E$6:$E$55,K96))</f>
      </c>
      <c r="AZ96" s="71">
        <f>IF(B96="","",IF(I96=0,0,ROUNDUP(I96/Rend_Desagrupe_CT,0)))</f>
      </c>
      <c r="BA96" s="71">
        <f>IF(B96="","",IF(ENTRADA!$U96="",AZ96,ENTRADA!$U96))</f>
      </c>
      <c r="BB96" s="37">
        <f>IF(B96="","",BA96*INDEX(PRECIOS!$I$6:$I$55,K96))</f>
      </c>
      <c r="BC96" s="37">
        <f>IF(B96="","",AY96+BB96)</f>
      </c>
      <c r="BD96" s="70">
        <f>IF(B96="","",AI96+AS96+BC96)</f>
      </c>
      <c r="BE96" s="37">
        <f>IF(B96="","",IF(Base_Comision="% DEL INGRESO",M96*INDEX(PRECIOS!$L$6:$L$55,K96),G96*INDEX(PRECIOS!$M$6:$M$55,K96)))</f>
      </c>
      <c r="BF96" s="37">
        <f>IF(B96="","",IF(Base_Comision="% DEL INGRESO",N96*INDEX(PRECIOS!$L$6:$L$55,K96),H96*INDEX(PRECIOS!$M$6:$M$55,K96)))</f>
      </c>
      <c r="BG96" s="37">
        <f>IF(B96="","",IF(Base_Comision="% DEL INGRESO",O96*INDEX(PRECIOS!$L$6:$L$55,K96),I96*INDEX(PRECIOS!$M$6:$M$55,K96)))</f>
      </c>
      <c r="BH96" s="70">
        <f>IF(B96="","",BE96+BF96+BG96)</f>
      </c>
      <c r="BI96" s="37">
        <f>IF(B96="","",Q96*Pct_Reclamaciones)</f>
      </c>
      <c r="BJ96" s="37">
        <f>IF(B96="","",Q96*Pct_Banco)</f>
      </c>
      <c r="BK96" s="37">
        <f>IF(B96="","",N(ENTRADA!$V96))</f>
      </c>
      <c r="BL96" s="70">
        <f>IF(B96="","",Y96+AE96+BD96+BH96+BI96+BJ96+BK96)</f>
      </c>
      <c r="BM96" s="70">
        <f>IF(B96="","",Q96-BL96)</f>
      </c>
      <c r="BN96" s="72">
        <f>IF(B96="","",IF(Q96=0,0,BM96/Q96))</f>
      </c>
      <c r="BO96" s="73">
        <f>IF(B96="","",IF(J96=0,0,BM96/J96))</f>
      </c>
      <c r="BP96" s="60">
        <f>IF(B96="","",IFERROR(MATCH(D96,COSTOS_FIJOS!$G$5:$AD$5,0),0))</f>
      </c>
      <c r="BQ96" s="60">
        <f>IF(B96="","",COUNTIFS($D$6:$D$305,D96))</f>
      </c>
      <c r="BR96" s="67">
        <f>IF(B96="","",SUMIFS($J$6:$J$305,$D$6:$D$305,D96))</f>
      </c>
      <c r="BS96" s="72">
        <f>IF(B96="","",IF(Metodo_Prorrateo="KG",IF(BR96=0,0,J96/BR96),1/BQ96))</f>
      </c>
      <c r="BT96" s="37">
        <f>IF(B96="","",IF(BP96=0,0,INDEX(COSTOS_FIJOS!$G$38:$AD$38,BP96))*BS96)</f>
      </c>
      <c r="BU96" s="72">
        <f>IF(B96="","",IF(Metodo_Prorrateo="KG",IF(SUMIFS($G$6:$G$305,$D$6:$D$305,D96)=0,0,G96/SUMIFS($G$6:$G$305,$D$6:$D$305,D96)),IF(G96&gt;0,1/COUNTIFS($D$6:$D$305,D96,$G$6:$G$305,"&gt;0"),0)))</f>
      </c>
      <c r="BV96" s="37">
        <f>IF(B96="","",IF(BP96=0,0,INDEX(COSTOS_FIJOS!$G$39:$AD$39,BP96))*BU96)</f>
      </c>
      <c r="BW96" s="72">
        <f>IF(B96="","",IF(Metodo_Prorrateo="KG",IF(SUMIFS($H$6:$H$305,$D$6:$D$305,D96)=0,0,H96/SUMIFS($H$6:$H$305,$D$6:$D$305,D96)),IF(H96&gt;0,1/COUNTIFS($D$6:$D$305,D96,$H$6:$H$305,"&gt;0"),0)))</f>
      </c>
      <c r="BX96" s="37">
        <f>IF(B96="","",IF(BP96=0,0,INDEX(COSTOS_FIJOS!$G$40:$AD$40,BP96))*BW96)</f>
      </c>
      <c r="BY96" s="72">
        <f>IF(B96="","",IF(Metodo_Prorrateo="KG",IF(SUMIFS($I$6:$I$305,$D$6:$D$305,D96)=0,0,I96/SUMIFS($I$6:$I$305,$D$6:$D$305,D96)),IF(I96&gt;0,1/COUNTIFS($D$6:$D$305,D96,$I$6:$I$305,"&gt;0"),0)))</f>
      </c>
      <c r="BZ96" s="37">
        <f>IF(B96="","",IF(BP96=0,0,INDEX(COSTOS_FIJOS!$G$41:$AD$41,BP96))*BY96)</f>
      </c>
      <c r="CA96" s="70">
        <f>IF(B96="","",BT96+BV96+BX96+BZ96)</f>
      </c>
      <c r="CB96" s="37">
        <f>IF(B96="","",Q96*Imp_Ventas_Serv)</f>
      </c>
      <c r="CC96" s="37">
        <f>IF(B96="","",Q96*Contrib_Territorial)</f>
      </c>
      <c r="CD96" s="70">
        <f>IF(B96="","",BM96-CA96-CB96-CC96)</f>
      </c>
      <c r="CE96" s="37">
        <f>IF(B96="","",MAX(0,CD96)*Imp_Utilidades)</f>
      </c>
      <c r="CF96" s="70">
        <f>IF(B96="","",CD96-CE96)</f>
      </c>
      <c r="CG96" s="72">
        <f>IF(B96="","",IF(Q96=0,0,CF96/Q96))</f>
      </c>
      <c r="CH96" s="73">
        <f>IF(B96="","",IF(J96=0,0,(BL96+CA96+CB96+CC96)/J96))</f>
      </c>
      <c r="CI96" s="73">
        <f>IF(B96="","",IF(J96=0,0,Q96/J96))</f>
      </c>
      <c r="CJ96" s="73">
        <f>IF(B96="","",IF(J96=0,0,CD96/J96))</f>
      </c>
      <c r="CK96" s="37">
        <f>IF(B96="","",Y96+AE96+BK96+BT96)</f>
      </c>
      <c r="CL96" s="37">
        <f>IF(B96="","",IF(J96=0,0,(M96+P96*G96/J96)*(1-Pct_Reclamaciones-Pct_Banco-Imp_Ventas_Serv-Contrib_Territorial)-AI96-BE96-BV96-CK96*G96/J96))</f>
      </c>
      <c r="CM96" s="37">
        <f>IF(B96="","",IF(J96=0,0,(N96+P96*H96/J96)*(1-Pct_Reclamaciones-Pct_Banco-Imp_Ventas_Serv-Contrib_Territorial)-AS96-BF96-BX96-CK96*H96/J96))</f>
      </c>
      <c r="CN96" s="37">
        <f>IF(B96="","",IF(J96=0,0,(O96+P96*I96/J96)*(1-Pct_Reclamaciones-Pct_Banco-Imp_Ventas_Serv-Contrib_Territorial)-BC96-BG96-BZ96-CK96*I96/J96))</f>
      </c>
      <c r="CO96" s="37">
        <f>IF(B96="","",IF(J96=0,0,ROUND(CD96-CL96-CM96-CN96,4)))</f>
      </c>
      <c r="CP96" s="71">
        <f>IF(B96="","",T96+AG96+AK96+AM96+AU96+AW96)</f>
      </c>
      <c r="CQ96" s="71">
        <f>IF(B96="","",U96+AH96+AL96+AN96+AV96+AX96)</f>
      </c>
      <c r="CR96" s="72">
        <f>IF(B96="","",IF(CP96=0,0,CQ96/CP96-1))</f>
      </c>
      <c r="CS96" s="60">
        <f>IF(B96="","",IF(ENTRADA!$Y96="","",ENTRADA!$Y96-C96))</f>
      </c>
      <c r="CT96" s="66">
        <f>IF(B96="","",IF(ENTRADA!$C96="","Falta fecha. ","")&amp;IF(BP96=0,"Mes fuera del rango de COSTOS_FIJOS. ","")&amp;IF(J96=0,"Sin kg. ","")&amp;IF(E96="","Falta transitaria. ","")&amp;IF(AND(T96&gt;0,U96/T96-1&gt;Tolerancia_Comb),"Combustible al puerto "&amp;TEXT(U96/T96-1,"+0%")&amp;" sobre norma. ","")&amp;IF(AND(AG96&gt;0,AH96/AG96-1&gt;Tolerancia_Comb),"Combustible distribución Occidente "&amp;TEXT(AH96/AG96-1,"+0%")&amp;" sobre norma. ","")&amp;IF(AND(AK96&gt;0,AL96/AK96-1&gt;Tolerancia_Comb),"Combustible traslado Centro "&amp;TEXT(AL96/AK96-1,"+0%")&amp;" sobre norma. ","")&amp;IF(AND(AM96&gt;0,AN96/AM96-1&gt;Tolerancia_Comb),"Combustible distribución Centro "&amp;TEXT(AN96/AM96-1,"+0%")&amp;" sobre norma. ","")&amp;IF(AND(AU96&gt;0,AV96/AU96-1&gt;Tolerancia_Comb),"Combustible traslado Oriente "&amp;TEXT(AV96/AU96-1,"+0%")&amp;" sobre norma. ","")&amp;IF(AND(AW96&gt;0,AX96/AW96-1&gt;Tolerancia_Comb),"Combustible distribución Oriente "&amp;TEXT(AX96/AW96-1,"+0%")&amp;" sobre norma. ","")&amp;IF(AND(ENTRADA!$C96&lt;&gt;"",C96&lt;PRECIOS!$A$6),"Fecha anterior a la 1ª vigencia de precios. ","")&amp;IF(CD96&lt;0,"Contenedor con pérdida. ",""))</f>
      </c>
    </row>
    <row r="97">
      <c r="A97" s="60">
        <f>IF(B97="","",ROW()-5)</f>
      </c>
      <c r="B97" s="63">
        <f>IF(ENTRADA!$B97="","",ENTRADA!$B97)</f>
      </c>
      <c r="C97" s="64">
        <f>IF(B97="","",ENTRADA!$C97)</f>
      </c>
      <c r="D97" s="65">
        <f>IF(B97="","",DATE(YEAR(C97),MONTH(C97),1))</f>
      </c>
      <c r="E97" s="66">
        <f>IF(B97="","",ENTRADA!$D97&amp;"")</f>
      </c>
      <c r="F97" s="66">
        <f>IF(B97="","",ENTRADA!$Z97&amp;"")</f>
      </c>
      <c r="G97" s="67">
        <f>IF(B97="","",N(ENTRADA!$G97))</f>
      </c>
      <c r="H97" s="67">
        <f>IF(B97="","",N(ENTRADA!$H97))</f>
      </c>
      <c r="I97" s="67">
        <f>IF(B97="","",N(ENTRADA!$I97))</f>
      </c>
      <c r="J97" s="68">
        <f>IF(B97="","",G97+H97+I97)</f>
      </c>
      <c r="K97" s="60">
        <f>IF(B97="","",IFERROR(MATCH(SUMPRODUCT(MAX((PRECIOS!$A$6:$A$55&lt;=C97)*PRECIOS!$A$6:$A$55)),PRECIOS!$A$6:$A$55,0),1))</f>
      </c>
      <c r="L97" s="69">
        <f>IF(B97="","",INDEX(PRECIOS!$A$6:$A$55,K97))</f>
      </c>
      <c r="M97" s="37">
        <f>IF(B97="","",G97*INDEX(PRECIOS!$B$6:$B$55,K97))</f>
      </c>
      <c r="N97" s="37">
        <f>IF(B97="","",H97*INDEX(PRECIOS!$C$6:$C$55,K97))</f>
      </c>
      <c r="O97" s="37">
        <f>IF(B97="","",I97*INDEX(PRECIOS!$D$6:$D$55,K97))</f>
      </c>
      <c r="P97" s="37">
        <f>IF(B97="","",N(ENTRADA!$X97))</f>
      </c>
      <c r="Q97" s="70">
        <f>IF(B97="","",M97+N97+O97+P97)</f>
      </c>
      <c r="R97" s="71">
        <f>IF(B97="","",IF(ENTRADA!$J97="",Std_Viajes_Puerto,ENTRADA!$J97))</f>
      </c>
      <c r="S97" s="37">
        <f>IF(B97="","",R97*INDEX(PRECIOS!$F$6:$F$55,K97))</f>
      </c>
      <c r="T97" s="71">
        <f>IF(B97="","",R97*Litros_Puerto_Viaje)</f>
      </c>
      <c r="U97" s="71">
        <f>IF(B97="","",IF(ENTRADA!$K97="",T97,ENTRADA!$K97))</f>
      </c>
      <c r="V97" s="37">
        <f>IF(B97="","",U97*INDEX(PRECIOS!$E$6:$E$55,K97))</f>
      </c>
      <c r="W97" s="37">
        <f>IF(B97="","",IF(ENTRADA!$L97="",R97*INDEX(PRECIOS!$G$6:$G$55,K97),ENTRADA!$L97))</f>
      </c>
      <c r="X97" s="37">
        <f>IF(B97="","",R97*Km_Puerto_Viaje*INDEX(PRECIOS!$N$6:$N$55,K97))</f>
      </c>
      <c r="Y97" s="70">
        <f>IF(B97="","",S97+V97+W97+X97)</f>
      </c>
      <c r="Z97" s="71">
        <f>IF(B97="","",IF(J97=0,0,ROUNDUP(J97/Rend_Desagrupe,0)))</f>
      </c>
      <c r="AA97" s="71">
        <f>IF(B97="","",IF(ENTRADA!$M97="",Z97,ENTRADA!$M97))</f>
      </c>
      <c r="AB97" s="37">
        <f>IF(B97="","",AA97*INDEX(PRECIOS!$H$6:$H$55,K97))</f>
      </c>
      <c r="AC97" s="37">
        <f>IF(B97="","",IF(E97="ENCI",INDEX(PRECIOS!$J$6:$J$55,K97),IF(E97="A.V",INDEX(PRECIOS!$K$6:$K$55,K97),0)))</f>
      </c>
      <c r="AD97" s="37">
        <f>IF(B97="","",N(ENTRADA!$N97))</f>
      </c>
      <c r="AE97" s="70">
        <f>IF(B97="","",AB97+AC97+AD97)</f>
      </c>
      <c r="AF97" s="71">
        <f>IF(B97="","",IF(G97=0,0,ROUNDUP(G97/Cap_Camion_OCC,0)))</f>
      </c>
      <c r="AG97" s="71">
        <f>IF(B97="","",AF97*L_Dist_OCC)</f>
      </c>
      <c r="AH97" s="71">
        <f>IF(B97="","",IF(ENTRADA!$O97="",AG97,ENTRADA!$O97))</f>
      </c>
      <c r="AI97" s="37">
        <f>IF(B97="","",AH97*INDEX(PRECIOS!$E$6:$E$55,K97))</f>
      </c>
      <c r="AJ97" s="71">
        <f>IF(B97="","",IF(H97=0,0,ROUNDUP(H97/Cap_Camion_CEN,0)))</f>
      </c>
      <c r="AK97" s="71">
        <f>IF(B97="","",AJ97*L_Tras_CEN)</f>
      </c>
      <c r="AL97" s="71">
        <f>IF(B97="","",IF(ENTRADA!$P97="",AK97,ENTRADA!$P97))</f>
      </c>
      <c r="AM97" s="71">
        <f>IF(B97="","",AJ97*L_Dist_CEN)</f>
      </c>
      <c r="AN97" s="71">
        <f>IF(B97="","",IF(ENTRADA!$Q97="",AM97,ENTRADA!$Q97))</f>
      </c>
      <c r="AO97" s="37">
        <f>IF(B97="","",(AL97+AN97)*INDEX(PRECIOS!$E$6:$E$55,K97))</f>
      </c>
      <c r="AP97" s="71">
        <f>IF(B97="","",IF(H97=0,0,ROUNDUP(H97/Rend_Desagrupe_CT,0)))</f>
      </c>
      <c r="AQ97" s="71">
        <f>IF(B97="","",IF(ENTRADA!$R97="",AP97,ENTRADA!$R97))</f>
      </c>
      <c r="AR97" s="37">
        <f>IF(B97="","",AQ97*INDEX(PRECIOS!$I$6:$I$55,K97))</f>
      </c>
      <c r="AS97" s="37">
        <f>IF(B97="","",AO97+AR97)</f>
      </c>
      <c r="AT97" s="71">
        <f>IF(B97="","",IF(I97=0,0,ROUNDUP(I97/Cap_Camion_ORI,0)))</f>
      </c>
      <c r="AU97" s="71">
        <f>IF(B97="","",AT97*L_Tras_ORI)</f>
      </c>
      <c r="AV97" s="71">
        <f>IF(B97="","",IF(ENTRADA!$S97="",AU97,ENTRADA!$S97))</f>
      </c>
      <c r="AW97" s="71">
        <f>IF(B97="","",AT97*L_Dist_ORI)</f>
      </c>
      <c r="AX97" s="71">
        <f>IF(B97="","",IF(ENTRADA!$T97="",AW97,ENTRADA!$T97))</f>
      </c>
      <c r="AY97" s="37">
        <f>IF(B97="","",(AV97+AX97)*INDEX(PRECIOS!$E$6:$E$55,K97))</f>
      </c>
      <c r="AZ97" s="71">
        <f>IF(B97="","",IF(I97=0,0,ROUNDUP(I97/Rend_Desagrupe_CT,0)))</f>
      </c>
      <c r="BA97" s="71">
        <f>IF(B97="","",IF(ENTRADA!$U97="",AZ97,ENTRADA!$U97))</f>
      </c>
      <c r="BB97" s="37">
        <f>IF(B97="","",BA97*INDEX(PRECIOS!$I$6:$I$55,K97))</f>
      </c>
      <c r="BC97" s="37">
        <f>IF(B97="","",AY97+BB97)</f>
      </c>
      <c r="BD97" s="70">
        <f>IF(B97="","",AI97+AS97+BC97)</f>
      </c>
      <c r="BE97" s="37">
        <f>IF(B97="","",IF(Base_Comision="% DEL INGRESO",M97*INDEX(PRECIOS!$L$6:$L$55,K97),G97*INDEX(PRECIOS!$M$6:$M$55,K97)))</f>
      </c>
      <c r="BF97" s="37">
        <f>IF(B97="","",IF(Base_Comision="% DEL INGRESO",N97*INDEX(PRECIOS!$L$6:$L$55,K97),H97*INDEX(PRECIOS!$M$6:$M$55,K97)))</f>
      </c>
      <c r="BG97" s="37">
        <f>IF(B97="","",IF(Base_Comision="% DEL INGRESO",O97*INDEX(PRECIOS!$L$6:$L$55,K97),I97*INDEX(PRECIOS!$M$6:$M$55,K97)))</f>
      </c>
      <c r="BH97" s="70">
        <f>IF(B97="","",BE97+BF97+BG97)</f>
      </c>
      <c r="BI97" s="37">
        <f>IF(B97="","",Q97*Pct_Reclamaciones)</f>
      </c>
      <c r="BJ97" s="37">
        <f>IF(B97="","",Q97*Pct_Banco)</f>
      </c>
      <c r="BK97" s="37">
        <f>IF(B97="","",N(ENTRADA!$V97))</f>
      </c>
      <c r="BL97" s="70">
        <f>IF(B97="","",Y97+AE97+BD97+BH97+BI97+BJ97+BK97)</f>
      </c>
      <c r="BM97" s="70">
        <f>IF(B97="","",Q97-BL97)</f>
      </c>
      <c r="BN97" s="72">
        <f>IF(B97="","",IF(Q97=0,0,BM97/Q97))</f>
      </c>
      <c r="BO97" s="73">
        <f>IF(B97="","",IF(J97=0,0,BM97/J97))</f>
      </c>
      <c r="BP97" s="60">
        <f>IF(B97="","",IFERROR(MATCH(D97,COSTOS_FIJOS!$G$5:$AD$5,0),0))</f>
      </c>
      <c r="BQ97" s="60">
        <f>IF(B97="","",COUNTIFS($D$6:$D$305,D97))</f>
      </c>
      <c r="BR97" s="67">
        <f>IF(B97="","",SUMIFS($J$6:$J$305,$D$6:$D$305,D97))</f>
      </c>
      <c r="BS97" s="72">
        <f>IF(B97="","",IF(Metodo_Prorrateo="KG",IF(BR97=0,0,J97/BR97),1/BQ97))</f>
      </c>
      <c r="BT97" s="37">
        <f>IF(B97="","",IF(BP97=0,0,INDEX(COSTOS_FIJOS!$G$38:$AD$38,BP97))*BS97)</f>
      </c>
      <c r="BU97" s="72">
        <f>IF(B97="","",IF(Metodo_Prorrateo="KG",IF(SUMIFS($G$6:$G$305,$D$6:$D$305,D97)=0,0,G97/SUMIFS($G$6:$G$305,$D$6:$D$305,D97)),IF(G97&gt;0,1/COUNTIFS($D$6:$D$305,D97,$G$6:$G$305,"&gt;0"),0)))</f>
      </c>
      <c r="BV97" s="37">
        <f>IF(B97="","",IF(BP97=0,0,INDEX(COSTOS_FIJOS!$G$39:$AD$39,BP97))*BU97)</f>
      </c>
      <c r="BW97" s="72">
        <f>IF(B97="","",IF(Metodo_Prorrateo="KG",IF(SUMIFS($H$6:$H$305,$D$6:$D$305,D97)=0,0,H97/SUMIFS($H$6:$H$305,$D$6:$D$305,D97)),IF(H97&gt;0,1/COUNTIFS($D$6:$D$305,D97,$H$6:$H$305,"&gt;0"),0)))</f>
      </c>
      <c r="BX97" s="37">
        <f>IF(B97="","",IF(BP97=0,0,INDEX(COSTOS_FIJOS!$G$40:$AD$40,BP97))*BW97)</f>
      </c>
      <c r="BY97" s="72">
        <f>IF(B97="","",IF(Metodo_Prorrateo="KG",IF(SUMIFS($I$6:$I$305,$D$6:$D$305,D97)=0,0,I97/SUMIFS($I$6:$I$305,$D$6:$D$305,D97)),IF(I97&gt;0,1/COUNTIFS($D$6:$D$305,D97,$I$6:$I$305,"&gt;0"),0)))</f>
      </c>
      <c r="BZ97" s="37">
        <f>IF(B97="","",IF(BP97=0,0,INDEX(COSTOS_FIJOS!$G$41:$AD$41,BP97))*BY97)</f>
      </c>
      <c r="CA97" s="70">
        <f>IF(B97="","",BT97+BV97+BX97+BZ97)</f>
      </c>
      <c r="CB97" s="37">
        <f>IF(B97="","",Q97*Imp_Ventas_Serv)</f>
      </c>
      <c r="CC97" s="37">
        <f>IF(B97="","",Q97*Contrib_Territorial)</f>
      </c>
      <c r="CD97" s="70">
        <f>IF(B97="","",BM97-CA97-CB97-CC97)</f>
      </c>
      <c r="CE97" s="37">
        <f>IF(B97="","",MAX(0,CD97)*Imp_Utilidades)</f>
      </c>
      <c r="CF97" s="70">
        <f>IF(B97="","",CD97-CE97)</f>
      </c>
      <c r="CG97" s="72">
        <f>IF(B97="","",IF(Q97=0,0,CF97/Q97))</f>
      </c>
      <c r="CH97" s="73">
        <f>IF(B97="","",IF(J97=0,0,(BL97+CA97+CB97+CC97)/J97))</f>
      </c>
      <c r="CI97" s="73">
        <f>IF(B97="","",IF(J97=0,0,Q97/J97))</f>
      </c>
      <c r="CJ97" s="73">
        <f>IF(B97="","",IF(J97=0,0,CD97/J97))</f>
      </c>
      <c r="CK97" s="37">
        <f>IF(B97="","",Y97+AE97+BK97+BT97)</f>
      </c>
      <c r="CL97" s="37">
        <f>IF(B97="","",IF(J97=0,0,(M97+P97*G97/J97)*(1-Pct_Reclamaciones-Pct_Banco-Imp_Ventas_Serv-Contrib_Territorial)-AI97-BE97-BV97-CK97*G97/J97))</f>
      </c>
      <c r="CM97" s="37">
        <f>IF(B97="","",IF(J97=0,0,(N97+P97*H97/J97)*(1-Pct_Reclamaciones-Pct_Banco-Imp_Ventas_Serv-Contrib_Territorial)-AS97-BF97-BX97-CK97*H97/J97))</f>
      </c>
      <c r="CN97" s="37">
        <f>IF(B97="","",IF(J97=0,0,(O97+P97*I97/J97)*(1-Pct_Reclamaciones-Pct_Banco-Imp_Ventas_Serv-Contrib_Territorial)-BC97-BG97-BZ97-CK97*I97/J97))</f>
      </c>
      <c r="CO97" s="37">
        <f>IF(B97="","",IF(J97=0,0,ROUND(CD97-CL97-CM97-CN97,4)))</f>
      </c>
      <c r="CP97" s="71">
        <f>IF(B97="","",T97+AG97+AK97+AM97+AU97+AW97)</f>
      </c>
      <c r="CQ97" s="71">
        <f>IF(B97="","",U97+AH97+AL97+AN97+AV97+AX97)</f>
      </c>
      <c r="CR97" s="72">
        <f>IF(B97="","",IF(CP97=0,0,CQ97/CP97-1))</f>
      </c>
      <c r="CS97" s="60">
        <f>IF(B97="","",IF(ENTRADA!$Y97="","",ENTRADA!$Y97-C97))</f>
      </c>
      <c r="CT97" s="66">
        <f>IF(B97="","",IF(ENTRADA!$C97="","Falta fecha. ","")&amp;IF(BP97=0,"Mes fuera del rango de COSTOS_FIJOS. ","")&amp;IF(J97=0,"Sin kg. ","")&amp;IF(E97="","Falta transitaria. ","")&amp;IF(AND(T97&gt;0,U97/T97-1&gt;Tolerancia_Comb),"Combustible al puerto "&amp;TEXT(U97/T97-1,"+0%")&amp;" sobre norma. ","")&amp;IF(AND(AG97&gt;0,AH97/AG97-1&gt;Tolerancia_Comb),"Combustible distribución Occidente "&amp;TEXT(AH97/AG97-1,"+0%")&amp;" sobre norma. ","")&amp;IF(AND(AK97&gt;0,AL97/AK97-1&gt;Tolerancia_Comb),"Combustible traslado Centro "&amp;TEXT(AL97/AK97-1,"+0%")&amp;" sobre norma. ","")&amp;IF(AND(AM97&gt;0,AN97/AM97-1&gt;Tolerancia_Comb),"Combustible distribución Centro "&amp;TEXT(AN97/AM97-1,"+0%")&amp;" sobre norma. ","")&amp;IF(AND(AU97&gt;0,AV97/AU97-1&gt;Tolerancia_Comb),"Combustible traslado Oriente "&amp;TEXT(AV97/AU97-1,"+0%")&amp;" sobre norma. ","")&amp;IF(AND(AW97&gt;0,AX97/AW97-1&gt;Tolerancia_Comb),"Combustible distribución Oriente "&amp;TEXT(AX97/AW97-1,"+0%")&amp;" sobre norma. ","")&amp;IF(AND(ENTRADA!$C97&lt;&gt;"",C97&lt;PRECIOS!$A$6),"Fecha anterior a la 1ª vigencia de precios. ","")&amp;IF(CD97&lt;0,"Contenedor con pérdida. ",""))</f>
      </c>
    </row>
    <row r="98">
      <c r="A98" s="60">
        <f>IF(B98="","",ROW()-5)</f>
      </c>
      <c r="B98" s="63">
        <f>IF(ENTRADA!$B98="","",ENTRADA!$B98)</f>
      </c>
      <c r="C98" s="64">
        <f>IF(B98="","",ENTRADA!$C98)</f>
      </c>
      <c r="D98" s="65">
        <f>IF(B98="","",DATE(YEAR(C98),MONTH(C98),1))</f>
      </c>
      <c r="E98" s="66">
        <f>IF(B98="","",ENTRADA!$D98&amp;"")</f>
      </c>
      <c r="F98" s="66">
        <f>IF(B98="","",ENTRADA!$Z98&amp;"")</f>
      </c>
      <c r="G98" s="67">
        <f>IF(B98="","",N(ENTRADA!$G98))</f>
      </c>
      <c r="H98" s="67">
        <f>IF(B98="","",N(ENTRADA!$H98))</f>
      </c>
      <c r="I98" s="67">
        <f>IF(B98="","",N(ENTRADA!$I98))</f>
      </c>
      <c r="J98" s="68">
        <f>IF(B98="","",G98+H98+I98)</f>
      </c>
      <c r="K98" s="60">
        <f>IF(B98="","",IFERROR(MATCH(SUMPRODUCT(MAX((PRECIOS!$A$6:$A$55&lt;=C98)*PRECIOS!$A$6:$A$55)),PRECIOS!$A$6:$A$55,0),1))</f>
      </c>
      <c r="L98" s="69">
        <f>IF(B98="","",INDEX(PRECIOS!$A$6:$A$55,K98))</f>
      </c>
      <c r="M98" s="37">
        <f>IF(B98="","",G98*INDEX(PRECIOS!$B$6:$B$55,K98))</f>
      </c>
      <c r="N98" s="37">
        <f>IF(B98="","",H98*INDEX(PRECIOS!$C$6:$C$55,K98))</f>
      </c>
      <c r="O98" s="37">
        <f>IF(B98="","",I98*INDEX(PRECIOS!$D$6:$D$55,K98))</f>
      </c>
      <c r="P98" s="37">
        <f>IF(B98="","",N(ENTRADA!$X98))</f>
      </c>
      <c r="Q98" s="70">
        <f>IF(B98="","",M98+N98+O98+P98)</f>
      </c>
      <c r="R98" s="71">
        <f>IF(B98="","",IF(ENTRADA!$J98="",Std_Viajes_Puerto,ENTRADA!$J98))</f>
      </c>
      <c r="S98" s="37">
        <f>IF(B98="","",R98*INDEX(PRECIOS!$F$6:$F$55,K98))</f>
      </c>
      <c r="T98" s="71">
        <f>IF(B98="","",R98*Litros_Puerto_Viaje)</f>
      </c>
      <c r="U98" s="71">
        <f>IF(B98="","",IF(ENTRADA!$K98="",T98,ENTRADA!$K98))</f>
      </c>
      <c r="V98" s="37">
        <f>IF(B98="","",U98*INDEX(PRECIOS!$E$6:$E$55,K98))</f>
      </c>
      <c r="W98" s="37">
        <f>IF(B98="","",IF(ENTRADA!$L98="",R98*INDEX(PRECIOS!$G$6:$G$55,K98),ENTRADA!$L98))</f>
      </c>
      <c r="X98" s="37">
        <f>IF(B98="","",R98*Km_Puerto_Viaje*INDEX(PRECIOS!$N$6:$N$55,K98))</f>
      </c>
      <c r="Y98" s="70">
        <f>IF(B98="","",S98+V98+W98+X98)</f>
      </c>
      <c r="Z98" s="71">
        <f>IF(B98="","",IF(J98=0,0,ROUNDUP(J98/Rend_Desagrupe,0)))</f>
      </c>
      <c r="AA98" s="71">
        <f>IF(B98="","",IF(ENTRADA!$M98="",Z98,ENTRADA!$M98))</f>
      </c>
      <c r="AB98" s="37">
        <f>IF(B98="","",AA98*INDEX(PRECIOS!$H$6:$H$55,K98))</f>
      </c>
      <c r="AC98" s="37">
        <f>IF(B98="","",IF(E98="ENCI",INDEX(PRECIOS!$J$6:$J$55,K98),IF(E98="A.V",INDEX(PRECIOS!$K$6:$K$55,K98),0)))</f>
      </c>
      <c r="AD98" s="37">
        <f>IF(B98="","",N(ENTRADA!$N98))</f>
      </c>
      <c r="AE98" s="70">
        <f>IF(B98="","",AB98+AC98+AD98)</f>
      </c>
      <c r="AF98" s="71">
        <f>IF(B98="","",IF(G98=0,0,ROUNDUP(G98/Cap_Camion_OCC,0)))</f>
      </c>
      <c r="AG98" s="71">
        <f>IF(B98="","",AF98*L_Dist_OCC)</f>
      </c>
      <c r="AH98" s="71">
        <f>IF(B98="","",IF(ENTRADA!$O98="",AG98,ENTRADA!$O98))</f>
      </c>
      <c r="AI98" s="37">
        <f>IF(B98="","",AH98*INDEX(PRECIOS!$E$6:$E$55,K98))</f>
      </c>
      <c r="AJ98" s="71">
        <f>IF(B98="","",IF(H98=0,0,ROUNDUP(H98/Cap_Camion_CEN,0)))</f>
      </c>
      <c r="AK98" s="71">
        <f>IF(B98="","",AJ98*L_Tras_CEN)</f>
      </c>
      <c r="AL98" s="71">
        <f>IF(B98="","",IF(ENTRADA!$P98="",AK98,ENTRADA!$P98))</f>
      </c>
      <c r="AM98" s="71">
        <f>IF(B98="","",AJ98*L_Dist_CEN)</f>
      </c>
      <c r="AN98" s="71">
        <f>IF(B98="","",IF(ENTRADA!$Q98="",AM98,ENTRADA!$Q98))</f>
      </c>
      <c r="AO98" s="37">
        <f>IF(B98="","",(AL98+AN98)*INDEX(PRECIOS!$E$6:$E$55,K98))</f>
      </c>
      <c r="AP98" s="71">
        <f>IF(B98="","",IF(H98=0,0,ROUNDUP(H98/Rend_Desagrupe_CT,0)))</f>
      </c>
      <c r="AQ98" s="71">
        <f>IF(B98="","",IF(ENTRADA!$R98="",AP98,ENTRADA!$R98))</f>
      </c>
      <c r="AR98" s="37">
        <f>IF(B98="","",AQ98*INDEX(PRECIOS!$I$6:$I$55,K98))</f>
      </c>
      <c r="AS98" s="37">
        <f>IF(B98="","",AO98+AR98)</f>
      </c>
      <c r="AT98" s="71">
        <f>IF(B98="","",IF(I98=0,0,ROUNDUP(I98/Cap_Camion_ORI,0)))</f>
      </c>
      <c r="AU98" s="71">
        <f>IF(B98="","",AT98*L_Tras_ORI)</f>
      </c>
      <c r="AV98" s="71">
        <f>IF(B98="","",IF(ENTRADA!$S98="",AU98,ENTRADA!$S98))</f>
      </c>
      <c r="AW98" s="71">
        <f>IF(B98="","",AT98*L_Dist_ORI)</f>
      </c>
      <c r="AX98" s="71">
        <f>IF(B98="","",IF(ENTRADA!$T98="",AW98,ENTRADA!$T98))</f>
      </c>
      <c r="AY98" s="37">
        <f>IF(B98="","",(AV98+AX98)*INDEX(PRECIOS!$E$6:$E$55,K98))</f>
      </c>
      <c r="AZ98" s="71">
        <f>IF(B98="","",IF(I98=0,0,ROUNDUP(I98/Rend_Desagrupe_CT,0)))</f>
      </c>
      <c r="BA98" s="71">
        <f>IF(B98="","",IF(ENTRADA!$U98="",AZ98,ENTRADA!$U98))</f>
      </c>
      <c r="BB98" s="37">
        <f>IF(B98="","",BA98*INDEX(PRECIOS!$I$6:$I$55,K98))</f>
      </c>
      <c r="BC98" s="37">
        <f>IF(B98="","",AY98+BB98)</f>
      </c>
      <c r="BD98" s="70">
        <f>IF(B98="","",AI98+AS98+BC98)</f>
      </c>
      <c r="BE98" s="37">
        <f>IF(B98="","",IF(Base_Comision="% DEL INGRESO",M98*INDEX(PRECIOS!$L$6:$L$55,K98),G98*INDEX(PRECIOS!$M$6:$M$55,K98)))</f>
      </c>
      <c r="BF98" s="37">
        <f>IF(B98="","",IF(Base_Comision="% DEL INGRESO",N98*INDEX(PRECIOS!$L$6:$L$55,K98),H98*INDEX(PRECIOS!$M$6:$M$55,K98)))</f>
      </c>
      <c r="BG98" s="37">
        <f>IF(B98="","",IF(Base_Comision="% DEL INGRESO",O98*INDEX(PRECIOS!$L$6:$L$55,K98),I98*INDEX(PRECIOS!$M$6:$M$55,K98)))</f>
      </c>
      <c r="BH98" s="70">
        <f>IF(B98="","",BE98+BF98+BG98)</f>
      </c>
      <c r="BI98" s="37">
        <f>IF(B98="","",Q98*Pct_Reclamaciones)</f>
      </c>
      <c r="BJ98" s="37">
        <f>IF(B98="","",Q98*Pct_Banco)</f>
      </c>
      <c r="BK98" s="37">
        <f>IF(B98="","",N(ENTRADA!$V98))</f>
      </c>
      <c r="BL98" s="70">
        <f>IF(B98="","",Y98+AE98+BD98+BH98+BI98+BJ98+BK98)</f>
      </c>
      <c r="BM98" s="70">
        <f>IF(B98="","",Q98-BL98)</f>
      </c>
      <c r="BN98" s="72">
        <f>IF(B98="","",IF(Q98=0,0,BM98/Q98))</f>
      </c>
      <c r="BO98" s="73">
        <f>IF(B98="","",IF(J98=0,0,BM98/J98))</f>
      </c>
      <c r="BP98" s="60">
        <f>IF(B98="","",IFERROR(MATCH(D98,COSTOS_FIJOS!$G$5:$AD$5,0),0))</f>
      </c>
      <c r="BQ98" s="60">
        <f>IF(B98="","",COUNTIFS($D$6:$D$305,D98))</f>
      </c>
      <c r="BR98" s="67">
        <f>IF(B98="","",SUMIFS($J$6:$J$305,$D$6:$D$305,D98))</f>
      </c>
      <c r="BS98" s="72">
        <f>IF(B98="","",IF(Metodo_Prorrateo="KG",IF(BR98=0,0,J98/BR98),1/BQ98))</f>
      </c>
      <c r="BT98" s="37">
        <f>IF(B98="","",IF(BP98=0,0,INDEX(COSTOS_FIJOS!$G$38:$AD$38,BP98))*BS98)</f>
      </c>
      <c r="BU98" s="72">
        <f>IF(B98="","",IF(Metodo_Prorrateo="KG",IF(SUMIFS($G$6:$G$305,$D$6:$D$305,D98)=0,0,G98/SUMIFS($G$6:$G$305,$D$6:$D$305,D98)),IF(G98&gt;0,1/COUNTIFS($D$6:$D$305,D98,$G$6:$G$305,"&gt;0"),0)))</f>
      </c>
      <c r="BV98" s="37">
        <f>IF(B98="","",IF(BP98=0,0,INDEX(COSTOS_FIJOS!$G$39:$AD$39,BP98))*BU98)</f>
      </c>
      <c r="BW98" s="72">
        <f>IF(B98="","",IF(Metodo_Prorrateo="KG",IF(SUMIFS($H$6:$H$305,$D$6:$D$305,D98)=0,0,H98/SUMIFS($H$6:$H$305,$D$6:$D$305,D98)),IF(H98&gt;0,1/COUNTIFS($D$6:$D$305,D98,$H$6:$H$305,"&gt;0"),0)))</f>
      </c>
      <c r="BX98" s="37">
        <f>IF(B98="","",IF(BP98=0,0,INDEX(COSTOS_FIJOS!$G$40:$AD$40,BP98))*BW98)</f>
      </c>
      <c r="BY98" s="72">
        <f>IF(B98="","",IF(Metodo_Prorrateo="KG",IF(SUMIFS($I$6:$I$305,$D$6:$D$305,D98)=0,0,I98/SUMIFS($I$6:$I$305,$D$6:$D$305,D98)),IF(I98&gt;0,1/COUNTIFS($D$6:$D$305,D98,$I$6:$I$305,"&gt;0"),0)))</f>
      </c>
      <c r="BZ98" s="37">
        <f>IF(B98="","",IF(BP98=0,0,INDEX(COSTOS_FIJOS!$G$41:$AD$41,BP98))*BY98)</f>
      </c>
      <c r="CA98" s="70">
        <f>IF(B98="","",BT98+BV98+BX98+BZ98)</f>
      </c>
      <c r="CB98" s="37">
        <f>IF(B98="","",Q98*Imp_Ventas_Serv)</f>
      </c>
      <c r="CC98" s="37">
        <f>IF(B98="","",Q98*Contrib_Territorial)</f>
      </c>
      <c r="CD98" s="70">
        <f>IF(B98="","",BM98-CA98-CB98-CC98)</f>
      </c>
      <c r="CE98" s="37">
        <f>IF(B98="","",MAX(0,CD98)*Imp_Utilidades)</f>
      </c>
      <c r="CF98" s="70">
        <f>IF(B98="","",CD98-CE98)</f>
      </c>
      <c r="CG98" s="72">
        <f>IF(B98="","",IF(Q98=0,0,CF98/Q98))</f>
      </c>
      <c r="CH98" s="73">
        <f>IF(B98="","",IF(J98=0,0,(BL98+CA98+CB98+CC98)/J98))</f>
      </c>
      <c r="CI98" s="73">
        <f>IF(B98="","",IF(J98=0,0,Q98/J98))</f>
      </c>
      <c r="CJ98" s="73">
        <f>IF(B98="","",IF(J98=0,0,CD98/J98))</f>
      </c>
      <c r="CK98" s="37">
        <f>IF(B98="","",Y98+AE98+BK98+BT98)</f>
      </c>
      <c r="CL98" s="37">
        <f>IF(B98="","",IF(J98=0,0,(M98+P98*G98/J98)*(1-Pct_Reclamaciones-Pct_Banco-Imp_Ventas_Serv-Contrib_Territorial)-AI98-BE98-BV98-CK98*G98/J98))</f>
      </c>
      <c r="CM98" s="37">
        <f>IF(B98="","",IF(J98=0,0,(N98+P98*H98/J98)*(1-Pct_Reclamaciones-Pct_Banco-Imp_Ventas_Serv-Contrib_Territorial)-AS98-BF98-BX98-CK98*H98/J98))</f>
      </c>
      <c r="CN98" s="37">
        <f>IF(B98="","",IF(J98=0,0,(O98+P98*I98/J98)*(1-Pct_Reclamaciones-Pct_Banco-Imp_Ventas_Serv-Contrib_Territorial)-BC98-BG98-BZ98-CK98*I98/J98))</f>
      </c>
      <c r="CO98" s="37">
        <f>IF(B98="","",IF(J98=0,0,ROUND(CD98-CL98-CM98-CN98,4)))</f>
      </c>
      <c r="CP98" s="71">
        <f>IF(B98="","",T98+AG98+AK98+AM98+AU98+AW98)</f>
      </c>
      <c r="CQ98" s="71">
        <f>IF(B98="","",U98+AH98+AL98+AN98+AV98+AX98)</f>
      </c>
      <c r="CR98" s="72">
        <f>IF(B98="","",IF(CP98=0,0,CQ98/CP98-1))</f>
      </c>
      <c r="CS98" s="60">
        <f>IF(B98="","",IF(ENTRADA!$Y98="","",ENTRADA!$Y98-C98))</f>
      </c>
      <c r="CT98" s="66">
        <f>IF(B98="","",IF(ENTRADA!$C98="","Falta fecha. ","")&amp;IF(BP98=0,"Mes fuera del rango de COSTOS_FIJOS. ","")&amp;IF(J98=0,"Sin kg. ","")&amp;IF(E98="","Falta transitaria. ","")&amp;IF(AND(T98&gt;0,U98/T98-1&gt;Tolerancia_Comb),"Combustible al puerto "&amp;TEXT(U98/T98-1,"+0%")&amp;" sobre norma. ","")&amp;IF(AND(AG98&gt;0,AH98/AG98-1&gt;Tolerancia_Comb),"Combustible distribución Occidente "&amp;TEXT(AH98/AG98-1,"+0%")&amp;" sobre norma. ","")&amp;IF(AND(AK98&gt;0,AL98/AK98-1&gt;Tolerancia_Comb),"Combustible traslado Centro "&amp;TEXT(AL98/AK98-1,"+0%")&amp;" sobre norma. ","")&amp;IF(AND(AM98&gt;0,AN98/AM98-1&gt;Tolerancia_Comb),"Combustible distribución Centro "&amp;TEXT(AN98/AM98-1,"+0%")&amp;" sobre norma. ","")&amp;IF(AND(AU98&gt;0,AV98/AU98-1&gt;Tolerancia_Comb),"Combustible traslado Oriente "&amp;TEXT(AV98/AU98-1,"+0%")&amp;" sobre norma. ","")&amp;IF(AND(AW98&gt;0,AX98/AW98-1&gt;Tolerancia_Comb),"Combustible distribución Oriente "&amp;TEXT(AX98/AW98-1,"+0%")&amp;" sobre norma. ","")&amp;IF(AND(ENTRADA!$C98&lt;&gt;"",C98&lt;PRECIOS!$A$6),"Fecha anterior a la 1ª vigencia de precios. ","")&amp;IF(CD98&lt;0,"Contenedor con pérdida. ",""))</f>
      </c>
    </row>
    <row r="99">
      <c r="A99" s="60">
        <f>IF(B99="","",ROW()-5)</f>
      </c>
      <c r="B99" s="63">
        <f>IF(ENTRADA!$B99="","",ENTRADA!$B99)</f>
      </c>
      <c r="C99" s="64">
        <f>IF(B99="","",ENTRADA!$C99)</f>
      </c>
      <c r="D99" s="65">
        <f>IF(B99="","",DATE(YEAR(C99),MONTH(C99),1))</f>
      </c>
      <c r="E99" s="66">
        <f>IF(B99="","",ENTRADA!$D99&amp;"")</f>
      </c>
      <c r="F99" s="66">
        <f>IF(B99="","",ENTRADA!$Z99&amp;"")</f>
      </c>
      <c r="G99" s="67">
        <f>IF(B99="","",N(ENTRADA!$G99))</f>
      </c>
      <c r="H99" s="67">
        <f>IF(B99="","",N(ENTRADA!$H99))</f>
      </c>
      <c r="I99" s="67">
        <f>IF(B99="","",N(ENTRADA!$I99))</f>
      </c>
      <c r="J99" s="68">
        <f>IF(B99="","",G99+H99+I99)</f>
      </c>
      <c r="K99" s="60">
        <f>IF(B99="","",IFERROR(MATCH(SUMPRODUCT(MAX((PRECIOS!$A$6:$A$55&lt;=C99)*PRECIOS!$A$6:$A$55)),PRECIOS!$A$6:$A$55,0),1))</f>
      </c>
      <c r="L99" s="69">
        <f>IF(B99="","",INDEX(PRECIOS!$A$6:$A$55,K99))</f>
      </c>
      <c r="M99" s="37">
        <f>IF(B99="","",G99*INDEX(PRECIOS!$B$6:$B$55,K99))</f>
      </c>
      <c r="N99" s="37">
        <f>IF(B99="","",H99*INDEX(PRECIOS!$C$6:$C$55,K99))</f>
      </c>
      <c r="O99" s="37">
        <f>IF(B99="","",I99*INDEX(PRECIOS!$D$6:$D$55,K99))</f>
      </c>
      <c r="P99" s="37">
        <f>IF(B99="","",N(ENTRADA!$X99))</f>
      </c>
      <c r="Q99" s="70">
        <f>IF(B99="","",M99+N99+O99+P99)</f>
      </c>
      <c r="R99" s="71">
        <f>IF(B99="","",IF(ENTRADA!$J99="",Std_Viajes_Puerto,ENTRADA!$J99))</f>
      </c>
      <c r="S99" s="37">
        <f>IF(B99="","",R99*INDEX(PRECIOS!$F$6:$F$55,K99))</f>
      </c>
      <c r="T99" s="71">
        <f>IF(B99="","",R99*Litros_Puerto_Viaje)</f>
      </c>
      <c r="U99" s="71">
        <f>IF(B99="","",IF(ENTRADA!$K99="",T99,ENTRADA!$K99))</f>
      </c>
      <c r="V99" s="37">
        <f>IF(B99="","",U99*INDEX(PRECIOS!$E$6:$E$55,K99))</f>
      </c>
      <c r="W99" s="37">
        <f>IF(B99="","",IF(ENTRADA!$L99="",R99*INDEX(PRECIOS!$G$6:$G$55,K99),ENTRADA!$L99))</f>
      </c>
      <c r="X99" s="37">
        <f>IF(B99="","",R99*Km_Puerto_Viaje*INDEX(PRECIOS!$N$6:$N$55,K99))</f>
      </c>
      <c r="Y99" s="70">
        <f>IF(B99="","",S99+V99+W99+X99)</f>
      </c>
      <c r="Z99" s="71">
        <f>IF(B99="","",IF(J99=0,0,ROUNDUP(J99/Rend_Desagrupe,0)))</f>
      </c>
      <c r="AA99" s="71">
        <f>IF(B99="","",IF(ENTRADA!$M99="",Z99,ENTRADA!$M99))</f>
      </c>
      <c r="AB99" s="37">
        <f>IF(B99="","",AA99*INDEX(PRECIOS!$H$6:$H$55,K99))</f>
      </c>
      <c r="AC99" s="37">
        <f>IF(B99="","",IF(E99="ENCI",INDEX(PRECIOS!$J$6:$J$55,K99),IF(E99="A.V",INDEX(PRECIOS!$K$6:$K$55,K99),0)))</f>
      </c>
      <c r="AD99" s="37">
        <f>IF(B99="","",N(ENTRADA!$N99))</f>
      </c>
      <c r="AE99" s="70">
        <f>IF(B99="","",AB99+AC99+AD99)</f>
      </c>
      <c r="AF99" s="71">
        <f>IF(B99="","",IF(G99=0,0,ROUNDUP(G99/Cap_Camion_OCC,0)))</f>
      </c>
      <c r="AG99" s="71">
        <f>IF(B99="","",AF99*L_Dist_OCC)</f>
      </c>
      <c r="AH99" s="71">
        <f>IF(B99="","",IF(ENTRADA!$O99="",AG99,ENTRADA!$O99))</f>
      </c>
      <c r="AI99" s="37">
        <f>IF(B99="","",AH99*INDEX(PRECIOS!$E$6:$E$55,K99))</f>
      </c>
      <c r="AJ99" s="71">
        <f>IF(B99="","",IF(H99=0,0,ROUNDUP(H99/Cap_Camion_CEN,0)))</f>
      </c>
      <c r="AK99" s="71">
        <f>IF(B99="","",AJ99*L_Tras_CEN)</f>
      </c>
      <c r="AL99" s="71">
        <f>IF(B99="","",IF(ENTRADA!$P99="",AK99,ENTRADA!$P99))</f>
      </c>
      <c r="AM99" s="71">
        <f>IF(B99="","",AJ99*L_Dist_CEN)</f>
      </c>
      <c r="AN99" s="71">
        <f>IF(B99="","",IF(ENTRADA!$Q99="",AM99,ENTRADA!$Q99))</f>
      </c>
      <c r="AO99" s="37">
        <f>IF(B99="","",(AL99+AN99)*INDEX(PRECIOS!$E$6:$E$55,K99))</f>
      </c>
      <c r="AP99" s="71">
        <f>IF(B99="","",IF(H99=0,0,ROUNDUP(H99/Rend_Desagrupe_CT,0)))</f>
      </c>
      <c r="AQ99" s="71">
        <f>IF(B99="","",IF(ENTRADA!$R99="",AP99,ENTRADA!$R99))</f>
      </c>
      <c r="AR99" s="37">
        <f>IF(B99="","",AQ99*INDEX(PRECIOS!$I$6:$I$55,K99))</f>
      </c>
      <c r="AS99" s="37">
        <f>IF(B99="","",AO99+AR99)</f>
      </c>
      <c r="AT99" s="71">
        <f>IF(B99="","",IF(I99=0,0,ROUNDUP(I99/Cap_Camion_ORI,0)))</f>
      </c>
      <c r="AU99" s="71">
        <f>IF(B99="","",AT99*L_Tras_ORI)</f>
      </c>
      <c r="AV99" s="71">
        <f>IF(B99="","",IF(ENTRADA!$S99="",AU99,ENTRADA!$S99))</f>
      </c>
      <c r="AW99" s="71">
        <f>IF(B99="","",AT99*L_Dist_ORI)</f>
      </c>
      <c r="AX99" s="71">
        <f>IF(B99="","",IF(ENTRADA!$T99="",AW99,ENTRADA!$T99))</f>
      </c>
      <c r="AY99" s="37">
        <f>IF(B99="","",(AV99+AX99)*INDEX(PRECIOS!$E$6:$E$55,K99))</f>
      </c>
      <c r="AZ99" s="71">
        <f>IF(B99="","",IF(I99=0,0,ROUNDUP(I99/Rend_Desagrupe_CT,0)))</f>
      </c>
      <c r="BA99" s="71">
        <f>IF(B99="","",IF(ENTRADA!$U99="",AZ99,ENTRADA!$U99))</f>
      </c>
      <c r="BB99" s="37">
        <f>IF(B99="","",BA99*INDEX(PRECIOS!$I$6:$I$55,K99))</f>
      </c>
      <c r="BC99" s="37">
        <f>IF(B99="","",AY99+BB99)</f>
      </c>
      <c r="BD99" s="70">
        <f>IF(B99="","",AI99+AS99+BC99)</f>
      </c>
      <c r="BE99" s="37">
        <f>IF(B99="","",IF(Base_Comision="% DEL INGRESO",M99*INDEX(PRECIOS!$L$6:$L$55,K99),G99*INDEX(PRECIOS!$M$6:$M$55,K99)))</f>
      </c>
      <c r="BF99" s="37">
        <f>IF(B99="","",IF(Base_Comision="% DEL INGRESO",N99*INDEX(PRECIOS!$L$6:$L$55,K99),H99*INDEX(PRECIOS!$M$6:$M$55,K99)))</f>
      </c>
      <c r="BG99" s="37">
        <f>IF(B99="","",IF(Base_Comision="% DEL INGRESO",O99*INDEX(PRECIOS!$L$6:$L$55,K99),I99*INDEX(PRECIOS!$M$6:$M$55,K99)))</f>
      </c>
      <c r="BH99" s="70">
        <f>IF(B99="","",BE99+BF99+BG99)</f>
      </c>
      <c r="BI99" s="37">
        <f>IF(B99="","",Q99*Pct_Reclamaciones)</f>
      </c>
      <c r="BJ99" s="37">
        <f>IF(B99="","",Q99*Pct_Banco)</f>
      </c>
      <c r="BK99" s="37">
        <f>IF(B99="","",N(ENTRADA!$V99))</f>
      </c>
      <c r="BL99" s="70">
        <f>IF(B99="","",Y99+AE99+BD99+BH99+BI99+BJ99+BK99)</f>
      </c>
      <c r="BM99" s="70">
        <f>IF(B99="","",Q99-BL99)</f>
      </c>
      <c r="BN99" s="72">
        <f>IF(B99="","",IF(Q99=0,0,BM99/Q99))</f>
      </c>
      <c r="BO99" s="73">
        <f>IF(B99="","",IF(J99=0,0,BM99/J99))</f>
      </c>
      <c r="BP99" s="60">
        <f>IF(B99="","",IFERROR(MATCH(D99,COSTOS_FIJOS!$G$5:$AD$5,0),0))</f>
      </c>
      <c r="BQ99" s="60">
        <f>IF(B99="","",COUNTIFS($D$6:$D$305,D99))</f>
      </c>
      <c r="BR99" s="67">
        <f>IF(B99="","",SUMIFS($J$6:$J$305,$D$6:$D$305,D99))</f>
      </c>
      <c r="BS99" s="72">
        <f>IF(B99="","",IF(Metodo_Prorrateo="KG",IF(BR99=0,0,J99/BR99),1/BQ99))</f>
      </c>
      <c r="BT99" s="37">
        <f>IF(B99="","",IF(BP99=0,0,INDEX(COSTOS_FIJOS!$G$38:$AD$38,BP99))*BS99)</f>
      </c>
      <c r="BU99" s="72">
        <f>IF(B99="","",IF(Metodo_Prorrateo="KG",IF(SUMIFS($G$6:$G$305,$D$6:$D$305,D99)=0,0,G99/SUMIFS($G$6:$G$305,$D$6:$D$305,D99)),IF(G99&gt;0,1/COUNTIFS($D$6:$D$305,D99,$G$6:$G$305,"&gt;0"),0)))</f>
      </c>
      <c r="BV99" s="37">
        <f>IF(B99="","",IF(BP99=0,0,INDEX(COSTOS_FIJOS!$G$39:$AD$39,BP99))*BU99)</f>
      </c>
      <c r="BW99" s="72">
        <f>IF(B99="","",IF(Metodo_Prorrateo="KG",IF(SUMIFS($H$6:$H$305,$D$6:$D$305,D99)=0,0,H99/SUMIFS($H$6:$H$305,$D$6:$D$305,D99)),IF(H99&gt;0,1/COUNTIFS($D$6:$D$305,D99,$H$6:$H$305,"&gt;0"),0)))</f>
      </c>
      <c r="BX99" s="37">
        <f>IF(B99="","",IF(BP99=0,0,INDEX(COSTOS_FIJOS!$G$40:$AD$40,BP99))*BW99)</f>
      </c>
      <c r="BY99" s="72">
        <f>IF(B99="","",IF(Metodo_Prorrateo="KG",IF(SUMIFS($I$6:$I$305,$D$6:$D$305,D99)=0,0,I99/SUMIFS($I$6:$I$305,$D$6:$D$305,D99)),IF(I99&gt;0,1/COUNTIFS($D$6:$D$305,D99,$I$6:$I$305,"&gt;0"),0)))</f>
      </c>
      <c r="BZ99" s="37">
        <f>IF(B99="","",IF(BP99=0,0,INDEX(COSTOS_FIJOS!$G$41:$AD$41,BP99))*BY99)</f>
      </c>
      <c r="CA99" s="70">
        <f>IF(B99="","",BT99+BV99+BX99+BZ99)</f>
      </c>
      <c r="CB99" s="37">
        <f>IF(B99="","",Q99*Imp_Ventas_Serv)</f>
      </c>
      <c r="CC99" s="37">
        <f>IF(B99="","",Q99*Contrib_Territorial)</f>
      </c>
      <c r="CD99" s="70">
        <f>IF(B99="","",BM99-CA99-CB99-CC99)</f>
      </c>
      <c r="CE99" s="37">
        <f>IF(B99="","",MAX(0,CD99)*Imp_Utilidades)</f>
      </c>
      <c r="CF99" s="70">
        <f>IF(B99="","",CD99-CE99)</f>
      </c>
      <c r="CG99" s="72">
        <f>IF(B99="","",IF(Q99=0,0,CF99/Q99))</f>
      </c>
      <c r="CH99" s="73">
        <f>IF(B99="","",IF(J99=0,0,(BL99+CA99+CB99+CC99)/J99))</f>
      </c>
      <c r="CI99" s="73">
        <f>IF(B99="","",IF(J99=0,0,Q99/J99))</f>
      </c>
      <c r="CJ99" s="73">
        <f>IF(B99="","",IF(J99=0,0,CD99/J99))</f>
      </c>
      <c r="CK99" s="37">
        <f>IF(B99="","",Y99+AE99+BK99+BT99)</f>
      </c>
      <c r="CL99" s="37">
        <f>IF(B99="","",IF(J99=0,0,(M99+P99*G99/J99)*(1-Pct_Reclamaciones-Pct_Banco-Imp_Ventas_Serv-Contrib_Territorial)-AI99-BE99-BV99-CK99*G99/J99))</f>
      </c>
      <c r="CM99" s="37">
        <f>IF(B99="","",IF(J99=0,0,(N99+P99*H99/J99)*(1-Pct_Reclamaciones-Pct_Banco-Imp_Ventas_Serv-Contrib_Territorial)-AS99-BF99-BX99-CK99*H99/J99))</f>
      </c>
      <c r="CN99" s="37">
        <f>IF(B99="","",IF(J99=0,0,(O99+P99*I99/J99)*(1-Pct_Reclamaciones-Pct_Banco-Imp_Ventas_Serv-Contrib_Territorial)-BC99-BG99-BZ99-CK99*I99/J99))</f>
      </c>
      <c r="CO99" s="37">
        <f>IF(B99="","",IF(J99=0,0,ROUND(CD99-CL99-CM99-CN99,4)))</f>
      </c>
      <c r="CP99" s="71">
        <f>IF(B99="","",T99+AG99+AK99+AM99+AU99+AW99)</f>
      </c>
      <c r="CQ99" s="71">
        <f>IF(B99="","",U99+AH99+AL99+AN99+AV99+AX99)</f>
      </c>
      <c r="CR99" s="72">
        <f>IF(B99="","",IF(CP99=0,0,CQ99/CP99-1))</f>
      </c>
      <c r="CS99" s="60">
        <f>IF(B99="","",IF(ENTRADA!$Y99="","",ENTRADA!$Y99-C99))</f>
      </c>
      <c r="CT99" s="66">
        <f>IF(B99="","",IF(ENTRADA!$C99="","Falta fecha. ","")&amp;IF(BP99=0,"Mes fuera del rango de COSTOS_FIJOS. ","")&amp;IF(J99=0,"Sin kg. ","")&amp;IF(E99="","Falta transitaria. ","")&amp;IF(AND(T99&gt;0,U99/T99-1&gt;Tolerancia_Comb),"Combustible al puerto "&amp;TEXT(U99/T99-1,"+0%")&amp;" sobre norma. ","")&amp;IF(AND(AG99&gt;0,AH99/AG99-1&gt;Tolerancia_Comb),"Combustible distribución Occidente "&amp;TEXT(AH99/AG99-1,"+0%")&amp;" sobre norma. ","")&amp;IF(AND(AK99&gt;0,AL99/AK99-1&gt;Tolerancia_Comb),"Combustible traslado Centro "&amp;TEXT(AL99/AK99-1,"+0%")&amp;" sobre norma. ","")&amp;IF(AND(AM99&gt;0,AN99/AM99-1&gt;Tolerancia_Comb),"Combustible distribución Centro "&amp;TEXT(AN99/AM99-1,"+0%")&amp;" sobre norma. ","")&amp;IF(AND(AU99&gt;0,AV99/AU99-1&gt;Tolerancia_Comb),"Combustible traslado Oriente "&amp;TEXT(AV99/AU99-1,"+0%")&amp;" sobre norma. ","")&amp;IF(AND(AW99&gt;0,AX99/AW99-1&gt;Tolerancia_Comb),"Combustible distribución Oriente "&amp;TEXT(AX99/AW99-1,"+0%")&amp;" sobre norma. ","")&amp;IF(AND(ENTRADA!$C99&lt;&gt;"",C99&lt;PRECIOS!$A$6),"Fecha anterior a la 1ª vigencia de precios. ","")&amp;IF(CD99&lt;0,"Contenedor con pérdida. ",""))</f>
      </c>
    </row>
    <row r="100">
      <c r="A100" s="60">
        <f>IF(B100="","",ROW()-5)</f>
      </c>
      <c r="B100" s="63">
        <f>IF(ENTRADA!$B100="","",ENTRADA!$B100)</f>
      </c>
      <c r="C100" s="64">
        <f>IF(B100="","",ENTRADA!$C100)</f>
      </c>
      <c r="D100" s="65">
        <f>IF(B100="","",DATE(YEAR(C100),MONTH(C100),1))</f>
      </c>
      <c r="E100" s="66">
        <f>IF(B100="","",ENTRADA!$D100&amp;"")</f>
      </c>
      <c r="F100" s="66">
        <f>IF(B100="","",ENTRADA!$Z100&amp;"")</f>
      </c>
      <c r="G100" s="67">
        <f>IF(B100="","",N(ENTRADA!$G100))</f>
      </c>
      <c r="H100" s="67">
        <f>IF(B100="","",N(ENTRADA!$H100))</f>
      </c>
      <c r="I100" s="67">
        <f>IF(B100="","",N(ENTRADA!$I100))</f>
      </c>
      <c r="J100" s="68">
        <f>IF(B100="","",G100+H100+I100)</f>
      </c>
      <c r="K100" s="60">
        <f>IF(B100="","",IFERROR(MATCH(SUMPRODUCT(MAX((PRECIOS!$A$6:$A$55&lt;=C100)*PRECIOS!$A$6:$A$55)),PRECIOS!$A$6:$A$55,0),1))</f>
      </c>
      <c r="L100" s="69">
        <f>IF(B100="","",INDEX(PRECIOS!$A$6:$A$55,K100))</f>
      </c>
      <c r="M100" s="37">
        <f>IF(B100="","",G100*INDEX(PRECIOS!$B$6:$B$55,K100))</f>
      </c>
      <c r="N100" s="37">
        <f>IF(B100="","",H100*INDEX(PRECIOS!$C$6:$C$55,K100))</f>
      </c>
      <c r="O100" s="37">
        <f>IF(B100="","",I100*INDEX(PRECIOS!$D$6:$D$55,K100))</f>
      </c>
      <c r="P100" s="37">
        <f>IF(B100="","",N(ENTRADA!$X100))</f>
      </c>
      <c r="Q100" s="70">
        <f>IF(B100="","",M100+N100+O100+P100)</f>
      </c>
      <c r="R100" s="71">
        <f>IF(B100="","",IF(ENTRADA!$J100="",Std_Viajes_Puerto,ENTRADA!$J100))</f>
      </c>
      <c r="S100" s="37">
        <f>IF(B100="","",R100*INDEX(PRECIOS!$F$6:$F$55,K100))</f>
      </c>
      <c r="T100" s="71">
        <f>IF(B100="","",R100*Litros_Puerto_Viaje)</f>
      </c>
      <c r="U100" s="71">
        <f>IF(B100="","",IF(ENTRADA!$K100="",T100,ENTRADA!$K100))</f>
      </c>
      <c r="V100" s="37">
        <f>IF(B100="","",U100*INDEX(PRECIOS!$E$6:$E$55,K100))</f>
      </c>
      <c r="W100" s="37">
        <f>IF(B100="","",IF(ENTRADA!$L100="",R100*INDEX(PRECIOS!$G$6:$G$55,K100),ENTRADA!$L100))</f>
      </c>
      <c r="X100" s="37">
        <f>IF(B100="","",R100*Km_Puerto_Viaje*INDEX(PRECIOS!$N$6:$N$55,K100))</f>
      </c>
      <c r="Y100" s="70">
        <f>IF(B100="","",S100+V100+W100+X100)</f>
      </c>
      <c r="Z100" s="71">
        <f>IF(B100="","",IF(J100=0,0,ROUNDUP(J100/Rend_Desagrupe,0)))</f>
      </c>
      <c r="AA100" s="71">
        <f>IF(B100="","",IF(ENTRADA!$M100="",Z100,ENTRADA!$M100))</f>
      </c>
      <c r="AB100" s="37">
        <f>IF(B100="","",AA100*INDEX(PRECIOS!$H$6:$H$55,K100))</f>
      </c>
      <c r="AC100" s="37">
        <f>IF(B100="","",IF(E100="ENCI",INDEX(PRECIOS!$J$6:$J$55,K100),IF(E100="A.V",INDEX(PRECIOS!$K$6:$K$55,K100),0)))</f>
      </c>
      <c r="AD100" s="37">
        <f>IF(B100="","",N(ENTRADA!$N100))</f>
      </c>
      <c r="AE100" s="70">
        <f>IF(B100="","",AB100+AC100+AD100)</f>
      </c>
      <c r="AF100" s="71">
        <f>IF(B100="","",IF(G100=0,0,ROUNDUP(G100/Cap_Camion_OCC,0)))</f>
      </c>
      <c r="AG100" s="71">
        <f>IF(B100="","",AF100*L_Dist_OCC)</f>
      </c>
      <c r="AH100" s="71">
        <f>IF(B100="","",IF(ENTRADA!$O100="",AG100,ENTRADA!$O100))</f>
      </c>
      <c r="AI100" s="37">
        <f>IF(B100="","",AH100*INDEX(PRECIOS!$E$6:$E$55,K100))</f>
      </c>
      <c r="AJ100" s="71">
        <f>IF(B100="","",IF(H100=0,0,ROUNDUP(H100/Cap_Camion_CEN,0)))</f>
      </c>
      <c r="AK100" s="71">
        <f>IF(B100="","",AJ100*L_Tras_CEN)</f>
      </c>
      <c r="AL100" s="71">
        <f>IF(B100="","",IF(ENTRADA!$P100="",AK100,ENTRADA!$P100))</f>
      </c>
      <c r="AM100" s="71">
        <f>IF(B100="","",AJ100*L_Dist_CEN)</f>
      </c>
      <c r="AN100" s="71">
        <f>IF(B100="","",IF(ENTRADA!$Q100="",AM100,ENTRADA!$Q100))</f>
      </c>
      <c r="AO100" s="37">
        <f>IF(B100="","",(AL100+AN100)*INDEX(PRECIOS!$E$6:$E$55,K100))</f>
      </c>
      <c r="AP100" s="71">
        <f>IF(B100="","",IF(H100=0,0,ROUNDUP(H100/Rend_Desagrupe_CT,0)))</f>
      </c>
      <c r="AQ100" s="71">
        <f>IF(B100="","",IF(ENTRADA!$R100="",AP100,ENTRADA!$R100))</f>
      </c>
      <c r="AR100" s="37">
        <f>IF(B100="","",AQ100*INDEX(PRECIOS!$I$6:$I$55,K100))</f>
      </c>
      <c r="AS100" s="37">
        <f>IF(B100="","",AO100+AR100)</f>
      </c>
      <c r="AT100" s="71">
        <f>IF(B100="","",IF(I100=0,0,ROUNDUP(I100/Cap_Camion_ORI,0)))</f>
      </c>
      <c r="AU100" s="71">
        <f>IF(B100="","",AT100*L_Tras_ORI)</f>
      </c>
      <c r="AV100" s="71">
        <f>IF(B100="","",IF(ENTRADA!$S100="",AU100,ENTRADA!$S100))</f>
      </c>
      <c r="AW100" s="71">
        <f>IF(B100="","",AT100*L_Dist_ORI)</f>
      </c>
      <c r="AX100" s="71">
        <f>IF(B100="","",IF(ENTRADA!$T100="",AW100,ENTRADA!$T100))</f>
      </c>
      <c r="AY100" s="37">
        <f>IF(B100="","",(AV100+AX100)*INDEX(PRECIOS!$E$6:$E$55,K100))</f>
      </c>
      <c r="AZ100" s="71">
        <f>IF(B100="","",IF(I100=0,0,ROUNDUP(I100/Rend_Desagrupe_CT,0)))</f>
      </c>
      <c r="BA100" s="71">
        <f>IF(B100="","",IF(ENTRADA!$U100="",AZ100,ENTRADA!$U100))</f>
      </c>
      <c r="BB100" s="37">
        <f>IF(B100="","",BA100*INDEX(PRECIOS!$I$6:$I$55,K100))</f>
      </c>
      <c r="BC100" s="37">
        <f>IF(B100="","",AY100+BB100)</f>
      </c>
      <c r="BD100" s="70">
        <f>IF(B100="","",AI100+AS100+BC100)</f>
      </c>
      <c r="BE100" s="37">
        <f>IF(B100="","",IF(Base_Comision="% DEL INGRESO",M100*INDEX(PRECIOS!$L$6:$L$55,K100),G100*INDEX(PRECIOS!$M$6:$M$55,K100)))</f>
      </c>
      <c r="BF100" s="37">
        <f>IF(B100="","",IF(Base_Comision="% DEL INGRESO",N100*INDEX(PRECIOS!$L$6:$L$55,K100),H100*INDEX(PRECIOS!$M$6:$M$55,K100)))</f>
      </c>
      <c r="BG100" s="37">
        <f>IF(B100="","",IF(Base_Comision="% DEL INGRESO",O100*INDEX(PRECIOS!$L$6:$L$55,K100),I100*INDEX(PRECIOS!$M$6:$M$55,K100)))</f>
      </c>
      <c r="BH100" s="70">
        <f>IF(B100="","",BE100+BF100+BG100)</f>
      </c>
      <c r="BI100" s="37">
        <f>IF(B100="","",Q100*Pct_Reclamaciones)</f>
      </c>
      <c r="BJ100" s="37">
        <f>IF(B100="","",Q100*Pct_Banco)</f>
      </c>
      <c r="BK100" s="37">
        <f>IF(B100="","",N(ENTRADA!$V100))</f>
      </c>
      <c r="BL100" s="70">
        <f>IF(B100="","",Y100+AE100+BD100+BH100+BI100+BJ100+BK100)</f>
      </c>
      <c r="BM100" s="70">
        <f>IF(B100="","",Q100-BL100)</f>
      </c>
      <c r="BN100" s="72">
        <f>IF(B100="","",IF(Q100=0,0,BM100/Q100))</f>
      </c>
      <c r="BO100" s="73">
        <f>IF(B100="","",IF(J100=0,0,BM100/J100))</f>
      </c>
      <c r="BP100" s="60">
        <f>IF(B100="","",IFERROR(MATCH(D100,COSTOS_FIJOS!$G$5:$AD$5,0),0))</f>
      </c>
      <c r="BQ100" s="60">
        <f>IF(B100="","",COUNTIFS($D$6:$D$305,D100))</f>
      </c>
      <c r="BR100" s="67">
        <f>IF(B100="","",SUMIFS($J$6:$J$305,$D$6:$D$305,D100))</f>
      </c>
      <c r="BS100" s="72">
        <f>IF(B100="","",IF(Metodo_Prorrateo="KG",IF(BR100=0,0,J100/BR100),1/BQ100))</f>
      </c>
      <c r="BT100" s="37">
        <f>IF(B100="","",IF(BP100=0,0,INDEX(COSTOS_FIJOS!$G$38:$AD$38,BP100))*BS100)</f>
      </c>
      <c r="BU100" s="72">
        <f>IF(B100="","",IF(Metodo_Prorrateo="KG",IF(SUMIFS($G$6:$G$305,$D$6:$D$305,D100)=0,0,G100/SUMIFS($G$6:$G$305,$D$6:$D$305,D100)),IF(G100&gt;0,1/COUNTIFS($D$6:$D$305,D100,$G$6:$G$305,"&gt;0"),0)))</f>
      </c>
      <c r="BV100" s="37">
        <f>IF(B100="","",IF(BP100=0,0,INDEX(COSTOS_FIJOS!$G$39:$AD$39,BP100))*BU100)</f>
      </c>
      <c r="BW100" s="72">
        <f>IF(B100="","",IF(Metodo_Prorrateo="KG",IF(SUMIFS($H$6:$H$305,$D$6:$D$305,D100)=0,0,H100/SUMIFS($H$6:$H$305,$D$6:$D$305,D100)),IF(H100&gt;0,1/COUNTIFS($D$6:$D$305,D100,$H$6:$H$305,"&gt;0"),0)))</f>
      </c>
      <c r="BX100" s="37">
        <f>IF(B100="","",IF(BP100=0,0,INDEX(COSTOS_FIJOS!$G$40:$AD$40,BP100))*BW100)</f>
      </c>
      <c r="BY100" s="72">
        <f>IF(B100="","",IF(Metodo_Prorrateo="KG",IF(SUMIFS($I$6:$I$305,$D$6:$D$305,D100)=0,0,I100/SUMIFS($I$6:$I$305,$D$6:$D$305,D100)),IF(I100&gt;0,1/COUNTIFS($D$6:$D$305,D100,$I$6:$I$305,"&gt;0"),0)))</f>
      </c>
      <c r="BZ100" s="37">
        <f>IF(B100="","",IF(BP100=0,0,INDEX(COSTOS_FIJOS!$G$41:$AD$41,BP100))*BY100)</f>
      </c>
      <c r="CA100" s="70">
        <f>IF(B100="","",BT100+BV100+BX100+BZ100)</f>
      </c>
      <c r="CB100" s="37">
        <f>IF(B100="","",Q100*Imp_Ventas_Serv)</f>
      </c>
      <c r="CC100" s="37">
        <f>IF(B100="","",Q100*Contrib_Territorial)</f>
      </c>
      <c r="CD100" s="70">
        <f>IF(B100="","",BM100-CA100-CB100-CC100)</f>
      </c>
      <c r="CE100" s="37">
        <f>IF(B100="","",MAX(0,CD100)*Imp_Utilidades)</f>
      </c>
      <c r="CF100" s="70">
        <f>IF(B100="","",CD100-CE100)</f>
      </c>
      <c r="CG100" s="72">
        <f>IF(B100="","",IF(Q100=0,0,CF100/Q100))</f>
      </c>
      <c r="CH100" s="73">
        <f>IF(B100="","",IF(J100=0,0,(BL100+CA100+CB100+CC100)/J100))</f>
      </c>
      <c r="CI100" s="73">
        <f>IF(B100="","",IF(J100=0,0,Q100/J100))</f>
      </c>
      <c r="CJ100" s="73">
        <f>IF(B100="","",IF(J100=0,0,CD100/J100))</f>
      </c>
      <c r="CK100" s="37">
        <f>IF(B100="","",Y100+AE100+BK100+BT100)</f>
      </c>
      <c r="CL100" s="37">
        <f>IF(B100="","",IF(J100=0,0,(M100+P100*G100/J100)*(1-Pct_Reclamaciones-Pct_Banco-Imp_Ventas_Serv-Contrib_Territorial)-AI100-BE100-BV100-CK100*G100/J100))</f>
      </c>
      <c r="CM100" s="37">
        <f>IF(B100="","",IF(J100=0,0,(N100+P100*H100/J100)*(1-Pct_Reclamaciones-Pct_Banco-Imp_Ventas_Serv-Contrib_Territorial)-AS100-BF100-BX100-CK100*H100/J100))</f>
      </c>
      <c r="CN100" s="37">
        <f>IF(B100="","",IF(J100=0,0,(O100+P100*I100/J100)*(1-Pct_Reclamaciones-Pct_Banco-Imp_Ventas_Serv-Contrib_Territorial)-BC100-BG100-BZ100-CK100*I100/J100))</f>
      </c>
      <c r="CO100" s="37">
        <f>IF(B100="","",IF(J100=0,0,ROUND(CD100-CL100-CM100-CN100,4)))</f>
      </c>
      <c r="CP100" s="71">
        <f>IF(B100="","",T100+AG100+AK100+AM100+AU100+AW100)</f>
      </c>
      <c r="CQ100" s="71">
        <f>IF(B100="","",U100+AH100+AL100+AN100+AV100+AX100)</f>
      </c>
      <c r="CR100" s="72">
        <f>IF(B100="","",IF(CP100=0,0,CQ100/CP100-1))</f>
      </c>
      <c r="CS100" s="60">
        <f>IF(B100="","",IF(ENTRADA!$Y100="","",ENTRADA!$Y100-C100))</f>
      </c>
      <c r="CT100" s="66">
        <f>IF(B100="","",IF(ENTRADA!$C100="","Falta fecha. ","")&amp;IF(BP100=0,"Mes fuera del rango de COSTOS_FIJOS. ","")&amp;IF(J100=0,"Sin kg. ","")&amp;IF(E100="","Falta transitaria. ","")&amp;IF(AND(T100&gt;0,U100/T100-1&gt;Tolerancia_Comb),"Combustible al puerto "&amp;TEXT(U100/T100-1,"+0%")&amp;" sobre norma. ","")&amp;IF(AND(AG100&gt;0,AH100/AG100-1&gt;Tolerancia_Comb),"Combustible distribución Occidente "&amp;TEXT(AH100/AG100-1,"+0%")&amp;" sobre norma. ","")&amp;IF(AND(AK100&gt;0,AL100/AK100-1&gt;Tolerancia_Comb),"Combustible traslado Centro "&amp;TEXT(AL100/AK100-1,"+0%")&amp;" sobre norma. ","")&amp;IF(AND(AM100&gt;0,AN100/AM100-1&gt;Tolerancia_Comb),"Combustible distribución Centro "&amp;TEXT(AN100/AM100-1,"+0%")&amp;" sobre norma. ","")&amp;IF(AND(AU100&gt;0,AV100/AU100-1&gt;Tolerancia_Comb),"Combustible traslado Oriente "&amp;TEXT(AV100/AU100-1,"+0%")&amp;" sobre norma. ","")&amp;IF(AND(AW100&gt;0,AX100/AW100-1&gt;Tolerancia_Comb),"Combustible distribución Oriente "&amp;TEXT(AX100/AW100-1,"+0%")&amp;" sobre norma. ","")&amp;IF(AND(ENTRADA!$C100&lt;&gt;"",C100&lt;PRECIOS!$A$6),"Fecha anterior a la 1ª vigencia de precios. ","")&amp;IF(CD100&lt;0,"Contenedor con pérdida. ",""))</f>
      </c>
    </row>
    <row r="101">
      <c r="A101" s="60">
        <f>IF(B101="","",ROW()-5)</f>
      </c>
      <c r="B101" s="63">
        <f>IF(ENTRADA!$B101="","",ENTRADA!$B101)</f>
      </c>
      <c r="C101" s="64">
        <f>IF(B101="","",ENTRADA!$C101)</f>
      </c>
      <c r="D101" s="65">
        <f>IF(B101="","",DATE(YEAR(C101),MONTH(C101),1))</f>
      </c>
      <c r="E101" s="66">
        <f>IF(B101="","",ENTRADA!$D101&amp;"")</f>
      </c>
      <c r="F101" s="66">
        <f>IF(B101="","",ENTRADA!$Z101&amp;"")</f>
      </c>
      <c r="G101" s="67">
        <f>IF(B101="","",N(ENTRADA!$G101))</f>
      </c>
      <c r="H101" s="67">
        <f>IF(B101="","",N(ENTRADA!$H101))</f>
      </c>
      <c r="I101" s="67">
        <f>IF(B101="","",N(ENTRADA!$I101))</f>
      </c>
      <c r="J101" s="68">
        <f>IF(B101="","",G101+H101+I101)</f>
      </c>
      <c r="K101" s="60">
        <f>IF(B101="","",IFERROR(MATCH(SUMPRODUCT(MAX((PRECIOS!$A$6:$A$55&lt;=C101)*PRECIOS!$A$6:$A$55)),PRECIOS!$A$6:$A$55,0),1))</f>
      </c>
      <c r="L101" s="69">
        <f>IF(B101="","",INDEX(PRECIOS!$A$6:$A$55,K101))</f>
      </c>
      <c r="M101" s="37">
        <f>IF(B101="","",G101*INDEX(PRECIOS!$B$6:$B$55,K101))</f>
      </c>
      <c r="N101" s="37">
        <f>IF(B101="","",H101*INDEX(PRECIOS!$C$6:$C$55,K101))</f>
      </c>
      <c r="O101" s="37">
        <f>IF(B101="","",I101*INDEX(PRECIOS!$D$6:$D$55,K101))</f>
      </c>
      <c r="P101" s="37">
        <f>IF(B101="","",N(ENTRADA!$X101))</f>
      </c>
      <c r="Q101" s="70">
        <f>IF(B101="","",M101+N101+O101+P101)</f>
      </c>
      <c r="R101" s="71">
        <f>IF(B101="","",IF(ENTRADA!$J101="",Std_Viajes_Puerto,ENTRADA!$J101))</f>
      </c>
      <c r="S101" s="37">
        <f>IF(B101="","",R101*INDEX(PRECIOS!$F$6:$F$55,K101))</f>
      </c>
      <c r="T101" s="71">
        <f>IF(B101="","",R101*Litros_Puerto_Viaje)</f>
      </c>
      <c r="U101" s="71">
        <f>IF(B101="","",IF(ENTRADA!$K101="",T101,ENTRADA!$K101))</f>
      </c>
      <c r="V101" s="37">
        <f>IF(B101="","",U101*INDEX(PRECIOS!$E$6:$E$55,K101))</f>
      </c>
      <c r="W101" s="37">
        <f>IF(B101="","",IF(ENTRADA!$L101="",R101*INDEX(PRECIOS!$G$6:$G$55,K101),ENTRADA!$L101))</f>
      </c>
      <c r="X101" s="37">
        <f>IF(B101="","",R101*Km_Puerto_Viaje*INDEX(PRECIOS!$N$6:$N$55,K101))</f>
      </c>
      <c r="Y101" s="70">
        <f>IF(B101="","",S101+V101+W101+X101)</f>
      </c>
      <c r="Z101" s="71">
        <f>IF(B101="","",IF(J101=0,0,ROUNDUP(J101/Rend_Desagrupe,0)))</f>
      </c>
      <c r="AA101" s="71">
        <f>IF(B101="","",IF(ENTRADA!$M101="",Z101,ENTRADA!$M101))</f>
      </c>
      <c r="AB101" s="37">
        <f>IF(B101="","",AA101*INDEX(PRECIOS!$H$6:$H$55,K101))</f>
      </c>
      <c r="AC101" s="37">
        <f>IF(B101="","",IF(E101="ENCI",INDEX(PRECIOS!$J$6:$J$55,K101),IF(E101="A.V",INDEX(PRECIOS!$K$6:$K$55,K101),0)))</f>
      </c>
      <c r="AD101" s="37">
        <f>IF(B101="","",N(ENTRADA!$N101))</f>
      </c>
      <c r="AE101" s="70">
        <f>IF(B101="","",AB101+AC101+AD101)</f>
      </c>
      <c r="AF101" s="71">
        <f>IF(B101="","",IF(G101=0,0,ROUNDUP(G101/Cap_Camion_OCC,0)))</f>
      </c>
      <c r="AG101" s="71">
        <f>IF(B101="","",AF101*L_Dist_OCC)</f>
      </c>
      <c r="AH101" s="71">
        <f>IF(B101="","",IF(ENTRADA!$O101="",AG101,ENTRADA!$O101))</f>
      </c>
      <c r="AI101" s="37">
        <f>IF(B101="","",AH101*INDEX(PRECIOS!$E$6:$E$55,K101))</f>
      </c>
      <c r="AJ101" s="71">
        <f>IF(B101="","",IF(H101=0,0,ROUNDUP(H101/Cap_Camion_CEN,0)))</f>
      </c>
      <c r="AK101" s="71">
        <f>IF(B101="","",AJ101*L_Tras_CEN)</f>
      </c>
      <c r="AL101" s="71">
        <f>IF(B101="","",IF(ENTRADA!$P101="",AK101,ENTRADA!$P101))</f>
      </c>
      <c r="AM101" s="71">
        <f>IF(B101="","",AJ101*L_Dist_CEN)</f>
      </c>
      <c r="AN101" s="71">
        <f>IF(B101="","",IF(ENTRADA!$Q101="",AM101,ENTRADA!$Q101))</f>
      </c>
      <c r="AO101" s="37">
        <f>IF(B101="","",(AL101+AN101)*INDEX(PRECIOS!$E$6:$E$55,K101))</f>
      </c>
      <c r="AP101" s="71">
        <f>IF(B101="","",IF(H101=0,0,ROUNDUP(H101/Rend_Desagrupe_CT,0)))</f>
      </c>
      <c r="AQ101" s="71">
        <f>IF(B101="","",IF(ENTRADA!$R101="",AP101,ENTRADA!$R101))</f>
      </c>
      <c r="AR101" s="37">
        <f>IF(B101="","",AQ101*INDEX(PRECIOS!$I$6:$I$55,K101))</f>
      </c>
      <c r="AS101" s="37">
        <f>IF(B101="","",AO101+AR101)</f>
      </c>
      <c r="AT101" s="71">
        <f>IF(B101="","",IF(I101=0,0,ROUNDUP(I101/Cap_Camion_ORI,0)))</f>
      </c>
      <c r="AU101" s="71">
        <f>IF(B101="","",AT101*L_Tras_ORI)</f>
      </c>
      <c r="AV101" s="71">
        <f>IF(B101="","",IF(ENTRADA!$S101="",AU101,ENTRADA!$S101))</f>
      </c>
      <c r="AW101" s="71">
        <f>IF(B101="","",AT101*L_Dist_ORI)</f>
      </c>
      <c r="AX101" s="71">
        <f>IF(B101="","",IF(ENTRADA!$T101="",AW101,ENTRADA!$T101))</f>
      </c>
      <c r="AY101" s="37">
        <f>IF(B101="","",(AV101+AX101)*INDEX(PRECIOS!$E$6:$E$55,K101))</f>
      </c>
      <c r="AZ101" s="71">
        <f>IF(B101="","",IF(I101=0,0,ROUNDUP(I101/Rend_Desagrupe_CT,0)))</f>
      </c>
      <c r="BA101" s="71">
        <f>IF(B101="","",IF(ENTRADA!$U101="",AZ101,ENTRADA!$U101))</f>
      </c>
      <c r="BB101" s="37">
        <f>IF(B101="","",BA101*INDEX(PRECIOS!$I$6:$I$55,K101))</f>
      </c>
      <c r="BC101" s="37">
        <f>IF(B101="","",AY101+BB101)</f>
      </c>
      <c r="BD101" s="70">
        <f>IF(B101="","",AI101+AS101+BC101)</f>
      </c>
      <c r="BE101" s="37">
        <f>IF(B101="","",IF(Base_Comision="% DEL INGRESO",M101*INDEX(PRECIOS!$L$6:$L$55,K101),G101*INDEX(PRECIOS!$M$6:$M$55,K101)))</f>
      </c>
      <c r="BF101" s="37">
        <f>IF(B101="","",IF(Base_Comision="% DEL INGRESO",N101*INDEX(PRECIOS!$L$6:$L$55,K101),H101*INDEX(PRECIOS!$M$6:$M$55,K101)))</f>
      </c>
      <c r="BG101" s="37">
        <f>IF(B101="","",IF(Base_Comision="% DEL INGRESO",O101*INDEX(PRECIOS!$L$6:$L$55,K101),I101*INDEX(PRECIOS!$M$6:$M$55,K101)))</f>
      </c>
      <c r="BH101" s="70">
        <f>IF(B101="","",BE101+BF101+BG101)</f>
      </c>
      <c r="BI101" s="37">
        <f>IF(B101="","",Q101*Pct_Reclamaciones)</f>
      </c>
      <c r="BJ101" s="37">
        <f>IF(B101="","",Q101*Pct_Banco)</f>
      </c>
      <c r="BK101" s="37">
        <f>IF(B101="","",N(ENTRADA!$V101))</f>
      </c>
      <c r="BL101" s="70">
        <f>IF(B101="","",Y101+AE101+BD101+BH101+BI101+BJ101+BK101)</f>
      </c>
      <c r="BM101" s="70">
        <f>IF(B101="","",Q101-BL101)</f>
      </c>
      <c r="BN101" s="72">
        <f>IF(B101="","",IF(Q101=0,0,BM101/Q101))</f>
      </c>
      <c r="BO101" s="73">
        <f>IF(B101="","",IF(J101=0,0,BM101/J101))</f>
      </c>
      <c r="BP101" s="60">
        <f>IF(B101="","",IFERROR(MATCH(D101,COSTOS_FIJOS!$G$5:$AD$5,0),0))</f>
      </c>
      <c r="BQ101" s="60">
        <f>IF(B101="","",COUNTIFS($D$6:$D$305,D101))</f>
      </c>
      <c r="BR101" s="67">
        <f>IF(B101="","",SUMIFS($J$6:$J$305,$D$6:$D$305,D101))</f>
      </c>
      <c r="BS101" s="72">
        <f>IF(B101="","",IF(Metodo_Prorrateo="KG",IF(BR101=0,0,J101/BR101),1/BQ101))</f>
      </c>
      <c r="BT101" s="37">
        <f>IF(B101="","",IF(BP101=0,0,INDEX(COSTOS_FIJOS!$G$38:$AD$38,BP101))*BS101)</f>
      </c>
      <c r="BU101" s="72">
        <f>IF(B101="","",IF(Metodo_Prorrateo="KG",IF(SUMIFS($G$6:$G$305,$D$6:$D$305,D101)=0,0,G101/SUMIFS($G$6:$G$305,$D$6:$D$305,D101)),IF(G101&gt;0,1/COUNTIFS($D$6:$D$305,D101,$G$6:$G$305,"&gt;0"),0)))</f>
      </c>
      <c r="BV101" s="37">
        <f>IF(B101="","",IF(BP101=0,0,INDEX(COSTOS_FIJOS!$G$39:$AD$39,BP101))*BU101)</f>
      </c>
      <c r="BW101" s="72">
        <f>IF(B101="","",IF(Metodo_Prorrateo="KG",IF(SUMIFS($H$6:$H$305,$D$6:$D$305,D101)=0,0,H101/SUMIFS($H$6:$H$305,$D$6:$D$305,D101)),IF(H101&gt;0,1/COUNTIFS($D$6:$D$305,D101,$H$6:$H$305,"&gt;0"),0)))</f>
      </c>
      <c r="BX101" s="37">
        <f>IF(B101="","",IF(BP101=0,0,INDEX(COSTOS_FIJOS!$G$40:$AD$40,BP101))*BW101)</f>
      </c>
      <c r="BY101" s="72">
        <f>IF(B101="","",IF(Metodo_Prorrateo="KG",IF(SUMIFS($I$6:$I$305,$D$6:$D$305,D101)=0,0,I101/SUMIFS($I$6:$I$305,$D$6:$D$305,D101)),IF(I101&gt;0,1/COUNTIFS($D$6:$D$305,D101,$I$6:$I$305,"&gt;0"),0)))</f>
      </c>
      <c r="BZ101" s="37">
        <f>IF(B101="","",IF(BP101=0,0,INDEX(COSTOS_FIJOS!$G$41:$AD$41,BP101))*BY101)</f>
      </c>
      <c r="CA101" s="70">
        <f>IF(B101="","",BT101+BV101+BX101+BZ101)</f>
      </c>
      <c r="CB101" s="37">
        <f>IF(B101="","",Q101*Imp_Ventas_Serv)</f>
      </c>
      <c r="CC101" s="37">
        <f>IF(B101="","",Q101*Contrib_Territorial)</f>
      </c>
      <c r="CD101" s="70">
        <f>IF(B101="","",BM101-CA101-CB101-CC101)</f>
      </c>
      <c r="CE101" s="37">
        <f>IF(B101="","",MAX(0,CD101)*Imp_Utilidades)</f>
      </c>
      <c r="CF101" s="70">
        <f>IF(B101="","",CD101-CE101)</f>
      </c>
      <c r="CG101" s="72">
        <f>IF(B101="","",IF(Q101=0,0,CF101/Q101))</f>
      </c>
      <c r="CH101" s="73">
        <f>IF(B101="","",IF(J101=0,0,(BL101+CA101+CB101+CC101)/J101))</f>
      </c>
      <c r="CI101" s="73">
        <f>IF(B101="","",IF(J101=0,0,Q101/J101))</f>
      </c>
      <c r="CJ101" s="73">
        <f>IF(B101="","",IF(J101=0,0,CD101/J101))</f>
      </c>
      <c r="CK101" s="37">
        <f>IF(B101="","",Y101+AE101+BK101+BT101)</f>
      </c>
      <c r="CL101" s="37">
        <f>IF(B101="","",IF(J101=0,0,(M101+P101*G101/J101)*(1-Pct_Reclamaciones-Pct_Banco-Imp_Ventas_Serv-Contrib_Territorial)-AI101-BE101-BV101-CK101*G101/J101))</f>
      </c>
      <c r="CM101" s="37">
        <f>IF(B101="","",IF(J101=0,0,(N101+P101*H101/J101)*(1-Pct_Reclamaciones-Pct_Banco-Imp_Ventas_Serv-Contrib_Territorial)-AS101-BF101-BX101-CK101*H101/J101))</f>
      </c>
      <c r="CN101" s="37">
        <f>IF(B101="","",IF(J101=0,0,(O101+P101*I101/J101)*(1-Pct_Reclamaciones-Pct_Banco-Imp_Ventas_Serv-Contrib_Territorial)-BC101-BG101-BZ101-CK101*I101/J101))</f>
      </c>
      <c r="CO101" s="37">
        <f>IF(B101="","",IF(J101=0,0,ROUND(CD101-CL101-CM101-CN101,4)))</f>
      </c>
      <c r="CP101" s="71">
        <f>IF(B101="","",T101+AG101+AK101+AM101+AU101+AW101)</f>
      </c>
      <c r="CQ101" s="71">
        <f>IF(B101="","",U101+AH101+AL101+AN101+AV101+AX101)</f>
      </c>
      <c r="CR101" s="72">
        <f>IF(B101="","",IF(CP101=0,0,CQ101/CP101-1))</f>
      </c>
      <c r="CS101" s="60">
        <f>IF(B101="","",IF(ENTRADA!$Y101="","",ENTRADA!$Y101-C101))</f>
      </c>
      <c r="CT101" s="66">
        <f>IF(B101="","",IF(ENTRADA!$C101="","Falta fecha. ","")&amp;IF(BP101=0,"Mes fuera del rango de COSTOS_FIJOS. ","")&amp;IF(J101=0,"Sin kg. ","")&amp;IF(E101="","Falta transitaria. ","")&amp;IF(AND(T101&gt;0,U101/T101-1&gt;Tolerancia_Comb),"Combustible al puerto "&amp;TEXT(U101/T101-1,"+0%")&amp;" sobre norma. ","")&amp;IF(AND(AG101&gt;0,AH101/AG101-1&gt;Tolerancia_Comb),"Combustible distribución Occidente "&amp;TEXT(AH101/AG101-1,"+0%")&amp;" sobre norma. ","")&amp;IF(AND(AK101&gt;0,AL101/AK101-1&gt;Tolerancia_Comb),"Combustible traslado Centro "&amp;TEXT(AL101/AK101-1,"+0%")&amp;" sobre norma. ","")&amp;IF(AND(AM101&gt;0,AN101/AM101-1&gt;Tolerancia_Comb),"Combustible distribución Centro "&amp;TEXT(AN101/AM101-1,"+0%")&amp;" sobre norma. ","")&amp;IF(AND(AU101&gt;0,AV101/AU101-1&gt;Tolerancia_Comb),"Combustible traslado Oriente "&amp;TEXT(AV101/AU101-1,"+0%")&amp;" sobre norma. ","")&amp;IF(AND(AW101&gt;0,AX101/AW101-1&gt;Tolerancia_Comb),"Combustible distribución Oriente "&amp;TEXT(AX101/AW101-1,"+0%")&amp;" sobre norma. ","")&amp;IF(AND(ENTRADA!$C101&lt;&gt;"",C101&lt;PRECIOS!$A$6),"Fecha anterior a la 1ª vigencia de precios. ","")&amp;IF(CD101&lt;0,"Contenedor con pérdida. ",""))</f>
      </c>
    </row>
    <row r="102">
      <c r="A102" s="60">
        <f>IF(B102="","",ROW()-5)</f>
      </c>
      <c r="B102" s="63">
        <f>IF(ENTRADA!$B102="","",ENTRADA!$B102)</f>
      </c>
      <c r="C102" s="64">
        <f>IF(B102="","",ENTRADA!$C102)</f>
      </c>
      <c r="D102" s="65">
        <f>IF(B102="","",DATE(YEAR(C102),MONTH(C102),1))</f>
      </c>
      <c r="E102" s="66">
        <f>IF(B102="","",ENTRADA!$D102&amp;"")</f>
      </c>
      <c r="F102" s="66">
        <f>IF(B102="","",ENTRADA!$Z102&amp;"")</f>
      </c>
      <c r="G102" s="67">
        <f>IF(B102="","",N(ENTRADA!$G102))</f>
      </c>
      <c r="H102" s="67">
        <f>IF(B102="","",N(ENTRADA!$H102))</f>
      </c>
      <c r="I102" s="67">
        <f>IF(B102="","",N(ENTRADA!$I102))</f>
      </c>
      <c r="J102" s="68">
        <f>IF(B102="","",G102+H102+I102)</f>
      </c>
      <c r="K102" s="60">
        <f>IF(B102="","",IFERROR(MATCH(SUMPRODUCT(MAX((PRECIOS!$A$6:$A$55&lt;=C102)*PRECIOS!$A$6:$A$55)),PRECIOS!$A$6:$A$55,0),1))</f>
      </c>
      <c r="L102" s="69">
        <f>IF(B102="","",INDEX(PRECIOS!$A$6:$A$55,K102))</f>
      </c>
      <c r="M102" s="37">
        <f>IF(B102="","",G102*INDEX(PRECIOS!$B$6:$B$55,K102))</f>
      </c>
      <c r="N102" s="37">
        <f>IF(B102="","",H102*INDEX(PRECIOS!$C$6:$C$55,K102))</f>
      </c>
      <c r="O102" s="37">
        <f>IF(B102="","",I102*INDEX(PRECIOS!$D$6:$D$55,K102))</f>
      </c>
      <c r="P102" s="37">
        <f>IF(B102="","",N(ENTRADA!$X102))</f>
      </c>
      <c r="Q102" s="70">
        <f>IF(B102="","",M102+N102+O102+P102)</f>
      </c>
      <c r="R102" s="71">
        <f>IF(B102="","",IF(ENTRADA!$J102="",Std_Viajes_Puerto,ENTRADA!$J102))</f>
      </c>
      <c r="S102" s="37">
        <f>IF(B102="","",R102*INDEX(PRECIOS!$F$6:$F$55,K102))</f>
      </c>
      <c r="T102" s="71">
        <f>IF(B102="","",R102*Litros_Puerto_Viaje)</f>
      </c>
      <c r="U102" s="71">
        <f>IF(B102="","",IF(ENTRADA!$K102="",T102,ENTRADA!$K102))</f>
      </c>
      <c r="V102" s="37">
        <f>IF(B102="","",U102*INDEX(PRECIOS!$E$6:$E$55,K102))</f>
      </c>
      <c r="W102" s="37">
        <f>IF(B102="","",IF(ENTRADA!$L102="",R102*INDEX(PRECIOS!$G$6:$G$55,K102),ENTRADA!$L102))</f>
      </c>
      <c r="X102" s="37">
        <f>IF(B102="","",R102*Km_Puerto_Viaje*INDEX(PRECIOS!$N$6:$N$55,K102))</f>
      </c>
      <c r="Y102" s="70">
        <f>IF(B102="","",S102+V102+W102+X102)</f>
      </c>
      <c r="Z102" s="71">
        <f>IF(B102="","",IF(J102=0,0,ROUNDUP(J102/Rend_Desagrupe,0)))</f>
      </c>
      <c r="AA102" s="71">
        <f>IF(B102="","",IF(ENTRADA!$M102="",Z102,ENTRADA!$M102))</f>
      </c>
      <c r="AB102" s="37">
        <f>IF(B102="","",AA102*INDEX(PRECIOS!$H$6:$H$55,K102))</f>
      </c>
      <c r="AC102" s="37">
        <f>IF(B102="","",IF(E102="ENCI",INDEX(PRECIOS!$J$6:$J$55,K102),IF(E102="A.V",INDEX(PRECIOS!$K$6:$K$55,K102),0)))</f>
      </c>
      <c r="AD102" s="37">
        <f>IF(B102="","",N(ENTRADA!$N102))</f>
      </c>
      <c r="AE102" s="70">
        <f>IF(B102="","",AB102+AC102+AD102)</f>
      </c>
      <c r="AF102" s="71">
        <f>IF(B102="","",IF(G102=0,0,ROUNDUP(G102/Cap_Camion_OCC,0)))</f>
      </c>
      <c r="AG102" s="71">
        <f>IF(B102="","",AF102*L_Dist_OCC)</f>
      </c>
      <c r="AH102" s="71">
        <f>IF(B102="","",IF(ENTRADA!$O102="",AG102,ENTRADA!$O102))</f>
      </c>
      <c r="AI102" s="37">
        <f>IF(B102="","",AH102*INDEX(PRECIOS!$E$6:$E$55,K102))</f>
      </c>
      <c r="AJ102" s="71">
        <f>IF(B102="","",IF(H102=0,0,ROUNDUP(H102/Cap_Camion_CEN,0)))</f>
      </c>
      <c r="AK102" s="71">
        <f>IF(B102="","",AJ102*L_Tras_CEN)</f>
      </c>
      <c r="AL102" s="71">
        <f>IF(B102="","",IF(ENTRADA!$P102="",AK102,ENTRADA!$P102))</f>
      </c>
      <c r="AM102" s="71">
        <f>IF(B102="","",AJ102*L_Dist_CEN)</f>
      </c>
      <c r="AN102" s="71">
        <f>IF(B102="","",IF(ENTRADA!$Q102="",AM102,ENTRADA!$Q102))</f>
      </c>
      <c r="AO102" s="37">
        <f>IF(B102="","",(AL102+AN102)*INDEX(PRECIOS!$E$6:$E$55,K102))</f>
      </c>
      <c r="AP102" s="71">
        <f>IF(B102="","",IF(H102=0,0,ROUNDUP(H102/Rend_Desagrupe_CT,0)))</f>
      </c>
      <c r="AQ102" s="71">
        <f>IF(B102="","",IF(ENTRADA!$R102="",AP102,ENTRADA!$R102))</f>
      </c>
      <c r="AR102" s="37">
        <f>IF(B102="","",AQ102*INDEX(PRECIOS!$I$6:$I$55,K102))</f>
      </c>
      <c r="AS102" s="37">
        <f>IF(B102="","",AO102+AR102)</f>
      </c>
      <c r="AT102" s="71">
        <f>IF(B102="","",IF(I102=0,0,ROUNDUP(I102/Cap_Camion_ORI,0)))</f>
      </c>
      <c r="AU102" s="71">
        <f>IF(B102="","",AT102*L_Tras_ORI)</f>
      </c>
      <c r="AV102" s="71">
        <f>IF(B102="","",IF(ENTRADA!$S102="",AU102,ENTRADA!$S102))</f>
      </c>
      <c r="AW102" s="71">
        <f>IF(B102="","",AT102*L_Dist_ORI)</f>
      </c>
      <c r="AX102" s="71">
        <f>IF(B102="","",IF(ENTRADA!$T102="",AW102,ENTRADA!$T102))</f>
      </c>
      <c r="AY102" s="37">
        <f>IF(B102="","",(AV102+AX102)*INDEX(PRECIOS!$E$6:$E$55,K102))</f>
      </c>
      <c r="AZ102" s="71">
        <f>IF(B102="","",IF(I102=0,0,ROUNDUP(I102/Rend_Desagrupe_CT,0)))</f>
      </c>
      <c r="BA102" s="71">
        <f>IF(B102="","",IF(ENTRADA!$U102="",AZ102,ENTRADA!$U102))</f>
      </c>
      <c r="BB102" s="37">
        <f>IF(B102="","",BA102*INDEX(PRECIOS!$I$6:$I$55,K102))</f>
      </c>
      <c r="BC102" s="37">
        <f>IF(B102="","",AY102+BB102)</f>
      </c>
      <c r="BD102" s="70">
        <f>IF(B102="","",AI102+AS102+BC102)</f>
      </c>
      <c r="BE102" s="37">
        <f>IF(B102="","",IF(Base_Comision="% DEL INGRESO",M102*INDEX(PRECIOS!$L$6:$L$55,K102),G102*INDEX(PRECIOS!$M$6:$M$55,K102)))</f>
      </c>
      <c r="BF102" s="37">
        <f>IF(B102="","",IF(Base_Comision="% DEL INGRESO",N102*INDEX(PRECIOS!$L$6:$L$55,K102),H102*INDEX(PRECIOS!$M$6:$M$55,K102)))</f>
      </c>
      <c r="BG102" s="37">
        <f>IF(B102="","",IF(Base_Comision="% DEL INGRESO",O102*INDEX(PRECIOS!$L$6:$L$55,K102),I102*INDEX(PRECIOS!$M$6:$M$55,K102)))</f>
      </c>
      <c r="BH102" s="70">
        <f>IF(B102="","",BE102+BF102+BG102)</f>
      </c>
      <c r="BI102" s="37">
        <f>IF(B102="","",Q102*Pct_Reclamaciones)</f>
      </c>
      <c r="BJ102" s="37">
        <f>IF(B102="","",Q102*Pct_Banco)</f>
      </c>
      <c r="BK102" s="37">
        <f>IF(B102="","",N(ENTRADA!$V102))</f>
      </c>
      <c r="BL102" s="70">
        <f>IF(B102="","",Y102+AE102+BD102+BH102+BI102+BJ102+BK102)</f>
      </c>
      <c r="BM102" s="70">
        <f>IF(B102="","",Q102-BL102)</f>
      </c>
      <c r="BN102" s="72">
        <f>IF(B102="","",IF(Q102=0,0,BM102/Q102))</f>
      </c>
      <c r="BO102" s="73">
        <f>IF(B102="","",IF(J102=0,0,BM102/J102))</f>
      </c>
      <c r="BP102" s="60">
        <f>IF(B102="","",IFERROR(MATCH(D102,COSTOS_FIJOS!$G$5:$AD$5,0),0))</f>
      </c>
      <c r="BQ102" s="60">
        <f>IF(B102="","",COUNTIFS($D$6:$D$305,D102))</f>
      </c>
      <c r="BR102" s="67">
        <f>IF(B102="","",SUMIFS($J$6:$J$305,$D$6:$D$305,D102))</f>
      </c>
      <c r="BS102" s="72">
        <f>IF(B102="","",IF(Metodo_Prorrateo="KG",IF(BR102=0,0,J102/BR102),1/BQ102))</f>
      </c>
      <c r="BT102" s="37">
        <f>IF(B102="","",IF(BP102=0,0,INDEX(COSTOS_FIJOS!$G$38:$AD$38,BP102))*BS102)</f>
      </c>
      <c r="BU102" s="72">
        <f>IF(B102="","",IF(Metodo_Prorrateo="KG",IF(SUMIFS($G$6:$G$305,$D$6:$D$305,D102)=0,0,G102/SUMIFS($G$6:$G$305,$D$6:$D$305,D102)),IF(G102&gt;0,1/COUNTIFS($D$6:$D$305,D102,$G$6:$G$305,"&gt;0"),0)))</f>
      </c>
      <c r="BV102" s="37">
        <f>IF(B102="","",IF(BP102=0,0,INDEX(COSTOS_FIJOS!$G$39:$AD$39,BP102))*BU102)</f>
      </c>
      <c r="BW102" s="72">
        <f>IF(B102="","",IF(Metodo_Prorrateo="KG",IF(SUMIFS($H$6:$H$305,$D$6:$D$305,D102)=0,0,H102/SUMIFS($H$6:$H$305,$D$6:$D$305,D102)),IF(H102&gt;0,1/COUNTIFS($D$6:$D$305,D102,$H$6:$H$305,"&gt;0"),0)))</f>
      </c>
      <c r="BX102" s="37">
        <f>IF(B102="","",IF(BP102=0,0,INDEX(COSTOS_FIJOS!$G$40:$AD$40,BP102))*BW102)</f>
      </c>
      <c r="BY102" s="72">
        <f>IF(B102="","",IF(Metodo_Prorrateo="KG",IF(SUMIFS($I$6:$I$305,$D$6:$D$305,D102)=0,0,I102/SUMIFS($I$6:$I$305,$D$6:$D$305,D102)),IF(I102&gt;0,1/COUNTIFS($D$6:$D$305,D102,$I$6:$I$305,"&gt;0"),0)))</f>
      </c>
      <c r="BZ102" s="37">
        <f>IF(B102="","",IF(BP102=0,0,INDEX(COSTOS_FIJOS!$G$41:$AD$41,BP102))*BY102)</f>
      </c>
      <c r="CA102" s="70">
        <f>IF(B102="","",BT102+BV102+BX102+BZ102)</f>
      </c>
      <c r="CB102" s="37">
        <f>IF(B102="","",Q102*Imp_Ventas_Serv)</f>
      </c>
      <c r="CC102" s="37">
        <f>IF(B102="","",Q102*Contrib_Territorial)</f>
      </c>
      <c r="CD102" s="70">
        <f>IF(B102="","",BM102-CA102-CB102-CC102)</f>
      </c>
      <c r="CE102" s="37">
        <f>IF(B102="","",MAX(0,CD102)*Imp_Utilidades)</f>
      </c>
      <c r="CF102" s="70">
        <f>IF(B102="","",CD102-CE102)</f>
      </c>
      <c r="CG102" s="72">
        <f>IF(B102="","",IF(Q102=0,0,CF102/Q102))</f>
      </c>
      <c r="CH102" s="73">
        <f>IF(B102="","",IF(J102=0,0,(BL102+CA102+CB102+CC102)/J102))</f>
      </c>
      <c r="CI102" s="73">
        <f>IF(B102="","",IF(J102=0,0,Q102/J102))</f>
      </c>
      <c r="CJ102" s="73">
        <f>IF(B102="","",IF(J102=0,0,CD102/J102))</f>
      </c>
      <c r="CK102" s="37">
        <f>IF(B102="","",Y102+AE102+BK102+BT102)</f>
      </c>
      <c r="CL102" s="37">
        <f>IF(B102="","",IF(J102=0,0,(M102+P102*G102/J102)*(1-Pct_Reclamaciones-Pct_Banco-Imp_Ventas_Serv-Contrib_Territorial)-AI102-BE102-BV102-CK102*G102/J102))</f>
      </c>
      <c r="CM102" s="37">
        <f>IF(B102="","",IF(J102=0,0,(N102+P102*H102/J102)*(1-Pct_Reclamaciones-Pct_Banco-Imp_Ventas_Serv-Contrib_Territorial)-AS102-BF102-BX102-CK102*H102/J102))</f>
      </c>
      <c r="CN102" s="37">
        <f>IF(B102="","",IF(J102=0,0,(O102+P102*I102/J102)*(1-Pct_Reclamaciones-Pct_Banco-Imp_Ventas_Serv-Contrib_Territorial)-BC102-BG102-BZ102-CK102*I102/J102))</f>
      </c>
      <c r="CO102" s="37">
        <f>IF(B102="","",IF(J102=0,0,ROUND(CD102-CL102-CM102-CN102,4)))</f>
      </c>
      <c r="CP102" s="71">
        <f>IF(B102="","",T102+AG102+AK102+AM102+AU102+AW102)</f>
      </c>
      <c r="CQ102" s="71">
        <f>IF(B102="","",U102+AH102+AL102+AN102+AV102+AX102)</f>
      </c>
      <c r="CR102" s="72">
        <f>IF(B102="","",IF(CP102=0,0,CQ102/CP102-1))</f>
      </c>
      <c r="CS102" s="60">
        <f>IF(B102="","",IF(ENTRADA!$Y102="","",ENTRADA!$Y102-C102))</f>
      </c>
      <c r="CT102" s="66">
        <f>IF(B102="","",IF(ENTRADA!$C102="","Falta fecha. ","")&amp;IF(BP102=0,"Mes fuera del rango de COSTOS_FIJOS. ","")&amp;IF(J102=0,"Sin kg. ","")&amp;IF(E102="","Falta transitaria. ","")&amp;IF(AND(T102&gt;0,U102/T102-1&gt;Tolerancia_Comb),"Combustible al puerto "&amp;TEXT(U102/T102-1,"+0%")&amp;" sobre norma. ","")&amp;IF(AND(AG102&gt;0,AH102/AG102-1&gt;Tolerancia_Comb),"Combustible distribución Occidente "&amp;TEXT(AH102/AG102-1,"+0%")&amp;" sobre norma. ","")&amp;IF(AND(AK102&gt;0,AL102/AK102-1&gt;Tolerancia_Comb),"Combustible traslado Centro "&amp;TEXT(AL102/AK102-1,"+0%")&amp;" sobre norma. ","")&amp;IF(AND(AM102&gt;0,AN102/AM102-1&gt;Tolerancia_Comb),"Combustible distribución Centro "&amp;TEXT(AN102/AM102-1,"+0%")&amp;" sobre norma. ","")&amp;IF(AND(AU102&gt;0,AV102/AU102-1&gt;Tolerancia_Comb),"Combustible traslado Oriente "&amp;TEXT(AV102/AU102-1,"+0%")&amp;" sobre norma. ","")&amp;IF(AND(AW102&gt;0,AX102/AW102-1&gt;Tolerancia_Comb),"Combustible distribución Oriente "&amp;TEXT(AX102/AW102-1,"+0%")&amp;" sobre norma. ","")&amp;IF(AND(ENTRADA!$C102&lt;&gt;"",C102&lt;PRECIOS!$A$6),"Fecha anterior a la 1ª vigencia de precios. ","")&amp;IF(CD102&lt;0,"Contenedor con pérdida. ",""))</f>
      </c>
    </row>
    <row r="103">
      <c r="A103" s="60">
        <f>IF(B103="","",ROW()-5)</f>
      </c>
      <c r="B103" s="63">
        <f>IF(ENTRADA!$B103="","",ENTRADA!$B103)</f>
      </c>
      <c r="C103" s="64">
        <f>IF(B103="","",ENTRADA!$C103)</f>
      </c>
      <c r="D103" s="65">
        <f>IF(B103="","",DATE(YEAR(C103),MONTH(C103),1))</f>
      </c>
      <c r="E103" s="66">
        <f>IF(B103="","",ENTRADA!$D103&amp;"")</f>
      </c>
      <c r="F103" s="66">
        <f>IF(B103="","",ENTRADA!$Z103&amp;"")</f>
      </c>
      <c r="G103" s="67">
        <f>IF(B103="","",N(ENTRADA!$G103))</f>
      </c>
      <c r="H103" s="67">
        <f>IF(B103="","",N(ENTRADA!$H103))</f>
      </c>
      <c r="I103" s="67">
        <f>IF(B103="","",N(ENTRADA!$I103))</f>
      </c>
      <c r="J103" s="68">
        <f>IF(B103="","",G103+H103+I103)</f>
      </c>
      <c r="K103" s="60">
        <f>IF(B103="","",IFERROR(MATCH(SUMPRODUCT(MAX((PRECIOS!$A$6:$A$55&lt;=C103)*PRECIOS!$A$6:$A$55)),PRECIOS!$A$6:$A$55,0),1))</f>
      </c>
      <c r="L103" s="69">
        <f>IF(B103="","",INDEX(PRECIOS!$A$6:$A$55,K103))</f>
      </c>
      <c r="M103" s="37">
        <f>IF(B103="","",G103*INDEX(PRECIOS!$B$6:$B$55,K103))</f>
      </c>
      <c r="N103" s="37">
        <f>IF(B103="","",H103*INDEX(PRECIOS!$C$6:$C$55,K103))</f>
      </c>
      <c r="O103" s="37">
        <f>IF(B103="","",I103*INDEX(PRECIOS!$D$6:$D$55,K103))</f>
      </c>
      <c r="P103" s="37">
        <f>IF(B103="","",N(ENTRADA!$X103))</f>
      </c>
      <c r="Q103" s="70">
        <f>IF(B103="","",M103+N103+O103+P103)</f>
      </c>
      <c r="R103" s="71">
        <f>IF(B103="","",IF(ENTRADA!$J103="",Std_Viajes_Puerto,ENTRADA!$J103))</f>
      </c>
      <c r="S103" s="37">
        <f>IF(B103="","",R103*INDEX(PRECIOS!$F$6:$F$55,K103))</f>
      </c>
      <c r="T103" s="71">
        <f>IF(B103="","",R103*Litros_Puerto_Viaje)</f>
      </c>
      <c r="U103" s="71">
        <f>IF(B103="","",IF(ENTRADA!$K103="",T103,ENTRADA!$K103))</f>
      </c>
      <c r="V103" s="37">
        <f>IF(B103="","",U103*INDEX(PRECIOS!$E$6:$E$55,K103))</f>
      </c>
      <c r="W103" s="37">
        <f>IF(B103="","",IF(ENTRADA!$L103="",R103*INDEX(PRECIOS!$G$6:$G$55,K103),ENTRADA!$L103))</f>
      </c>
      <c r="X103" s="37">
        <f>IF(B103="","",R103*Km_Puerto_Viaje*INDEX(PRECIOS!$N$6:$N$55,K103))</f>
      </c>
      <c r="Y103" s="70">
        <f>IF(B103="","",S103+V103+W103+X103)</f>
      </c>
      <c r="Z103" s="71">
        <f>IF(B103="","",IF(J103=0,0,ROUNDUP(J103/Rend_Desagrupe,0)))</f>
      </c>
      <c r="AA103" s="71">
        <f>IF(B103="","",IF(ENTRADA!$M103="",Z103,ENTRADA!$M103))</f>
      </c>
      <c r="AB103" s="37">
        <f>IF(B103="","",AA103*INDEX(PRECIOS!$H$6:$H$55,K103))</f>
      </c>
      <c r="AC103" s="37">
        <f>IF(B103="","",IF(E103="ENCI",INDEX(PRECIOS!$J$6:$J$55,K103),IF(E103="A.V",INDEX(PRECIOS!$K$6:$K$55,K103),0)))</f>
      </c>
      <c r="AD103" s="37">
        <f>IF(B103="","",N(ENTRADA!$N103))</f>
      </c>
      <c r="AE103" s="70">
        <f>IF(B103="","",AB103+AC103+AD103)</f>
      </c>
      <c r="AF103" s="71">
        <f>IF(B103="","",IF(G103=0,0,ROUNDUP(G103/Cap_Camion_OCC,0)))</f>
      </c>
      <c r="AG103" s="71">
        <f>IF(B103="","",AF103*L_Dist_OCC)</f>
      </c>
      <c r="AH103" s="71">
        <f>IF(B103="","",IF(ENTRADA!$O103="",AG103,ENTRADA!$O103))</f>
      </c>
      <c r="AI103" s="37">
        <f>IF(B103="","",AH103*INDEX(PRECIOS!$E$6:$E$55,K103))</f>
      </c>
      <c r="AJ103" s="71">
        <f>IF(B103="","",IF(H103=0,0,ROUNDUP(H103/Cap_Camion_CEN,0)))</f>
      </c>
      <c r="AK103" s="71">
        <f>IF(B103="","",AJ103*L_Tras_CEN)</f>
      </c>
      <c r="AL103" s="71">
        <f>IF(B103="","",IF(ENTRADA!$P103="",AK103,ENTRADA!$P103))</f>
      </c>
      <c r="AM103" s="71">
        <f>IF(B103="","",AJ103*L_Dist_CEN)</f>
      </c>
      <c r="AN103" s="71">
        <f>IF(B103="","",IF(ENTRADA!$Q103="",AM103,ENTRADA!$Q103))</f>
      </c>
      <c r="AO103" s="37">
        <f>IF(B103="","",(AL103+AN103)*INDEX(PRECIOS!$E$6:$E$55,K103))</f>
      </c>
      <c r="AP103" s="71">
        <f>IF(B103="","",IF(H103=0,0,ROUNDUP(H103/Rend_Desagrupe_CT,0)))</f>
      </c>
      <c r="AQ103" s="71">
        <f>IF(B103="","",IF(ENTRADA!$R103="",AP103,ENTRADA!$R103))</f>
      </c>
      <c r="AR103" s="37">
        <f>IF(B103="","",AQ103*INDEX(PRECIOS!$I$6:$I$55,K103))</f>
      </c>
      <c r="AS103" s="37">
        <f>IF(B103="","",AO103+AR103)</f>
      </c>
      <c r="AT103" s="71">
        <f>IF(B103="","",IF(I103=0,0,ROUNDUP(I103/Cap_Camion_ORI,0)))</f>
      </c>
      <c r="AU103" s="71">
        <f>IF(B103="","",AT103*L_Tras_ORI)</f>
      </c>
      <c r="AV103" s="71">
        <f>IF(B103="","",IF(ENTRADA!$S103="",AU103,ENTRADA!$S103))</f>
      </c>
      <c r="AW103" s="71">
        <f>IF(B103="","",AT103*L_Dist_ORI)</f>
      </c>
      <c r="AX103" s="71">
        <f>IF(B103="","",IF(ENTRADA!$T103="",AW103,ENTRADA!$T103))</f>
      </c>
      <c r="AY103" s="37">
        <f>IF(B103="","",(AV103+AX103)*INDEX(PRECIOS!$E$6:$E$55,K103))</f>
      </c>
      <c r="AZ103" s="71">
        <f>IF(B103="","",IF(I103=0,0,ROUNDUP(I103/Rend_Desagrupe_CT,0)))</f>
      </c>
      <c r="BA103" s="71">
        <f>IF(B103="","",IF(ENTRADA!$U103="",AZ103,ENTRADA!$U103))</f>
      </c>
      <c r="BB103" s="37">
        <f>IF(B103="","",BA103*INDEX(PRECIOS!$I$6:$I$55,K103))</f>
      </c>
      <c r="BC103" s="37">
        <f>IF(B103="","",AY103+BB103)</f>
      </c>
      <c r="BD103" s="70">
        <f>IF(B103="","",AI103+AS103+BC103)</f>
      </c>
      <c r="BE103" s="37">
        <f>IF(B103="","",IF(Base_Comision="% DEL INGRESO",M103*INDEX(PRECIOS!$L$6:$L$55,K103),G103*INDEX(PRECIOS!$M$6:$M$55,K103)))</f>
      </c>
      <c r="BF103" s="37">
        <f>IF(B103="","",IF(Base_Comision="% DEL INGRESO",N103*INDEX(PRECIOS!$L$6:$L$55,K103),H103*INDEX(PRECIOS!$M$6:$M$55,K103)))</f>
      </c>
      <c r="BG103" s="37">
        <f>IF(B103="","",IF(Base_Comision="% DEL INGRESO",O103*INDEX(PRECIOS!$L$6:$L$55,K103),I103*INDEX(PRECIOS!$M$6:$M$55,K103)))</f>
      </c>
      <c r="BH103" s="70">
        <f>IF(B103="","",BE103+BF103+BG103)</f>
      </c>
      <c r="BI103" s="37">
        <f>IF(B103="","",Q103*Pct_Reclamaciones)</f>
      </c>
      <c r="BJ103" s="37">
        <f>IF(B103="","",Q103*Pct_Banco)</f>
      </c>
      <c r="BK103" s="37">
        <f>IF(B103="","",N(ENTRADA!$V103))</f>
      </c>
      <c r="BL103" s="70">
        <f>IF(B103="","",Y103+AE103+BD103+BH103+BI103+BJ103+BK103)</f>
      </c>
      <c r="BM103" s="70">
        <f>IF(B103="","",Q103-BL103)</f>
      </c>
      <c r="BN103" s="72">
        <f>IF(B103="","",IF(Q103=0,0,BM103/Q103))</f>
      </c>
      <c r="BO103" s="73">
        <f>IF(B103="","",IF(J103=0,0,BM103/J103))</f>
      </c>
      <c r="BP103" s="60">
        <f>IF(B103="","",IFERROR(MATCH(D103,COSTOS_FIJOS!$G$5:$AD$5,0),0))</f>
      </c>
      <c r="BQ103" s="60">
        <f>IF(B103="","",COUNTIFS($D$6:$D$305,D103))</f>
      </c>
      <c r="BR103" s="67">
        <f>IF(B103="","",SUMIFS($J$6:$J$305,$D$6:$D$305,D103))</f>
      </c>
      <c r="BS103" s="72">
        <f>IF(B103="","",IF(Metodo_Prorrateo="KG",IF(BR103=0,0,J103/BR103),1/BQ103))</f>
      </c>
      <c r="BT103" s="37">
        <f>IF(B103="","",IF(BP103=0,0,INDEX(COSTOS_FIJOS!$G$38:$AD$38,BP103))*BS103)</f>
      </c>
      <c r="BU103" s="72">
        <f>IF(B103="","",IF(Metodo_Prorrateo="KG",IF(SUMIFS($G$6:$G$305,$D$6:$D$305,D103)=0,0,G103/SUMIFS($G$6:$G$305,$D$6:$D$305,D103)),IF(G103&gt;0,1/COUNTIFS($D$6:$D$305,D103,$G$6:$G$305,"&gt;0"),0)))</f>
      </c>
      <c r="BV103" s="37">
        <f>IF(B103="","",IF(BP103=0,0,INDEX(COSTOS_FIJOS!$G$39:$AD$39,BP103))*BU103)</f>
      </c>
      <c r="BW103" s="72">
        <f>IF(B103="","",IF(Metodo_Prorrateo="KG",IF(SUMIFS($H$6:$H$305,$D$6:$D$305,D103)=0,0,H103/SUMIFS($H$6:$H$305,$D$6:$D$305,D103)),IF(H103&gt;0,1/COUNTIFS($D$6:$D$305,D103,$H$6:$H$305,"&gt;0"),0)))</f>
      </c>
      <c r="BX103" s="37">
        <f>IF(B103="","",IF(BP103=0,0,INDEX(COSTOS_FIJOS!$G$40:$AD$40,BP103))*BW103)</f>
      </c>
      <c r="BY103" s="72">
        <f>IF(B103="","",IF(Metodo_Prorrateo="KG",IF(SUMIFS($I$6:$I$305,$D$6:$D$305,D103)=0,0,I103/SUMIFS($I$6:$I$305,$D$6:$D$305,D103)),IF(I103&gt;0,1/COUNTIFS($D$6:$D$305,D103,$I$6:$I$305,"&gt;0"),0)))</f>
      </c>
      <c r="BZ103" s="37">
        <f>IF(B103="","",IF(BP103=0,0,INDEX(COSTOS_FIJOS!$G$41:$AD$41,BP103))*BY103)</f>
      </c>
      <c r="CA103" s="70">
        <f>IF(B103="","",BT103+BV103+BX103+BZ103)</f>
      </c>
      <c r="CB103" s="37">
        <f>IF(B103="","",Q103*Imp_Ventas_Serv)</f>
      </c>
      <c r="CC103" s="37">
        <f>IF(B103="","",Q103*Contrib_Territorial)</f>
      </c>
      <c r="CD103" s="70">
        <f>IF(B103="","",BM103-CA103-CB103-CC103)</f>
      </c>
      <c r="CE103" s="37">
        <f>IF(B103="","",MAX(0,CD103)*Imp_Utilidades)</f>
      </c>
      <c r="CF103" s="70">
        <f>IF(B103="","",CD103-CE103)</f>
      </c>
      <c r="CG103" s="72">
        <f>IF(B103="","",IF(Q103=0,0,CF103/Q103))</f>
      </c>
      <c r="CH103" s="73">
        <f>IF(B103="","",IF(J103=0,0,(BL103+CA103+CB103+CC103)/J103))</f>
      </c>
      <c r="CI103" s="73">
        <f>IF(B103="","",IF(J103=0,0,Q103/J103))</f>
      </c>
      <c r="CJ103" s="73">
        <f>IF(B103="","",IF(J103=0,0,CD103/J103))</f>
      </c>
      <c r="CK103" s="37">
        <f>IF(B103="","",Y103+AE103+BK103+BT103)</f>
      </c>
      <c r="CL103" s="37">
        <f>IF(B103="","",IF(J103=0,0,(M103+P103*G103/J103)*(1-Pct_Reclamaciones-Pct_Banco-Imp_Ventas_Serv-Contrib_Territorial)-AI103-BE103-BV103-CK103*G103/J103))</f>
      </c>
      <c r="CM103" s="37">
        <f>IF(B103="","",IF(J103=0,0,(N103+P103*H103/J103)*(1-Pct_Reclamaciones-Pct_Banco-Imp_Ventas_Serv-Contrib_Territorial)-AS103-BF103-BX103-CK103*H103/J103))</f>
      </c>
      <c r="CN103" s="37">
        <f>IF(B103="","",IF(J103=0,0,(O103+P103*I103/J103)*(1-Pct_Reclamaciones-Pct_Banco-Imp_Ventas_Serv-Contrib_Territorial)-BC103-BG103-BZ103-CK103*I103/J103))</f>
      </c>
      <c r="CO103" s="37">
        <f>IF(B103="","",IF(J103=0,0,ROUND(CD103-CL103-CM103-CN103,4)))</f>
      </c>
      <c r="CP103" s="71">
        <f>IF(B103="","",T103+AG103+AK103+AM103+AU103+AW103)</f>
      </c>
      <c r="CQ103" s="71">
        <f>IF(B103="","",U103+AH103+AL103+AN103+AV103+AX103)</f>
      </c>
      <c r="CR103" s="72">
        <f>IF(B103="","",IF(CP103=0,0,CQ103/CP103-1))</f>
      </c>
      <c r="CS103" s="60">
        <f>IF(B103="","",IF(ENTRADA!$Y103="","",ENTRADA!$Y103-C103))</f>
      </c>
      <c r="CT103" s="66">
        <f>IF(B103="","",IF(ENTRADA!$C103="","Falta fecha. ","")&amp;IF(BP103=0,"Mes fuera del rango de COSTOS_FIJOS. ","")&amp;IF(J103=0,"Sin kg. ","")&amp;IF(E103="","Falta transitaria. ","")&amp;IF(AND(T103&gt;0,U103/T103-1&gt;Tolerancia_Comb),"Combustible al puerto "&amp;TEXT(U103/T103-1,"+0%")&amp;" sobre norma. ","")&amp;IF(AND(AG103&gt;0,AH103/AG103-1&gt;Tolerancia_Comb),"Combustible distribución Occidente "&amp;TEXT(AH103/AG103-1,"+0%")&amp;" sobre norma. ","")&amp;IF(AND(AK103&gt;0,AL103/AK103-1&gt;Tolerancia_Comb),"Combustible traslado Centro "&amp;TEXT(AL103/AK103-1,"+0%")&amp;" sobre norma. ","")&amp;IF(AND(AM103&gt;0,AN103/AM103-1&gt;Tolerancia_Comb),"Combustible distribución Centro "&amp;TEXT(AN103/AM103-1,"+0%")&amp;" sobre norma. ","")&amp;IF(AND(AU103&gt;0,AV103/AU103-1&gt;Tolerancia_Comb),"Combustible traslado Oriente "&amp;TEXT(AV103/AU103-1,"+0%")&amp;" sobre norma. ","")&amp;IF(AND(AW103&gt;0,AX103/AW103-1&gt;Tolerancia_Comb),"Combustible distribución Oriente "&amp;TEXT(AX103/AW103-1,"+0%")&amp;" sobre norma. ","")&amp;IF(AND(ENTRADA!$C103&lt;&gt;"",C103&lt;PRECIOS!$A$6),"Fecha anterior a la 1ª vigencia de precios. ","")&amp;IF(CD103&lt;0,"Contenedor con pérdida. ",""))</f>
      </c>
    </row>
    <row r="104">
      <c r="A104" s="60">
        <f>IF(B104="","",ROW()-5)</f>
      </c>
      <c r="B104" s="63">
        <f>IF(ENTRADA!$B104="","",ENTRADA!$B104)</f>
      </c>
      <c r="C104" s="64">
        <f>IF(B104="","",ENTRADA!$C104)</f>
      </c>
      <c r="D104" s="65">
        <f>IF(B104="","",DATE(YEAR(C104),MONTH(C104),1))</f>
      </c>
      <c r="E104" s="66">
        <f>IF(B104="","",ENTRADA!$D104&amp;"")</f>
      </c>
      <c r="F104" s="66">
        <f>IF(B104="","",ENTRADA!$Z104&amp;"")</f>
      </c>
      <c r="G104" s="67">
        <f>IF(B104="","",N(ENTRADA!$G104))</f>
      </c>
      <c r="H104" s="67">
        <f>IF(B104="","",N(ENTRADA!$H104))</f>
      </c>
      <c r="I104" s="67">
        <f>IF(B104="","",N(ENTRADA!$I104))</f>
      </c>
      <c r="J104" s="68">
        <f>IF(B104="","",G104+H104+I104)</f>
      </c>
      <c r="K104" s="60">
        <f>IF(B104="","",IFERROR(MATCH(SUMPRODUCT(MAX((PRECIOS!$A$6:$A$55&lt;=C104)*PRECIOS!$A$6:$A$55)),PRECIOS!$A$6:$A$55,0),1))</f>
      </c>
      <c r="L104" s="69">
        <f>IF(B104="","",INDEX(PRECIOS!$A$6:$A$55,K104))</f>
      </c>
      <c r="M104" s="37">
        <f>IF(B104="","",G104*INDEX(PRECIOS!$B$6:$B$55,K104))</f>
      </c>
      <c r="N104" s="37">
        <f>IF(B104="","",H104*INDEX(PRECIOS!$C$6:$C$55,K104))</f>
      </c>
      <c r="O104" s="37">
        <f>IF(B104="","",I104*INDEX(PRECIOS!$D$6:$D$55,K104))</f>
      </c>
      <c r="P104" s="37">
        <f>IF(B104="","",N(ENTRADA!$X104))</f>
      </c>
      <c r="Q104" s="70">
        <f>IF(B104="","",M104+N104+O104+P104)</f>
      </c>
      <c r="R104" s="71">
        <f>IF(B104="","",IF(ENTRADA!$J104="",Std_Viajes_Puerto,ENTRADA!$J104))</f>
      </c>
      <c r="S104" s="37">
        <f>IF(B104="","",R104*INDEX(PRECIOS!$F$6:$F$55,K104))</f>
      </c>
      <c r="T104" s="71">
        <f>IF(B104="","",R104*Litros_Puerto_Viaje)</f>
      </c>
      <c r="U104" s="71">
        <f>IF(B104="","",IF(ENTRADA!$K104="",T104,ENTRADA!$K104))</f>
      </c>
      <c r="V104" s="37">
        <f>IF(B104="","",U104*INDEX(PRECIOS!$E$6:$E$55,K104))</f>
      </c>
      <c r="W104" s="37">
        <f>IF(B104="","",IF(ENTRADA!$L104="",R104*INDEX(PRECIOS!$G$6:$G$55,K104),ENTRADA!$L104))</f>
      </c>
      <c r="X104" s="37">
        <f>IF(B104="","",R104*Km_Puerto_Viaje*INDEX(PRECIOS!$N$6:$N$55,K104))</f>
      </c>
      <c r="Y104" s="70">
        <f>IF(B104="","",S104+V104+W104+X104)</f>
      </c>
      <c r="Z104" s="71">
        <f>IF(B104="","",IF(J104=0,0,ROUNDUP(J104/Rend_Desagrupe,0)))</f>
      </c>
      <c r="AA104" s="71">
        <f>IF(B104="","",IF(ENTRADA!$M104="",Z104,ENTRADA!$M104))</f>
      </c>
      <c r="AB104" s="37">
        <f>IF(B104="","",AA104*INDEX(PRECIOS!$H$6:$H$55,K104))</f>
      </c>
      <c r="AC104" s="37">
        <f>IF(B104="","",IF(E104="ENCI",INDEX(PRECIOS!$J$6:$J$55,K104),IF(E104="A.V",INDEX(PRECIOS!$K$6:$K$55,K104),0)))</f>
      </c>
      <c r="AD104" s="37">
        <f>IF(B104="","",N(ENTRADA!$N104))</f>
      </c>
      <c r="AE104" s="70">
        <f>IF(B104="","",AB104+AC104+AD104)</f>
      </c>
      <c r="AF104" s="71">
        <f>IF(B104="","",IF(G104=0,0,ROUNDUP(G104/Cap_Camion_OCC,0)))</f>
      </c>
      <c r="AG104" s="71">
        <f>IF(B104="","",AF104*L_Dist_OCC)</f>
      </c>
      <c r="AH104" s="71">
        <f>IF(B104="","",IF(ENTRADA!$O104="",AG104,ENTRADA!$O104))</f>
      </c>
      <c r="AI104" s="37">
        <f>IF(B104="","",AH104*INDEX(PRECIOS!$E$6:$E$55,K104))</f>
      </c>
      <c r="AJ104" s="71">
        <f>IF(B104="","",IF(H104=0,0,ROUNDUP(H104/Cap_Camion_CEN,0)))</f>
      </c>
      <c r="AK104" s="71">
        <f>IF(B104="","",AJ104*L_Tras_CEN)</f>
      </c>
      <c r="AL104" s="71">
        <f>IF(B104="","",IF(ENTRADA!$P104="",AK104,ENTRADA!$P104))</f>
      </c>
      <c r="AM104" s="71">
        <f>IF(B104="","",AJ104*L_Dist_CEN)</f>
      </c>
      <c r="AN104" s="71">
        <f>IF(B104="","",IF(ENTRADA!$Q104="",AM104,ENTRADA!$Q104))</f>
      </c>
      <c r="AO104" s="37">
        <f>IF(B104="","",(AL104+AN104)*INDEX(PRECIOS!$E$6:$E$55,K104))</f>
      </c>
      <c r="AP104" s="71">
        <f>IF(B104="","",IF(H104=0,0,ROUNDUP(H104/Rend_Desagrupe_CT,0)))</f>
      </c>
      <c r="AQ104" s="71">
        <f>IF(B104="","",IF(ENTRADA!$R104="",AP104,ENTRADA!$R104))</f>
      </c>
      <c r="AR104" s="37">
        <f>IF(B104="","",AQ104*INDEX(PRECIOS!$I$6:$I$55,K104))</f>
      </c>
      <c r="AS104" s="37">
        <f>IF(B104="","",AO104+AR104)</f>
      </c>
      <c r="AT104" s="71">
        <f>IF(B104="","",IF(I104=0,0,ROUNDUP(I104/Cap_Camion_ORI,0)))</f>
      </c>
      <c r="AU104" s="71">
        <f>IF(B104="","",AT104*L_Tras_ORI)</f>
      </c>
      <c r="AV104" s="71">
        <f>IF(B104="","",IF(ENTRADA!$S104="",AU104,ENTRADA!$S104))</f>
      </c>
      <c r="AW104" s="71">
        <f>IF(B104="","",AT104*L_Dist_ORI)</f>
      </c>
      <c r="AX104" s="71">
        <f>IF(B104="","",IF(ENTRADA!$T104="",AW104,ENTRADA!$T104))</f>
      </c>
      <c r="AY104" s="37">
        <f>IF(B104="","",(AV104+AX104)*INDEX(PRECIOS!$E$6:$E$55,K104))</f>
      </c>
      <c r="AZ104" s="71">
        <f>IF(B104="","",IF(I104=0,0,ROUNDUP(I104/Rend_Desagrupe_CT,0)))</f>
      </c>
      <c r="BA104" s="71">
        <f>IF(B104="","",IF(ENTRADA!$U104="",AZ104,ENTRADA!$U104))</f>
      </c>
      <c r="BB104" s="37">
        <f>IF(B104="","",BA104*INDEX(PRECIOS!$I$6:$I$55,K104))</f>
      </c>
      <c r="BC104" s="37">
        <f>IF(B104="","",AY104+BB104)</f>
      </c>
      <c r="BD104" s="70">
        <f>IF(B104="","",AI104+AS104+BC104)</f>
      </c>
      <c r="BE104" s="37">
        <f>IF(B104="","",IF(Base_Comision="% DEL INGRESO",M104*INDEX(PRECIOS!$L$6:$L$55,K104),G104*INDEX(PRECIOS!$M$6:$M$55,K104)))</f>
      </c>
      <c r="BF104" s="37">
        <f>IF(B104="","",IF(Base_Comision="% DEL INGRESO",N104*INDEX(PRECIOS!$L$6:$L$55,K104),H104*INDEX(PRECIOS!$M$6:$M$55,K104)))</f>
      </c>
      <c r="BG104" s="37">
        <f>IF(B104="","",IF(Base_Comision="% DEL INGRESO",O104*INDEX(PRECIOS!$L$6:$L$55,K104),I104*INDEX(PRECIOS!$M$6:$M$55,K104)))</f>
      </c>
      <c r="BH104" s="70">
        <f>IF(B104="","",BE104+BF104+BG104)</f>
      </c>
      <c r="BI104" s="37">
        <f>IF(B104="","",Q104*Pct_Reclamaciones)</f>
      </c>
      <c r="BJ104" s="37">
        <f>IF(B104="","",Q104*Pct_Banco)</f>
      </c>
      <c r="BK104" s="37">
        <f>IF(B104="","",N(ENTRADA!$V104))</f>
      </c>
      <c r="BL104" s="70">
        <f>IF(B104="","",Y104+AE104+BD104+BH104+BI104+BJ104+BK104)</f>
      </c>
      <c r="BM104" s="70">
        <f>IF(B104="","",Q104-BL104)</f>
      </c>
      <c r="BN104" s="72">
        <f>IF(B104="","",IF(Q104=0,0,BM104/Q104))</f>
      </c>
      <c r="BO104" s="73">
        <f>IF(B104="","",IF(J104=0,0,BM104/J104))</f>
      </c>
      <c r="BP104" s="60">
        <f>IF(B104="","",IFERROR(MATCH(D104,COSTOS_FIJOS!$G$5:$AD$5,0),0))</f>
      </c>
      <c r="BQ104" s="60">
        <f>IF(B104="","",COUNTIFS($D$6:$D$305,D104))</f>
      </c>
      <c r="BR104" s="67">
        <f>IF(B104="","",SUMIFS($J$6:$J$305,$D$6:$D$305,D104))</f>
      </c>
      <c r="BS104" s="72">
        <f>IF(B104="","",IF(Metodo_Prorrateo="KG",IF(BR104=0,0,J104/BR104),1/BQ104))</f>
      </c>
      <c r="BT104" s="37">
        <f>IF(B104="","",IF(BP104=0,0,INDEX(COSTOS_FIJOS!$G$38:$AD$38,BP104))*BS104)</f>
      </c>
      <c r="BU104" s="72">
        <f>IF(B104="","",IF(Metodo_Prorrateo="KG",IF(SUMIFS($G$6:$G$305,$D$6:$D$305,D104)=0,0,G104/SUMIFS($G$6:$G$305,$D$6:$D$305,D104)),IF(G104&gt;0,1/COUNTIFS($D$6:$D$305,D104,$G$6:$G$305,"&gt;0"),0)))</f>
      </c>
      <c r="BV104" s="37">
        <f>IF(B104="","",IF(BP104=0,0,INDEX(COSTOS_FIJOS!$G$39:$AD$39,BP104))*BU104)</f>
      </c>
      <c r="BW104" s="72">
        <f>IF(B104="","",IF(Metodo_Prorrateo="KG",IF(SUMIFS($H$6:$H$305,$D$6:$D$305,D104)=0,0,H104/SUMIFS($H$6:$H$305,$D$6:$D$305,D104)),IF(H104&gt;0,1/COUNTIFS($D$6:$D$305,D104,$H$6:$H$305,"&gt;0"),0)))</f>
      </c>
      <c r="BX104" s="37">
        <f>IF(B104="","",IF(BP104=0,0,INDEX(COSTOS_FIJOS!$G$40:$AD$40,BP104))*BW104)</f>
      </c>
      <c r="BY104" s="72">
        <f>IF(B104="","",IF(Metodo_Prorrateo="KG",IF(SUMIFS($I$6:$I$305,$D$6:$D$305,D104)=0,0,I104/SUMIFS($I$6:$I$305,$D$6:$D$305,D104)),IF(I104&gt;0,1/COUNTIFS($D$6:$D$305,D104,$I$6:$I$305,"&gt;0"),0)))</f>
      </c>
      <c r="BZ104" s="37">
        <f>IF(B104="","",IF(BP104=0,0,INDEX(COSTOS_FIJOS!$G$41:$AD$41,BP104))*BY104)</f>
      </c>
      <c r="CA104" s="70">
        <f>IF(B104="","",BT104+BV104+BX104+BZ104)</f>
      </c>
      <c r="CB104" s="37">
        <f>IF(B104="","",Q104*Imp_Ventas_Serv)</f>
      </c>
      <c r="CC104" s="37">
        <f>IF(B104="","",Q104*Contrib_Territorial)</f>
      </c>
      <c r="CD104" s="70">
        <f>IF(B104="","",BM104-CA104-CB104-CC104)</f>
      </c>
      <c r="CE104" s="37">
        <f>IF(B104="","",MAX(0,CD104)*Imp_Utilidades)</f>
      </c>
      <c r="CF104" s="70">
        <f>IF(B104="","",CD104-CE104)</f>
      </c>
      <c r="CG104" s="72">
        <f>IF(B104="","",IF(Q104=0,0,CF104/Q104))</f>
      </c>
      <c r="CH104" s="73">
        <f>IF(B104="","",IF(J104=0,0,(BL104+CA104+CB104+CC104)/J104))</f>
      </c>
      <c r="CI104" s="73">
        <f>IF(B104="","",IF(J104=0,0,Q104/J104))</f>
      </c>
      <c r="CJ104" s="73">
        <f>IF(B104="","",IF(J104=0,0,CD104/J104))</f>
      </c>
      <c r="CK104" s="37">
        <f>IF(B104="","",Y104+AE104+BK104+BT104)</f>
      </c>
      <c r="CL104" s="37">
        <f>IF(B104="","",IF(J104=0,0,(M104+P104*G104/J104)*(1-Pct_Reclamaciones-Pct_Banco-Imp_Ventas_Serv-Contrib_Territorial)-AI104-BE104-BV104-CK104*G104/J104))</f>
      </c>
      <c r="CM104" s="37">
        <f>IF(B104="","",IF(J104=0,0,(N104+P104*H104/J104)*(1-Pct_Reclamaciones-Pct_Banco-Imp_Ventas_Serv-Contrib_Territorial)-AS104-BF104-BX104-CK104*H104/J104))</f>
      </c>
      <c r="CN104" s="37">
        <f>IF(B104="","",IF(J104=0,0,(O104+P104*I104/J104)*(1-Pct_Reclamaciones-Pct_Banco-Imp_Ventas_Serv-Contrib_Territorial)-BC104-BG104-BZ104-CK104*I104/J104))</f>
      </c>
      <c r="CO104" s="37">
        <f>IF(B104="","",IF(J104=0,0,ROUND(CD104-CL104-CM104-CN104,4)))</f>
      </c>
      <c r="CP104" s="71">
        <f>IF(B104="","",T104+AG104+AK104+AM104+AU104+AW104)</f>
      </c>
      <c r="CQ104" s="71">
        <f>IF(B104="","",U104+AH104+AL104+AN104+AV104+AX104)</f>
      </c>
      <c r="CR104" s="72">
        <f>IF(B104="","",IF(CP104=0,0,CQ104/CP104-1))</f>
      </c>
      <c r="CS104" s="60">
        <f>IF(B104="","",IF(ENTRADA!$Y104="","",ENTRADA!$Y104-C104))</f>
      </c>
      <c r="CT104" s="66">
        <f>IF(B104="","",IF(ENTRADA!$C104="","Falta fecha. ","")&amp;IF(BP104=0,"Mes fuera del rango de COSTOS_FIJOS. ","")&amp;IF(J104=0,"Sin kg. ","")&amp;IF(E104="","Falta transitaria. ","")&amp;IF(AND(T104&gt;0,U104/T104-1&gt;Tolerancia_Comb),"Combustible al puerto "&amp;TEXT(U104/T104-1,"+0%")&amp;" sobre norma. ","")&amp;IF(AND(AG104&gt;0,AH104/AG104-1&gt;Tolerancia_Comb),"Combustible distribución Occidente "&amp;TEXT(AH104/AG104-1,"+0%")&amp;" sobre norma. ","")&amp;IF(AND(AK104&gt;0,AL104/AK104-1&gt;Tolerancia_Comb),"Combustible traslado Centro "&amp;TEXT(AL104/AK104-1,"+0%")&amp;" sobre norma. ","")&amp;IF(AND(AM104&gt;0,AN104/AM104-1&gt;Tolerancia_Comb),"Combustible distribución Centro "&amp;TEXT(AN104/AM104-1,"+0%")&amp;" sobre norma. ","")&amp;IF(AND(AU104&gt;0,AV104/AU104-1&gt;Tolerancia_Comb),"Combustible traslado Oriente "&amp;TEXT(AV104/AU104-1,"+0%")&amp;" sobre norma. ","")&amp;IF(AND(AW104&gt;0,AX104/AW104-1&gt;Tolerancia_Comb),"Combustible distribución Oriente "&amp;TEXT(AX104/AW104-1,"+0%")&amp;" sobre norma. ","")&amp;IF(AND(ENTRADA!$C104&lt;&gt;"",C104&lt;PRECIOS!$A$6),"Fecha anterior a la 1ª vigencia de precios. ","")&amp;IF(CD104&lt;0,"Contenedor con pérdida. ",""))</f>
      </c>
    </row>
    <row r="105">
      <c r="A105" s="60">
        <f>IF(B105="","",ROW()-5)</f>
      </c>
      <c r="B105" s="63">
        <f>IF(ENTRADA!$B105="","",ENTRADA!$B105)</f>
      </c>
      <c r="C105" s="64">
        <f>IF(B105="","",ENTRADA!$C105)</f>
      </c>
      <c r="D105" s="65">
        <f>IF(B105="","",DATE(YEAR(C105),MONTH(C105),1))</f>
      </c>
      <c r="E105" s="66">
        <f>IF(B105="","",ENTRADA!$D105&amp;"")</f>
      </c>
      <c r="F105" s="66">
        <f>IF(B105="","",ENTRADA!$Z105&amp;"")</f>
      </c>
      <c r="G105" s="67">
        <f>IF(B105="","",N(ENTRADA!$G105))</f>
      </c>
      <c r="H105" s="67">
        <f>IF(B105="","",N(ENTRADA!$H105))</f>
      </c>
      <c r="I105" s="67">
        <f>IF(B105="","",N(ENTRADA!$I105))</f>
      </c>
      <c r="J105" s="68">
        <f>IF(B105="","",G105+H105+I105)</f>
      </c>
      <c r="K105" s="60">
        <f>IF(B105="","",IFERROR(MATCH(SUMPRODUCT(MAX((PRECIOS!$A$6:$A$55&lt;=C105)*PRECIOS!$A$6:$A$55)),PRECIOS!$A$6:$A$55,0),1))</f>
      </c>
      <c r="L105" s="69">
        <f>IF(B105="","",INDEX(PRECIOS!$A$6:$A$55,K105))</f>
      </c>
      <c r="M105" s="37">
        <f>IF(B105="","",G105*INDEX(PRECIOS!$B$6:$B$55,K105))</f>
      </c>
      <c r="N105" s="37">
        <f>IF(B105="","",H105*INDEX(PRECIOS!$C$6:$C$55,K105))</f>
      </c>
      <c r="O105" s="37">
        <f>IF(B105="","",I105*INDEX(PRECIOS!$D$6:$D$55,K105))</f>
      </c>
      <c r="P105" s="37">
        <f>IF(B105="","",N(ENTRADA!$X105))</f>
      </c>
      <c r="Q105" s="70">
        <f>IF(B105="","",M105+N105+O105+P105)</f>
      </c>
      <c r="R105" s="71">
        <f>IF(B105="","",IF(ENTRADA!$J105="",Std_Viajes_Puerto,ENTRADA!$J105))</f>
      </c>
      <c r="S105" s="37">
        <f>IF(B105="","",R105*INDEX(PRECIOS!$F$6:$F$55,K105))</f>
      </c>
      <c r="T105" s="71">
        <f>IF(B105="","",R105*Litros_Puerto_Viaje)</f>
      </c>
      <c r="U105" s="71">
        <f>IF(B105="","",IF(ENTRADA!$K105="",T105,ENTRADA!$K105))</f>
      </c>
      <c r="V105" s="37">
        <f>IF(B105="","",U105*INDEX(PRECIOS!$E$6:$E$55,K105))</f>
      </c>
      <c r="W105" s="37">
        <f>IF(B105="","",IF(ENTRADA!$L105="",R105*INDEX(PRECIOS!$G$6:$G$55,K105),ENTRADA!$L105))</f>
      </c>
      <c r="X105" s="37">
        <f>IF(B105="","",R105*Km_Puerto_Viaje*INDEX(PRECIOS!$N$6:$N$55,K105))</f>
      </c>
      <c r="Y105" s="70">
        <f>IF(B105="","",S105+V105+W105+X105)</f>
      </c>
      <c r="Z105" s="71">
        <f>IF(B105="","",IF(J105=0,0,ROUNDUP(J105/Rend_Desagrupe,0)))</f>
      </c>
      <c r="AA105" s="71">
        <f>IF(B105="","",IF(ENTRADA!$M105="",Z105,ENTRADA!$M105))</f>
      </c>
      <c r="AB105" s="37">
        <f>IF(B105="","",AA105*INDEX(PRECIOS!$H$6:$H$55,K105))</f>
      </c>
      <c r="AC105" s="37">
        <f>IF(B105="","",IF(E105="ENCI",INDEX(PRECIOS!$J$6:$J$55,K105),IF(E105="A.V",INDEX(PRECIOS!$K$6:$K$55,K105),0)))</f>
      </c>
      <c r="AD105" s="37">
        <f>IF(B105="","",N(ENTRADA!$N105))</f>
      </c>
      <c r="AE105" s="70">
        <f>IF(B105="","",AB105+AC105+AD105)</f>
      </c>
      <c r="AF105" s="71">
        <f>IF(B105="","",IF(G105=0,0,ROUNDUP(G105/Cap_Camion_OCC,0)))</f>
      </c>
      <c r="AG105" s="71">
        <f>IF(B105="","",AF105*L_Dist_OCC)</f>
      </c>
      <c r="AH105" s="71">
        <f>IF(B105="","",IF(ENTRADA!$O105="",AG105,ENTRADA!$O105))</f>
      </c>
      <c r="AI105" s="37">
        <f>IF(B105="","",AH105*INDEX(PRECIOS!$E$6:$E$55,K105))</f>
      </c>
      <c r="AJ105" s="71">
        <f>IF(B105="","",IF(H105=0,0,ROUNDUP(H105/Cap_Camion_CEN,0)))</f>
      </c>
      <c r="AK105" s="71">
        <f>IF(B105="","",AJ105*L_Tras_CEN)</f>
      </c>
      <c r="AL105" s="71">
        <f>IF(B105="","",IF(ENTRADA!$P105="",AK105,ENTRADA!$P105))</f>
      </c>
      <c r="AM105" s="71">
        <f>IF(B105="","",AJ105*L_Dist_CEN)</f>
      </c>
      <c r="AN105" s="71">
        <f>IF(B105="","",IF(ENTRADA!$Q105="",AM105,ENTRADA!$Q105))</f>
      </c>
      <c r="AO105" s="37">
        <f>IF(B105="","",(AL105+AN105)*INDEX(PRECIOS!$E$6:$E$55,K105))</f>
      </c>
      <c r="AP105" s="71">
        <f>IF(B105="","",IF(H105=0,0,ROUNDUP(H105/Rend_Desagrupe_CT,0)))</f>
      </c>
      <c r="AQ105" s="71">
        <f>IF(B105="","",IF(ENTRADA!$R105="",AP105,ENTRADA!$R105))</f>
      </c>
      <c r="AR105" s="37">
        <f>IF(B105="","",AQ105*INDEX(PRECIOS!$I$6:$I$55,K105))</f>
      </c>
      <c r="AS105" s="37">
        <f>IF(B105="","",AO105+AR105)</f>
      </c>
      <c r="AT105" s="71">
        <f>IF(B105="","",IF(I105=0,0,ROUNDUP(I105/Cap_Camion_ORI,0)))</f>
      </c>
      <c r="AU105" s="71">
        <f>IF(B105="","",AT105*L_Tras_ORI)</f>
      </c>
      <c r="AV105" s="71">
        <f>IF(B105="","",IF(ENTRADA!$S105="",AU105,ENTRADA!$S105))</f>
      </c>
      <c r="AW105" s="71">
        <f>IF(B105="","",AT105*L_Dist_ORI)</f>
      </c>
      <c r="AX105" s="71">
        <f>IF(B105="","",IF(ENTRADA!$T105="",AW105,ENTRADA!$T105))</f>
      </c>
      <c r="AY105" s="37">
        <f>IF(B105="","",(AV105+AX105)*INDEX(PRECIOS!$E$6:$E$55,K105))</f>
      </c>
      <c r="AZ105" s="71">
        <f>IF(B105="","",IF(I105=0,0,ROUNDUP(I105/Rend_Desagrupe_CT,0)))</f>
      </c>
      <c r="BA105" s="71">
        <f>IF(B105="","",IF(ENTRADA!$U105="",AZ105,ENTRADA!$U105))</f>
      </c>
      <c r="BB105" s="37">
        <f>IF(B105="","",BA105*INDEX(PRECIOS!$I$6:$I$55,K105))</f>
      </c>
      <c r="BC105" s="37">
        <f>IF(B105="","",AY105+BB105)</f>
      </c>
      <c r="BD105" s="70">
        <f>IF(B105="","",AI105+AS105+BC105)</f>
      </c>
      <c r="BE105" s="37">
        <f>IF(B105="","",IF(Base_Comision="% DEL INGRESO",M105*INDEX(PRECIOS!$L$6:$L$55,K105),G105*INDEX(PRECIOS!$M$6:$M$55,K105)))</f>
      </c>
      <c r="BF105" s="37">
        <f>IF(B105="","",IF(Base_Comision="% DEL INGRESO",N105*INDEX(PRECIOS!$L$6:$L$55,K105),H105*INDEX(PRECIOS!$M$6:$M$55,K105)))</f>
      </c>
      <c r="BG105" s="37">
        <f>IF(B105="","",IF(Base_Comision="% DEL INGRESO",O105*INDEX(PRECIOS!$L$6:$L$55,K105),I105*INDEX(PRECIOS!$M$6:$M$55,K105)))</f>
      </c>
      <c r="BH105" s="70">
        <f>IF(B105="","",BE105+BF105+BG105)</f>
      </c>
      <c r="BI105" s="37">
        <f>IF(B105="","",Q105*Pct_Reclamaciones)</f>
      </c>
      <c r="BJ105" s="37">
        <f>IF(B105="","",Q105*Pct_Banco)</f>
      </c>
      <c r="BK105" s="37">
        <f>IF(B105="","",N(ENTRADA!$V105))</f>
      </c>
      <c r="BL105" s="70">
        <f>IF(B105="","",Y105+AE105+BD105+BH105+BI105+BJ105+BK105)</f>
      </c>
      <c r="BM105" s="70">
        <f>IF(B105="","",Q105-BL105)</f>
      </c>
      <c r="BN105" s="72">
        <f>IF(B105="","",IF(Q105=0,0,BM105/Q105))</f>
      </c>
      <c r="BO105" s="73">
        <f>IF(B105="","",IF(J105=0,0,BM105/J105))</f>
      </c>
      <c r="BP105" s="60">
        <f>IF(B105="","",IFERROR(MATCH(D105,COSTOS_FIJOS!$G$5:$AD$5,0),0))</f>
      </c>
      <c r="BQ105" s="60">
        <f>IF(B105="","",COUNTIFS($D$6:$D$305,D105))</f>
      </c>
      <c r="BR105" s="67">
        <f>IF(B105="","",SUMIFS($J$6:$J$305,$D$6:$D$305,D105))</f>
      </c>
      <c r="BS105" s="72">
        <f>IF(B105="","",IF(Metodo_Prorrateo="KG",IF(BR105=0,0,J105/BR105),1/BQ105))</f>
      </c>
      <c r="BT105" s="37">
        <f>IF(B105="","",IF(BP105=0,0,INDEX(COSTOS_FIJOS!$G$38:$AD$38,BP105))*BS105)</f>
      </c>
      <c r="BU105" s="72">
        <f>IF(B105="","",IF(Metodo_Prorrateo="KG",IF(SUMIFS($G$6:$G$305,$D$6:$D$305,D105)=0,0,G105/SUMIFS($G$6:$G$305,$D$6:$D$305,D105)),IF(G105&gt;0,1/COUNTIFS($D$6:$D$305,D105,$G$6:$G$305,"&gt;0"),0)))</f>
      </c>
      <c r="BV105" s="37">
        <f>IF(B105="","",IF(BP105=0,0,INDEX(COSTOS_FIJOS!$G$39:$AD$39,BP105))*BU105)</f>
      </c>
      <c r="BW105" s="72">
        <f>IF(B105="","",IF(Metodo_Prorrateo="KG",IF(SUMIFS($H$6:$H$305,$D$6:$D$305,D105)=0,0,H105/SUMIFS($H$6:$H$305,$D$6:$D$305,D105)),IF(H105&gt;0,1/COUNTIFS($D$6:$D$305,D105,$H$6:$H$305,"&gt;0"),0)))</f>
      </c>
      <c r="BX105" s="37">
        <f>IF(B105="","",IF(BP105=0,0,INDEX(COSTOS_FIJOS!$G$40:$AD$40,BP105))*BW105)</f>
      </c>
      <c r="BY105" s="72">
        <f>IF(B105="","",IF(Metodo_Prorrateo="KG",IF(SUMIFS($I$6:$I$305,$D$6:$D$305,D105)=0,0,I105/SUMIFS($I$6:$I$305,$D$6:$D$305,D105)),IF(I105&gt;0,1/COUNTIFS($D$6:$D$305,D105,$I$6:$I$305,"&gt;0"),0)))</f>
      </c>
      <c r="BZ105" s="37">
        <f>IF(B105="","",IF(BP105=0,0,INDEX(COSTOS_FIJOS!$G$41:$AD$41,BP105))*BY105)</f>
      </c>
      <c r="CA105" s="70">
        <f>IF(B105="","",BT105+BV105+BX105+BZ105)</f>
      </c>
      <c r="CB105" s="37">
        <f>IF(B105="","",Q105*Imp_Ventas_Serv)</f>
      </c>
      <c r="CC105" s="37">
        <f>IF(B105="","",Q105*Contrib_Territorial)</f>
      </c>
      <c r="CD105" s="70">
        <f>IF(B105="","",BM105-CA105-CB105-CC105)</f>
      </c>
      <c r="CE105" s="37">
        <f>IF(B105="","",MAX(0,CD105)*Imp_Utilidades)</f>
      </c>
      <c r="CF105" s="70">
        <f>IF(B105="","",CD105-CE105)</f>
      </c>
      <c r="CG105" s="72">
        <f>IF(B105="","",IF(Q105=0,0,CF105/Q105))</f>
      </c>
      <c r="CH105" s="73">
        <f>IF(B105="","",IF(J105=0,0,(BL105+CA105+CB105+CC105)/J105))</f>
      </c>
      <c r="CI105" s="73">
        <f>IF(B105="","",IF(J105=0,0,Q105/J105))</f>
      </c>
      <c r="CJ105" s="73">
        <f>IF(B105="","",IF(J105=0,0,CD105/J105))</f>
      </c>
      <c r="CK105" s="37">
        <f>IF(B105="","",Y105+AE105+BK105+BT105)</f>
      </c>
      <c r="CL105" s="37">
        <f>IF(B105="","",IF(J105=0,0,(M105+P105*G105/J105)*(1-Pct_Reclamaciones-Pct_Banco-Imp_Ventas_Serv-Contrib_Territorial)-AI105-BE105-BV105-CK105*G105/J105))</f>
      </c>
      <c r="CM105" s="37">
        <f>IF(B105="","",IF(J105=0,0,(N105+P105*H105/J105)*(1-Pct_Reclamaciones-Pct_Banco-Imp_Ventas_Serv-Contrib_Territorial)-AS105-BF105-BX105-CK105*H105/J105))</f>
      </c>
      <c r="CN105" s="37">
        <f>IF(B105="","",IF(J105=0,0,(O105+P105*I105/J105)*(1-Pct_Reclamaciones-Pct_Banco-Imp_Ventas_Serv-Contrib_Territorial)-BC105-BG105-BZ105-CK105*I105/J105))</f>
      </c>
      <c r="CO105" s="37">
        <f>IF(B105="","",IF(J105=0,0,ROUND(CD105-CL105-CM105-CN105,4)))</f>
      </c>
      <c r="CP105" s="71">
        <f>IF(B105="","",T105+AG105+AK105+AM105+AU105+AW105)</f>
      </c>
      <c r="CQ105" s="71">
        <f>IF(B105="","",U105+AH105+AL105+AN105+AV105+AX105)</f>
      </c>
      <c r="CR105" s="72">
        <f>IF(B105="","",IF(CP105=0,0,CQ105/CP105-1))</f>
      </c>
      <c r="CS105" s="60">
        <f>IF(B105="","",IF(ENTRADA!$Y105="","",ENTRADA!$Y105-C105))</f>
      </c>
      <c r="CT105" s="66">
        <f>IF(B105="","",IF(ENTRADA!$C105="","Falta fecha. ","")&amp;IF(BP105=0,"Mes fuera del rango de COSTOS_FIJOS. ","")&amp;IF(J105=0,"Sin kg. ","")&amp;IF(E105="","Falta transitaria. ","")&amp;IF(AND(T105&gt;0,U105/T105-1&gt;Tolerancia_Comb),"Combustible al puerto "&amp;TEXT(U105/T105-1,"+0%")&amp;" sobre norma. ","")&amp;IF(AND(AG105&gt;0,AH105/AG105-1&gt;Tolerancia_Comb),"Combustible distribución Occidente "&amp;TEXT(AH105/AG105-1,"+0%")&amp;" sobre norma. ","")&amp;IF(AND(AK105&gt;0,AL105/AK105-1&gt;Tolerancia_Comb),"Combustible traslado Centro "&amp;TEXT(AL105/AK105-1,"+0%")&amp;" sobre norma. ","")&amp;IF(AND(AM105&gt;0,AN105/AM105-1&gt;Tolerancia_Comb),"Combustible distribución Centro "&amp;TEXT(AN105/AM105-1,"+0%")&amp;" sobre norma. ","")&amp;IF(AND(AU105&gt;0,AV105/AU105-1&gt;Tolerancia_Comb),"Combustible traslado Oriente "&amp;TEXT(AV105/AU105-1,"+0%")&amp;" sobre norma. ","")&amp;IF(AND(AW105&gt;0,AX105/AW105-1&gt;Tolerancia_Comb),"Combustible distribución Oriente "&amp;TEXT(AX105/AW105-1,"+0%")&amp;" sobre norma. ","")&amp;IF(AND(ENTRADA!$C105&lt;&gt;"",C105&lt;PRECIOS!$A$6),"Fecha anterior a la 1ª vigencia de precios. ","")&amp;IF(CD105&lt;0,"Contenedor con pérdida. ",""))</f>
      </c>
    </row>
    <row r="106">
      <c r="A106" s="60">
        <f>IF(B106="","",ROW()-5)</f>
      </c>
      <c r="B106" s="63">
        <f>IF(ENTRADA!$B106="","",ENTRADA!$B106)</f>
      </c>
      <c r="C106" s="64">
        <f>IF(B106="","",ENTRADA!$C106)</f>
      </c>
      <c r="D106" s="65">
        <f>IF(B106="","",DATE(YEAR(C106),MONTH(C106),1))</f>
      </c>
      <c r="E106" s="66">
        <f>IF(B106="","",ENTRADA!$D106&amp;"")</f>
      </c>
      <c r="F106" s="66">
        <f>IF(B106="","",ENTRADA!$Z106&amp;"")</f>
      </c>
      <c r="G106" s="67">
        <f>IF(B106="","",N(ENTRADA!$G106))</f>
      </c>
      <c r="H106" s="67">
        <f>IF(B106="","",N(ENTRADA!$H106))</f>
      </c>
      <c r="I106" s="67">
        <f>IF(B106="","",N(ENTRADA!$I106))</f>
      </c>
      <c r="J106" s="68">
        <f>IF(B106="","",G106+H106+I106)</f>
      </c>
      <c r="K106" s="60">
        <f>IF(B106="","",IFERROR(MATCH(SUMPRODUCT(MAX((PRECIOS!$A$6:$A$55&lt;=C106)*PRECIOS!$A$6:$A$55)),PRECIOS!$A$6:$A$55,0),1))</f>
      </c>
      <c r="L106" s="69">
        <f>IF(B106="","",INDEX(PRECIOS!$A$6:$A$55,K106))</f>
      </c>
      <c r="M106" s="37">
        <f>IF(B106="","",G106*INDEX(PRECIOS!$B$6:$B$55,K106))</f>
      </c>
      <c r="N106" s="37">
        <f>IF(B106="","",H106*INDEX(PRECIOS!$C$6:$C$55,K106))</f>
      </c>
      <c r="O106" s="37">
        <f>IF(B106="","",I106*INDEX(PRECIOS!$D$6:$D$55,K106))</f>
      </c>
      <c r="P106" s="37">
        <f>IF(B106="","",N(ENTRADA!$X106))</f>
      </c>
      <c r="Q106" s="70">
        <f>IF(B106="","",M106+N106+O106+P106)</f>
      </c>
      <c r="R106" s="71">
        <f>IF(B106="","",IF(ENTRADA!$J106="",Std_Viajes_Puerto,ENTRADA!$J106))</f>
      </c>
      <c r="S106" s="37">
        <f>IF(B106="","",R106*INDEX(PRECIOS!$F$6:$F$55,K106))</f>
      </c>
      <c r="T106" s="71">
        <f>IF(B106="","",R106*Litros_Puerto_Viaje)</f>
      </c>
      <c r="U106" s="71">
        <f>IF(B106="","",IF(ENTRADA!$K106="",T106,ENTRADA!$K106))</f>
      </c>
      <c r="V106" s="37">
        <f>IF(B106="","",U106*INDEX(PRECIOS!$E$6:$E$55,K106))</f>
      </c>
      <c r="W106" s="37">
        <f>IF(B106="","",IF(ENTRADA!$L106="",R106*INDEX(PRECIOS!$G$6:$G$55,K106),ENTRADA!$L106))</f>
      </c>
      <c r="X106" s="37">
        <f>IF(B106="","",R106*Km_Puerto_Viaje*INDEX(PRECIOS!$N$6:$N$55,K106))</f>
      </c>
      <c r="Y106" s="70">
        <f>IF(B106="","",S106+V106+W106+X106)</f>
      </c>
      <c r="Z106" s="71">
        <f>IF(B106="","",IF(J106=0,0,ROUNDUP(J106/Rend_Desagrupe,0)))</f>
      </c>
      <c r="AA106" s="71">
        <f>IF(B106="","",IF(ENTRADA!$M106="",Z106,ENTRADA!$M106))</f>
      </c>
      <c r="AB106" s="37">
        <f>IF(B106="","",AA106*INDEX(PRECIOS!$H$6:$H$55,K106))</f>
      </c>
      <c r="AC106" s="37">
        <f>IF(B106="","",IF(E106="ENCI",INDEX(PRECIOS!$J$6:$J$55,K106),IF(E106="A.V",INDEX(PRECIOS!$K$6:$K$55,K106),0)))</f>
      </c>
      <c r="AD106" s="37">
        <f>IF(B106="","",N(ENTRADA!$N106))</f>
      </c>
      <c r="AE106" s="70">
        <f>IF(B106="","",AB106+AC106+AD106)</f>
      </c>
      <c r="AF106" s="71">
        <f>IF(B106="","",IF(G106=0,0,ROUNDUP(G106/Cap_Camion_OCC,0)))</f>
      </c>
      <c r="AG106" s="71">
        <f>IF(B106="","",AF106*L_Dist_OCC)</f>
      </c>
      <c r="AH106" s="71">
        <f>IF(B106="","",IF(ENTRADA!$O106="",AG106,ENTRADA!$O106))</f>
      </c>
      <c r="AI106" s="37">
        <f>IF(B106="","",AH106*INDEX(PRECIOS!$E$6:$E$55,K106))</f>
      </c>
      <c r="AJ106" s="71">
        <f>IF(B106="","",IF(H106=0,0,ROUNDUP(H106/Cap_Camion_CEN,0)))</f>
      </c>
      <c r="AK106" s="71">
        <f>IF(B106="","",AJ106*L_Tras_CEN)</f>
      </c>
      <c r="AL106" s="71">
        <f>IF(B106="","",IF(ENTRADA!$P106="",AK106,ENTRADA!$P106))</f>
      </c>
      <c r="AM106" s="71">
        <f>IF(B106="","",AJ106*L_Dist_CEN)</f>
      </c>
      <c r="AN106" s="71">
        <f>IF(B106="","",IF(ENTRADA!$Q106="",AM106,ENTRADA!$Q106))</f>
      </c>
      <c r="AO106" s="37">
        <f>IF(B106="","",(AL106+AN106)*INDEX(PRECIOS!$E$6:$E$55,K106))</f>
      </c>
      <c r="AP106" s="71">
        <f>IF(B106="","",IF(H106=0,0,ROUNDUP(H106/Rend_Desagrupe_CT,0)))</f>
      </c>
      <c r="AQ106" s="71">
        <f>IF(B106="","",IF(ENTRADA!$R106="",AP106,ENTRADA!$R106))</f>
      </c>
      <c r="AR106" s="37">
        <f>IF(B106="","",AQ106*INDEX(PRECIOS!$I$6:$I$55,K106))</f>
      </c>
      <c r="AS106" s="37">
        <f>IF(B106="","",AO106+AR106)</f>
      </c>
      <c r="AT106" s="71">
        <f>IF(B106="","",IF(I106=0,0,ROUNDUP(I106/Cap_Camion_ORI,0)))</f>
      </c>
      <c r="AU106" s="71">
        <f>IF(B106="","",AT106*L_Tras_ORI)</f>
      </c>
      <c r="AV106" s="71">
        <f>IF(B106="","",IF(ENTRADA!$S106="",AU106,ENTRADA!$S106))</f>
      </c>
      <c r="AW106" s="71">
        <f>IF(B106="","",AT106*L_Dist_ORI)</f>
      </c>
      <c r="AX106" s="71">
        <f>IF(B106="","",IF(ENTRADA!$T106="",AW106,ENTRADA!$T106))</f>
      </c>
      <c r="AY106" s="37">
        <f>IF(B106="","",(AV106+AX106)*INDEX(PRECIOS!$E$6:$E$55,K106))</f>
      </c>
      <c r="AZ106" s="71">
        <f>IF(B106="","",IF(I106=0,0,ROUNDUP(I106/Rend_Desagrupe_CT,0)))</f>
      </c>
      <c r="BA106" s="71">
        <f>IF(B106="","",IF(ENTRADA!$U106="",AZ106,ENTRADA!$U106))</f>
      </c>
      <c r="BB106" s="37">
        <f>IF(B106="","",BA106*INDEX(PRECIOS!$I$6:$I$55,K106))</f>
      </c>
      <c r="BC106" s="37">
        <f>IF(B106="","",AY106+BB106)</f>
      </c>
      <c r="BD106" s="70">
        <f>IF(B106="","",AI106+AS106+BC106)</f>
      </c>
      <c r="BE106" s="37">
        <f>IF(B106="","",IF(Base_Comision="% DEL INGRESO",M106*INDEX(PRECIOS!$L$6:$L$55,K106),G106*INDEX(PRECIOS!$M$6:$M$55,K106)))</f>
      </c>
      <c r="BF106" s="37">
        <f>IF(B106="","",IF(Base_Comision="% DEL INGRESO",N106*INDEX(PRECIOS!$L$6:$L$55,K106),H106*INDEX(PRECIOS!$M$6:$M$55,K106)))</f>
      </c>
      <c r="BG106" s="37">
        <f>IF(B106="","",IF(Base_Comision="% DEL INGRESO",O106*INDEX(PRECIOS!$L$6:$L$55,K106),I106*INDEX(PRECIOS!$M$6:$M$55,K106)))</f>
      </c>
      <c r="BH106" s="70">
        <f>IF(B106="","",BE106+BF106+BG106)</f>
      </c>
      <c r="BI106" s="37">
        <f>IF(B106="","",Q106*Pct_Reclamaciones)</f>
      </c>
      <c r="BJ106" s="37">
        <f>IF(B106="","",Q106*Pct_Banco)</f>
      </c>
      <c r="BK106" s="37">
        <f>IF(B106="","",N(ENTRADA!$V106))</f>
      </c>
      <c r="BL106" s="70">
        <f>IF(B106="","",Y106+AE106+BD106+BH106+BI106+BJ106+BK106)</f>
      </c>
      <c r="BM106" s="70">
        <f>IF(B106="","",Q106-BL106)</f>
      </c>
      <c r="BN106" s="72">
        <f>IF(B106="","",IF(Q106=0,0,BM106/Q106))</f>
      </c>
      <c r="BO106" s="73">
        <f>IF(B106="","",IF(J106=0,0,BM106/J106))</f>
      </c>
      <c r="BP106" s="60">
        <f>IF(B106="","",IFERROR(MATCH(D106,COSTOS_FIJOS!$G$5:$AD$5,0),0))</f>
      </c>
      <c r="BQ106" s="60">
        <f>IF(B106="","",COUNTIFS($D$6:$D$305,D106))</f>
      </c>
      <c r="BR106" s="67">
        <f>IF(B106="","",SUMIFS($J$6:$J$305,$D$6:$D$305,D106))</f>
      </c>
      <c r="BS106" s="72">
        <f>IF(B106="","",IF(Metodo_Prorrateo="KG",IF(BR106=0,0,J106/BR106),1/BQ106))</f>
      </c>
      <c r="BT106" s="37">
        <f>IF(B106="","",IF(BP106=0,0,INDEX(COSTOS_FIJOS!$G$38:$AD$38,BP106))*BS106)</f>
      </c>
      <c r="BU106" s="72">
        <f>IF(B106="","",IF(Metodo_Prorrateo="KG",IF(SUMIFS($G$6:$G$305,$D$6:$D$305,D106)=0,0,G106/SUMIFS($G$6:$G$305,$D$6:$D$305,D106)),IF(G106&gt;0,1/COUNTIFS($D$6:$D$305,D106,$G$6:$G$305,"&gt;0"),0)))</f>
      </c>
      <c r="BV106" s="37">
        <f>IF(B106="","",IF(BP106=0,0,INDEX(COSTOS_FIJOS!$G$39:$AD$39,BP106))*BU106)</f>
      </c>
      <c r="BW106" s="72">
        <f>IF(B106="","",IF(Metodo_Prorrateo="KG",IF(SUMIFS($H$6:$H$305,$D$6:$D$305,D106)=0,0,H106/SUMIFS($H$6:$H$305,$D$6:$D$305,D106)),IF(H106&gt;0,1/COUNTIFS($D$6:$D$305,D106,$H$6:$H$305,"&gt;0"),0)))</f>
      </c>
      <c r="BX106" s="37">
        <f>IF(B106="","",IF(BP106=0,0,INDEX(COSTOS_FIJOS!$G$40:$AD$40,BP106))*BW106)</f>
      </c>
      <c r="BY106" s="72">
        <f>IF(B106="","",IF(Metodo_Prorrateo="KG",IF(SUMIFS($I$6:$I$305,$D$6:$D$305,D106)=0,0,I106/SUMIFS($I$6:$I$305,$D$6:$D$305,D106)),IF(I106&gt;0,1/COUNTIFS($D$6:$D$305,D106,$I$6:$I$305,"&gt;0"),0)))</f>
      </c>
      <c r="BZ106" s="37">
        <f>IF(B106="","",IF(BP106=0,0,INDEX(COSTOS_FIJOS!$G$41:$AD$41,BP106))*BY106)</f>
      </c>
      <c r="CA106" s="70">
        <f>IF(B106="","",BT106+BV106+BX106+BZ106)</f>
      </c>
      <c r="CB106" s="37">
        <f>IF(B106="","",Q106*Imp_Ventas_Serv)</f>
      </c>
      <c r="CC106" s="37">
        <f>IF(B106="","",Q106*Contrib_Territorial)</f>
      </c>
      <c r="CD106" s="70">
        <f>IF(B106="","",BM106-CA106-CB106-CC106)</f>
      </c>
      <c r="CE106" s="37">
        <f>IF(B106="","",MAX(0,CD106)*Imp_Utilidades)</f>
      </c>
      <c r="CF106" s="70">
        <f>IF(B106="","",CD106-CE106)</f>
      </c>
      <c r="CG106" s="72">
        <f>IF(B106="","",IF(Q106=0,0,CF106/Q106))</f>
      </c>
      <c r="CH106" s="73">
        <f>IF(B106="","",IF(J106=0,0,(BL106+CA106+CB106+CC106)/J106))</f>
      </c>
      <c r="CI106" s="73">
        <f>IF(B106="","",IF(J106=0,0,Q106/J106))</f>
      </c>
      <c r="CJ106" s="73">
        <f>IF(B106="","",IF(J106=0,0,CD106/J106))</f>
      </c>
      <c r="CK106" s="37">
        <f>IF(B106="","",Y106+AE106+BK106+BT106)</f>
      </c>
      <c r="CL106" s="37">
        <f>IF(B106="","",IF(J106=0,0,(M106+P106*G106/J106)*(1-Pct_Reclamaciones-Pct_Banco-Imp_Ventas_Serv-Contrib_Territorial)-AI106-BE106-BV106-CK106*G106/J106))</f>
      </c>
      <c r="CM106" s="37">
        <f>IF(B106="","",IF(J106=0,0,(N106+P106*H106/J106)*(1-Pct_Reclamaciones-Pct_Banco-Imp_Ventas_Serv-Contrib_Territorial)-AS106-BF106-BX106-CK106*H106/J106))</f>
      </c>
      <c r="CN106" s="37">
        <f>IF(B106="","",IF(J106=0,0,(O106+P106*I106/J106)*(1-Pct_Reclamaciones-Pct_Banco-Imp_Ventas_Serv-Contrib_Territorial)-BC106-BG106-BZ106-CK106*I106/J106))</f>
      </c>
      <c r="CO106" s="37">
        <f>IF(B106="","",IF(J106=0,0,ROUND(CD106-CL106-CM106-CN106,4)))</f>
      </c>
      <c r="CP106" s="71">
        <f>IF(B106="","",T106+AG106+AK106+AM106+AU106+AW106)</f>
      </c>
      <c r="CQ106" s="71">
        <f>IF(B106="","",U106+AH106+AL106+AN106+AV106+AX106)</f>
      </c>
      <c r="CR106" s="72">
        <f>IF(B106="","",IF(CP106=0,0,CQ106/CP106-1))</f>
      </c>
      <c r="CS106" s="60">
        <f>IF(B106="","",IF(ENTRADA!$Y106="","",ENTRADA!$Y106-C106))</f>
      </c>
      <c r="CT106" s="66">
        <f>IF(B106="","",IF(ENTRADA!$C106="","Falta fecha. ","")&amp;IF(BP106=0,"Mes fuera del rango de COSTOS_FIJOS. ","")&amp;IF(J106=0,"Sin kg. ","")&amp;IF(E106="","Falta transitaria. ","")&amp;IF(AND(T106&gt;0,U106/T106-1&gt;Tolerancia_Comb),"Combustible al puerto "&amp;TEXT(U106/T106-1,"+0%")&amp;" sobre norma. ","")&amp;IF(AND(AG106&gt;0,AH106/AG106-1&gt;Tolerancia_Comb),"Combustible distribución Occidente "&amp;TEXT(AH106/AG106-1,"+0%")&amp;" sobre norma. ","")&amp;IF(AND(AK106&gt;0,AL106/AK106-1&gt;Tolerancia_Comb),"Combustible traslado Centro "&amp;TEXT(AL106/AK106-1,"+0%")&amp;" sobre norma. ","")&amp;IF(AND(AM106&gt;0,AN106/AM106-1&gt;Tolerancia_Comb),"Combustible distribución Centro "&amp;TEXT(AN106/AM106-1,"+0%")&amp;" sobre norma. ","")&amp;IF(AND(AU106&gt;0,AV106/AU106-1&gt;Tolerancia_Comb),"Combustible traslado Oriente "&amp;TEXT(AV106/AU106-1,"+0%")&amp;" sobre norma. ","")&amp;IF(AND(AW106&gt;0,AX106/AW106-1&gt;Tolerancia_Comb),"Combustible distribución Oriente "&amp;TEXT(AX106/AW106-1,"+0%")&amp;" sobre norma. ","")&amp;IF(AND(ENTRADA!$C106&lt;&gt;"",C106&lt;PRECIOS!$A$6),"Fecha anterior a la 1ª vigencia de precios. ","")&amp;IF(CD106&lt;0,"Contenedor con pérdida. ",""))</f>
      </c>
    </row>
    <row r="107">
      <c r="A107" s="60">
        <f>IF(B107="","",ROW()-5)</f>
      </c>
      <c r="B107" s="63">
        <f>IF(ENTRADA!$B107="","",ENTRADA!$B107)</f>
      </c>
      <c r="C107" s="64">
        <f>IF(B107="","",ENTRADA!$C107)</f>
      </c>
      <c r="D107" s="65">
        <f>IF(B107="","",DATE(YEAR(C107),MONTH(C107),1))</f>
      </c>
      <c r="E107" s="66">
        <f>IF(B107="","",ENTRADA!$D107&amp;"")</f>
      </c>
      <c r="F107" s="66">
        <f>IF(B107="","",ENTRADA!$Z107&amp;"")</f>
      </c>
      <c r="G107" s="67">
        <f>IF(B107="","",N(ENTRADA!$G107))</f>
      </c>
      <c r="H107" s="67">
        <f>IF(B107="","",N(ENTRADA!$H107))</f>
      </c>
      <c r="I107" s="67">
        <f>IF(B107="","",N(ENTRADA!$I107))</f>
      </c>
      <c r="J107" s="68">
        <f>IF(B107="","",G107+H107+I107)</f>
      </c>
      <c r="K107" s="60">
        <f>IF(B107="","",IFERROR(MATCH(SUMPRODUCT(MAX((PRECIOS!$A$6:$A$55&lt;=C107)*PRECIOS!$A$6:$A$55)),PRECIOS!$A$6:$A$55,0),1))</f>
      </c>
      <c r="L107" s="69">
        <f>IF(B107="","",INDEX(PRECIOS!$A$6:$A$55,K107))</f>
      </c>
      <c r="M107" s="37">
        <f>IF(B107="","",G107*INDEX(PRECIOS!$B$6:$B$55,K107))</f>
      </c>
      <c r="N107" s="37">
        <f>IF(B107="","",H107*INDEX(PRECIOS!$C$6:$C$55,K107))</f>
      </c>
      <c r="O107" s="37">
        <f>IF(B107="","",I107*INDEX(PRECIOS!$D$6:$D$55,K107))</f>
      </c>
      <c r="P107" s="37">
        <f>IF(B107="","",N(ENTRADA!$X107))</f>
      </c>
      <c r="Q107" s="70">
        <f>IF(B107="","",M107+N107+O107+P107)</f>
      </c>
      <c r="R107" s="71">
        <f>IF(B107="","",IF(ENTRADA!$J107="",Std_Viajes_Puerto,ENTRADA!$J107))</f>
      </c>
      <c r="S107" s="37">
        <f>IF(B107="","",R107*INDEX(PRECIOS!$F$6:$F$55,K107))</f>
      </c>
      <c r="T107" s="71">
        <f>IF(B107="","",R107*Litros_Puerto_Viaje)</f>
      </c>
      <c r="U107" s="71">
        <f>IF(B107="","",IF(ENTRADA!$K107="",T107,ENTRADA!$K107))</f>
      </c>
      <c r="V107" s="37">
        <f>IF(B107="","",U107*INDEX(PRECIOS!$E$6:$E$55,K107))</f>
      </c>
      <c r="W107" s="37">
        <f>IF(B107="","",IF(ENTRADA!$L107="",R107*INDEX(PRECIOS!$G$6:$G$55,K107),ENTRADA!$L107))</f>
      </c>
      <c r="X107" s="37">
        <f>IF(B107="","",R107*Km_Puerto_Viaje*INDEX(PRECIOS!$N$6:$N$55,K107))</f>
      </c>
      <c r="Y107" s="70">
        <f>IF(B107="","",S107+V107+W107+X107)</f>
      </c>
      <c r="Z107" s="71">
        <f>IF(B107="","",IF(J107=0,0,ROUNDUP(J107/Rend_Desagrupe,0)))</f>
      </c>
      <c r="AA107" s="71">
        <f>IF(B107="","",IF(ENTRADA!$M107="",Z107,ENTRADA!$M107))</f>
      </c>
      <c r="AB107" s="37">
        <f>IF(B107="","",AA107*INDEX(PRECIOS!$H$6:$H$55,K107))</f>
      </c>
      <c r="AC107" s="37">
        <f>IF(B107="","",IF(E107="ENCI",INDEX(PRECIOS!$J$6:$J$55,K107),IF(E107="A.V",INDEX(PRECIOS!$K$6:$K$55,K107),0)))</f>
      </c>
      <c r="AD107" s="37">
        <f>IF(B107="","",N(ENTRADA!$N107))</f>
      </c>
      <c r="AE107" s="70">
        <f>IF(B107="","",AB107+AC107+AD107)</f>
      </c>
      <c r="AF107" s="71">
        <f>IF(B107="","",IF(G107=0,0,ROUNDUP(G107/Cap_Camion_OCC,0)))</f>
      </c>
      <c r="AG107" s="71">
        <f>IF(B107="","",AF107*L_Dist_OCC)</f>
      </c>
      <c r="AH107" s="71">
        <f>IF(B107="","",IF(ENTRADA!$O107="",AG107,ENTRADA!$O107))</f>
      </c>
      <c r="AI107" s="37">
        <f>IF(B107="","",AH107*INDEX(PRECIOS!$E$6:$E$55,K107))</f>
      </c>
      <c r="AJ107" s="71">
        <f>IF(B107="","",IF(H107=0,0,ROUNDUP(H107/Cap_Camion_CEN,0)))</f>
      </c>
      <c r="AK107" s="71">
        <f>IF(B107="","",AJ107*L_Tras_CEN)</f>
      </c>
      <c r="AL107" s="71">
        <f>IF(B107="","",IF(ENTRADA!$P107="",AK107,ENTRADA!$P107))</f>
      </c>
      <c r="AM107" s="71">
        <f>IF(B107="","",AJ107*L_Dist_CEN)</f>
      </c>
      <c r="AN107" s="71">
        <f>IF(B107="","",IF(ENTRADA!$Q107="",AM107,ENTRADA!$Q107))</f>
      </c>
      <c r="AO107" s="37">
        <f>IF(B107="","",(AL107+AN107)*INDEX(PRECIOS!$E$6:$E$55,K107))</f>
      </c>
      <c r="AP107" s="71">
        <f>IF(B107="","",IF(H107=0,0,ROUNDUP(H107/Rend_Desagrupe_CT,0)))</f>
      </c>
      <c r="AQ107" s="71">
        <f>IF(B107="","",IF(ENTRADA!$R107="",AP107,ENTRADA!$R107))</f>
      </c>
      <c r="AR107" s="37">
        <f>IF(B107="","",AQ107*INDEX(PRECIOS!$I$6:$I$55,K107))</f>
      </c>
      <c r="AS107" s="37">
        <f>IF(B107="","",AO107+AR107)</f>
      </c>
      <c r="AT107" s="71">
        <f>IF(B107="","",IF(I107=0,0,ROUNDUP(I107/Cap_Camion_ORI,0)))</f>
      </c>
      <c r="AU107" s="71">
        <f>IF(B107="","",AT107*L_Tras_ORI)</f>
      </c>
      <c r="AV107" s="71">
        <f>IF(B107="","",IF(ENTRADA!$S107="",AU107,ENTRADA!$S107))</f>
      </c>
      <c r="AW107" s="71">
        <f>IF(B107="","",AT107*L_Dist_ORI)</f>
      </c>
      <c r="AX107" s="71">
        <f>IF(B107="","",IF(ENTRADA!$T107="",AW107,ENTRADA!$T107))</f>
      </c>
      <c r="AY107" s="37">
        <f>IF(B107="","",(AV107+AX107)*INDEX(PRECIOS!$E$6:$E$55,K107))</f>
      </c>
      <c r="AZ107" s="71">
        <f>IF(B107="","",IF(I107=0,0,ROUNDUP(I107/Rend_Desagrupe_CT,0)))</f>
      </c>
      <c r="BA107" s="71">
        <f>IF(B107="","",IF(ENTRADA!$U107="",AZ107,ENTRADA!$U107))</f>
      </c>
      <c r="BB107" s="37">
        <f>IF(B107="","",BA107*INDEX(PRECIOS!$I$6:$I$55,K107))</f>
      </c>
      <c r="BC107" s="37">
        <f>IF(B107="","",AY107+BB107)</f>
      </c>
      <c r="BD107" s="70">
        <f>IF(B107="","",AI107+AS107+BC107)</f>
      </c>
      <c r="BE107" s="37">
        <f>IF(B107="","",IF(Base_Comision="% DEL INGRESO",M107*INDEX(PRECIOS!$L$6:$L$55,K107),G107*INDEX(PRECIOS!$M$6:$M$55,K107)))</f>
      </c>
      <c r="BF107" s="37">
        <f>IF(B107="","",IF(Base_Comision="% DEL INGRESO",N107*INDEX(PRECIOS!$L$6:$L$55,K107),H107*INDEX(PRECIOS!$M$6:$M$55,K107)))</f>
      </c>
      <c r="BG107" s="37">
        <f>IF(B107="","",IF(Base_Comision="% DEL INGRESO",O107*INDEX(PRECIOS!$L$6:$L$55,K107),I107*INDEX(PRECIOS!$M$6:$M$55,K107)))</f>
      </c>
      <c r="BH107" s="70">
        <f>IF(B107="","",BE107+BF107+BG107)</f>
      </c>
      <c r="BI107" s="37">
        <f>IF(B107="","",Q107*Pct_Reclamaciones)</f>
      </c>
      <c r="BJ107" s="37">
        <f>IF(B107="","",Q107*Pct_Banco)</f>
      </c>
      <c r="BK107" s="37">
        <f>IF(B107="","",N(ENTRADA!$V107))</f>
      </c>
      <c r="BL107" s="70">
        <f>IF(B107="","",Y107+AE107+BD107+BH107+BI107+BJ107+BK107)</f>
      </c>
      <c r="BM107" s="70">
        <f>IF(B107="","",Q107-BL107)</f>
      </c>
      <c r="BN107" s="72">
        <f>IF(B107="","",IF(Q107=0,0,BM107/Q107))</f>
      </c>
      <c r="BO107" s="73">
        <f>IF(B107="","",IF(J107=0,0,BM107/J107))</f>
      </c>
      <c r="BP107" s="60">
        <f>IF(B107="","",IFERROR(MATCH(D107,COSTOS_FIJOS!$G$5:$AD$5,0),0))</f>
      </c>
      <c r="BQ107" s="60">
        <f>IF(B107="","",COUNTIFS($D$6:$D$305,D107))</f>
      </c>
      <c r="BR107" s="67">
        <f>IF(B107="","",SUMIFS($J$6:$J$305,$D$6:$D$305,D107))</f>
      </c>
      <c r="BS107" s="72">
        <f>IF(B107="","",IF(Metodo_Prorrateo="KG",IF(BR107=0,0,J107/BR107),1/BQ107))</f>
      </c>
      <c r="BT107" s="37">
        <f>IF(B107="","",IF(BP107=0,0,INDEX(COSTOS_FIJOS!$G$38:$AD$38,BP107))*BS107)</f>
      </c>
      <c r="BU107" s="72">
        <f>IF(B107="","",IF(Metodo_Prorrateo="KG",IF(SUMIFS($G$6:$G$305,$D$6:$D$305,D107)=0,0,G107/SUMIFS($G$6:$G$305,$D$6:$D$305,D107)),IF(G107&gt;0,1/COUNTIFS($D$6:$D$305,D107,$G$6:$G$305,"&gt;0"),0)))</f>
      </c>
      <c r="BV107" s="37">
        <f>IF(B107="","",IF(BP107=0,0,INDEX(COSTOS_FIJOS!$G$39:$AD$39,BP107))*BU107)</f>
      </c>
      <c r="BW107" s="72">
        <f>IF(B107="","",IF(Metodo_Prorrateo="KG",IF(SUMIFS($H$6:$H$305,$D$6:$D$305,D107)=0,0,H107/SUMIFS($H$6:$H$305,$D$6:$D$305,D107)),IF(H107&gt;0,1/COUNTIFS($D$6:$D$305,D107,$H$6:$H$305,"&gt;0"),0)))</f>
      </c>
      <c r="BX107" s="37">
        <f>IF(B107="","",IF(BP107=0,0,INDEX(COSTOS_FIJOS!$G$40:$AD$40,BP107))*BW107)</f>
      </c>
      <c r="BY107" s="72">
        <f>IF(B107="","",IF(Metodo_Prorrateo="KG",IF(SUMIFS($I$6:$I$305,$D$6:$D$305,D107)=0,0,I107/SUMIFS($I$6:$I$305,$D$6:$D$305,D107)),IF(I107&gt;0,1/COUNTIFS($D$6:$D$305,D107,$I$6:$I$305,"&gt;0"),0)))</f>
      </c>
      <c r="BZ107" s="37">
        <f>IF(B107="","",IF(BP107=0,0,INDEX(COSTOS_FIJOS!$G$41:$AD$41,BP107))*BY107)</f>
      </c>
      <c r="CA107" s="70">
        <f>IF(B107="","",BT107+BV107+BX107+BZ107)</f>
      </c>
      <c r="CB107" s="37">
        <f>IF(B107="","",Q107*Imp_Ventas_Serv)</f>
      </c>
      <c r="CC107" s="37">
        <f>IF(B107="","",Q107*Contrib_Territorial)</f>
      </c>
      <c r="CD107" s="70">
        <f>IF(B107="","",BM107-CA107-CB107-CC107)</f>
      </c>
      <c r="CE107" s="37">
        <f>IF(B107="","",MAX(0,CD107)*Imp_Utilidades)</f>
      </c>
      <c r="CF107" s="70">
        <f>IF(B107="","",CD107-CE107)</f>
      </c>
      <c r="CG107" s="72">
        <f>IF(B107="","",IF(Q107=0,0,CF107/Q107))</f>
      </c>
      <c r="CH107" s="73">
        <f>IF(B107="","",IF(J107=0,0,(BL107+CA107+CB107+CC107)/J107))</f>
      </c>
      <c r="CI107" s="73">
        <f>IF(B107="","",IF(J107=0,0,Q107/J107))</f>
      </c>
      <c r="CJ107" s="73">
        <f>IF(B107="","",IF(J107=0,0,CD107/J107))</f>
      </c>
      <c r="CK107" s="37">
        <f>IF(B107="","",Y107+AE107+BK107+BT107)</f>
      </c>
      <c r="CL107" s="37">
        <f>IF(B107="","",IF(J107=0,0,(M107+P107*G107/J107)*(1-Pct_Reclamaciones-Pct_Banco-Imp_Ventas_Serv-Contrib_Territorial)-AI107-BE107-BV107-CK107*G107/J107))</f>
      </c>
      <c r="CM107" s="37">
        <f>IF(B107="","",IF(J107=0,0,(N107+P107*H107/J107)*(1-Pct_Reclamaciones-Pct_Banco-Imp_Ventas_Serv-Contrib_Territorial)-AS107-BF107-BX107-CK107*H107/J107))</f>
      </c>
      <c r="CN107" s="37">
        <f>IF(B107="","",IF(J107=0,0,(O107+P107*I107/J107)*(1-Pct_Reclamaciones-Pct_Banco-Imp_Ventas_Serv-Contrib_Territorial)-BC107-BG107-BZ107-CK107*I107/J107))</f>
      </c>
      <c r="CO107" s="37">
        <f>IF(B107="","",IF(J107=0,0,ROUND(CD107-CL107-CM107-CN107,4)))</f>
      </c>
      <c r="CP107" s="71">
        <f>IF(B107="","",T107+AG107+AK107+AM107+AU107+AW107)</f>
      </c>
      <c r="CQ107" s="71">
        <f>IF(B107="","",U107+AH107+AL107+AN107+AV107+AX107)</f>
      </c>
      <c r="CR107" s="72">
        <f>IF(B107="","",IF(CP107=0,0,CQ107/CP107-1))</f>
      </c>
      <c r="CS107" s="60">
        <f>IF(B107="","",IF(ENTRADA!$Y107="","",ENTRADA!$Y107-C107))</f>
      </c>
      <c r="CT107" s="66">
        <f>IF(B107="","",IF(ENTRADA!$C107="","Falta fecha. ","")&amp;IF(BP107=0,"Mes fuera del rango de COSTOS_FIJOS. ","")&amp;IF(J107=0,"Sin kg. ","")&amp;IF(E107="","Falta transitaria. ","")&amp;IF(AND(T107&gt;0,U107/T107-1&gt;Tolerancia_Comb),"Combustible al puerto "&amp;TEXT(U107/T107-1,"+0%")&amp;" sobre norma. ","")&amp;IF(AND(AG107&gt;0,AH107/AG107-1&gt;Tolerancia_Comb),"Combustible distribución Occidente "&amp;TEXT(AH107/AG107-1,"+0%")&amp;" sobre norma. ","")&amp;IF(AND(AK107&gt;0,AL107/AK107-1&gt;Tolerancia_Comb),"Combustible traslado Centro "&amp;TEXT(AL107/AK107-1,"+0%")&amp;" sobre norma. ","")&amp;IF(AND(AM107&gt;0,AN107/AM107-1&gt;Tolerancia_Comb),"Combustible distribución Centro "&amp;TEXT(AN107/AM107-1,"+0%")&amp;" sobre norma. ","")&amp;IF(AND(AU107&gt;0,AV107/AU107-1&gt;Tolerancia_Comb),"Combustible traslado Oriente "&amp;TEXT(AV107/AU107-1,"+0%")&amp;" sobre norma. ","")&amp;IF(AND(AW107&gt;0,AX107/AW107-1&gt;Tolerancia_Comb),"Combustible distribución Oriente "&amp;TEXT(AX107/AW107-1,"+0%")&amp;" sobre norma. ","")&amp;IF(AND(ENTRADA!$C107&lt;&gt;"",C107&lt;PRECIOS!$A$6),"Fecha anterior a la 1ª vigencia de precios. ","")&amp;IF(CD107&lt;0,"Contenedor con pérdida. ",""))</f>
      </c>
    </row>
    <row r="108">
      <c r="A108" s="60">
        <f>IF(B108="","",ROW()-5)</f>
      </c>
      <c r="B108" s="63">
        <f>IF(ENTRADA!$B108="","",ENTRADA!$B108)</f>
      </c>
      <c r="C108" s="64">
        <f>IF(B108="","",ENTRADA!$C108)</f>
      </c>
      <c r="D108" s="65">
        <f>IF(B108="","",DATE(YEAR(C108),MONTH(C108),1))</f>
      </c>
      <c r="E108" s="66">
        <f>IF(B108="","",ENTRADA!$D108&amp;"")</f>
      </c>
      <c r="F108" s="66">
        <f>IF(B108="","",ENTRADA!$Z108&amp;"")</f>
      </c>
      <c r="G108" s="67">
        <f>IF(B108="","",N(ENTRADA!$G108))</f>
      </c>
      <c r="H108" s="67">
        <f>IF(B108="","",N(ENTRADA!$H108))</f>
      </c>
      <c r="I108" s="67">
        <f>IF(B108="","",N(ENTRADA!$I108))</f>
      </c>
      <c r="J108" s="68">
        <f>IF(B108="","",G108+H108+I108)</f>
      </c>
      <c r="K108" s="60">
        <f>IF(B108="","",IFERROR(MATCH(SUMPRODUCT(MAX((PRECIOS!$A$6:$A$55&lt;=C108)*PRECIOS!$A$6:$A$55)),PRECIOS!$A$6:$A$55,0),1))</f>
      </c>
      <c r="L108" s="69">
        <f>IF(B108="","",INDEX(PRECIOS!$A$6:$A$55,K108))</f>
      </c>
      <c r="M108" s="37">
        <f>IF(B108="","",G108*INDEX(PRECIOS!$B$6:$B$55,K108))</f>
      </c>
      <c r="N108" s="37">
        <f>IF(B108="","",H108*INDEX(PRECIOS!$C$6:$C$55,K108))</f>
      </c>
      <c r="O108" s="37">
        <f>IF(B108="","",I108*INDEX(PRECIOS!$D$6:$D$55,K108))</f>
      </c>
      <c r="P108" s="37">
        <f>IF(B108="","",N(ENTRADA!$X108))</f>
      </c>
      <c r="Q108" s="70">
        <f>IF(B108="","",M108+N108+O108+P108)</f>
      </c>
      <c r="R108" s="71">
        <f>IF(B108="","",IF(ENTRADA!$J108="",Std_Viajes_Puerto,ENTRADA!$J108))</f>
      </c>
      <c r="S108" s="37">
        <f>IF(B108="","",R108*INDEX(PRECIOS!$F$6:$F$55,K108))</f>
      </c>
      <c r="T108" s="71">
        <f>IF(B108="","",R108*Litros_Puerto_Viaje)</f>
      </c>
      <c r="U108" s="71">
        <f>IF(B108="","",IF(ENTRADA!$K108="",T108,ENTRADA!$K108))</f>
      </c>
      <c r="V108" s="37">
        <f>IF(B108="","",U108*INDEX(PRECIOS!$E$6:$E$55,K108))</f>
      </c>
      <c r="W108" s="37">
        <f>IF(B108="","",IF(ENTRADA!$L108="",R108*INDEX(PRECIOS!$G$6:$G$55,K108),ENTRADA!$L108))</f>
      </c>
      <c r="X108" s="37">
        <f>IF(B108="","",R108*Km_Puerto_Viaje*INDEX(PRECIOS!$N$6:$N$55,K108))</f>
      </c>
      <c r="Y108" s="70">
        <f>IF(B108="","",S108+V108+W108+X108)</f>
      </c>
      <c r="Z108" s="71">
        <f>IF(B108="","",IF(J108=0,0,ROUNDUP(J108/Rend_Desagrupe,0)))</f>
      </c>
      <c r="AA108" s="71">
        <f>IF(B108="","",IF(ENTRADA!$M108="",Z108,ENTRADA!$M108))</f>
      </c>
      <c r="AB108" s="37">
        <f>IF(B108="","",AA108*INDEX(PRECIOS!$H$6:$H$55,K108))</f>
      </c>
      <c r="AC108" s="37">
        <f>IF(B108="","",IF(E108="ENCI",INDEX(PRECIOS!$J$6:$J$55,K108),IF(E108="A.V",INDEX(PRECIOS!$K$6:$K$55,K108),0)))</f>
      </c>
      <c r="AD108" s="37">
        <f>IF(B108="","",N(ENTRADA!$N108))</f>
      </c>
      <c r="AE108" s="70">
        <f>IF(B108="","",AB108+AC108+AD108)</f>
      </c>
      <c r="AF108" s="71">
        <f>IF(B108="","",IF(G108=0,0,ROUNDUP(G108/Cap_Camion_OCC,0)))</f>
      </c>
      <c r="AG108" s="71">
        <f>IF(B108="","",AF108*L_Dist_OCC)</f>
      </c>
      <c r="AH108" s="71">
        <f>IF(B108="","",IF(ENTRADA!$O108="",AG108,ENTRADA!$O108))</f>
      </c>
      <c r="AI108" s="37">
        <f>IF(B108="","",AH108*INDEX(PRECIOS!$E$6:$E$55,K108))</f>
      </c>
      <c r="AJ108" s="71">
        <f>IF(B108="","",IF(H108=0,0,ROUNDUP(H108/Cap_Camion_CEN,0)))</f>
      </c>
      <c r="AK108" s="71">
        <f>IF(B108="","",AJ108*L_Tras_CEN)</f>
      </c>
      <c r="AL108" s="71">
        <f>IF(B108="","",IF(ENTRADA!$P108="",AK108,ENTRADA!$P108))</f>
      </c>
      <c r="AM108" s="71">
        <f>IF(B108="","",AJ108*L_Dist_CEN)</f>
      </c>
      <c r="AN108" s="71">
        <f>IF(B108="","",IF(ENTRADA!$Q108="",AM108,ENTRADA!$Q108))</f>
      </c>
      <c r="AO108" s="37">
        <f>IF(B108="","",(AL108+AN108)*INDEX(PRECIOS!$E$6:$E$55,K108))</f>
      </c>
      <c r="AP108" s="71">
        <f>IF(B108="","",IF(H108=0,0,ROUNDUP(H108/Rend_Desagrupe_CT,0)))</f>
      </c>
      <c r="AQ108" s="71">
        <f>IF(B108="","",IF(ENTRADA!$R108="",AP108,ENTRADA!$R108))</f>
      </c>
      <c r="AR108" s="37">
        <f>IF(B108="","",AQ108*INDEX(PRECIOS!$I$6:$I$55,K108))</f>
      </c>
      <c r="AS108" s="37">
        <f>IF(B108="","",AO108+AR108)</f>
      </c>
      <c r="AT108" s="71">
        <f>IF(B108="","",IF(I108=0,0,ROUNDUP(I108/Cap_Camion_ORI,0)))</f>
      </c>
      <c r="AU108" s="71">
        <f>IF(B108="","",AT108*L_Tras_ORI)</f>
      </c>
      <c r="AV108" s="71">
        <f>IF(B108="","",IF(ENTRADA!$S108="",AU108,ENTRADA!$S108))</f>
      </c>
      <c r="AW108" s="71">
        <f>IF(B108="","",AT108*L_Dist_ORI)</f>
      </c>
      <c r="AX108" s="71">
        <f>IF(B108="","",IF(ENTRADA!$T108="",AW108,ENTRADA!$T108))</f>
      </c>
      <c r="AY108" s="37">
        <f>IF(B108="","",(AV108+AX108)*INDEX(PRECIOS!$E$6:$E$55,K108))</f>
      </c>
      <c r="AZ108" s="71">
        <f>IF(B108="","",IF(I108=0,0,ROUNDUP(I108/Rend_Desagrupe_CT,0)))</f>
      </c>
      <c r="BA108" s="71">
        <f>IF(B108="","",IF(ENTRADA!$U108="",AZ108,ENTRADA!$U108))</f>
      </c>
      <c r="BB108" s="37">
        <f>IF(B108="","",BA108*INDEX(PRECIOS!$I$6:$I$55,K108))</f>
      </c>
      <c r="BC108" s="37">
        <f>IF(B108="","",AY108+BB108)</f>
      </c>
      <c r="BD108" s="70">
        <f>IF(B108="","",AI108+AS108+BC108)</f>
      </c>
      <c r="BE108" s="37">
        <f>IF(B108="","",IF(Base_Comision="% DEL INGRESO",M108*INDEX(PRECIOS!$L$6:$L$55,K108),G108*INDEX(PRECIOS!$M$6:$M$55,K108)))</f>
      </c>
      <c r="BF108" s="37">
        <f>IF(B108="","",IF(Base_Comision="% DEL INGRESO",N108*INDEX(PRECIOS!$L$6:$L$55,K108),H108*INDEX(PRECIOS!$M$6:$M$55,K108)))</f>
      </c>
      <c r="BG108" s="37">
        <f>IF(B108="","",IF(Base_Comision="% DEL INGRESO",O108*INDEX(PRECIOS!$L$6:$L$55,K108),I108*INDEX(PRECIOS!$M$6:$M$55,K108)))</f>
      </c>
      <c r="BH108" s="70">
        <f>IF(B108="","",BE108+BF108+BG108)</f>
      </c>
      <c r="BI108" s="37">
        <f>IF(B108="","",Q108*Pct_Reclamaciones)</f>
      </c>
      <c r="BJ108" s="37">
        <f>IF(B108="","",Q108*Pct_Banco)</f>
      </c>
      <c r="BK108" s="37">
        <f>IF(B108="","",N(ENTRADA!$V108))</f>
      </c>
      <c r="BL108" s="70">
        <f>IF(B108="","",Y108+AE108+BD108+BH108+BI108+BJ108+BK108)</f>
      </c>
      <c r="BM108" s="70">
        <f>IF(B108="","",Q108-BL108)</f>
      </c>
      <c r="BN108" s="72">
        <f>IF(B108="","",IF(Q108=0,0,BM108/Q108))</f>
      </c>
      <c r="BO108" s="73">
        <f>IF(B108="","",IF(J108=0,0,BM108/J108))</f>
      </c>
      <c r="BP108" s="60">
        <f>IF(B108="","",IFERROR(MATCH(D108,COSTOS_FIJOS!$G$5:$AD$5,0),0))</f>
      </c>
      <c r="BQ108" s="60">
        <f>IF(B108="","",COUNTIFS($D$6:$D$305,D108))</f>
      </c>
      <c r="BR108" s="67">
        <f>IF(B108="","",SUMIFS($J$6:$J$305,$D$6:$D$305,D108))</f>
      </c>
      <c r="BS108" s="72">
        <f>IF(B108="","",IF(Metodo_Prorrateo="KG",IF(BR108=0,0,J108/BR108),1/BQ108))</f>
      </c>
      <c r="BT108" s="37">
        <f>IF(B108="","",IF(BP108=0,0,INDEX(COSTOS_FIJOS!$G$38:$AD$38,BP108))*BS108)</f>
      </c>
      <c r="BU108" s="72">
        <f>IF(B108="","",IF(Metodo_Prorrateo="KG",IF(SUMIFS($G$6:$G$305,$D$6:$D$305,D108)=0,0,G108/SUMIFS($G$6:$G$305,$D$6:$D$305,D108)),IF(G108&gt;0,1/COUNTIFS($D$6:$D$305,D108,$G$6:$G$305,"&gt;0"),0)))</f>
      </c>
      <c r="BV108" s="37">
        <f>IF(B108="","",IF(BP108=0,0,INDEX(COSTOS_FIJOS!$G$39:$AD$39,BP108))*BU108)</f>
      </c>
      <c r="BW108" s="72">
        <f>IF(B108="","",IF(Metodo_Prorrateo="KG",IF(SUMIFS($H$6:$H$305,$D$6:$D$305,D108)=0,0,H108/SUMIFS($H$6:$H$305,$D$6:$D$305,D108)),IF(H108&gt;0,1/COUNTIFS($D$6:$D$305,D108,$H$6:$H$305,"&gt;0"),0)))</f>
      </c>
      <c r="BX108" s="37">
        <f>IF(B108="","",IF(BP108=0,0,INDEX(COSTOS_FIJOS!$G$40:$AD$40,BP108))*BW108)</f>
      </c>
      <c r="BY108" s="72">
        <f>IF(B108="","",IF(Metodo_Prorrateo="KG",IF(SUMIFS($I$6:$I$305,$D$6:$D$305,D108)=0,0,I108/SUMIFS($I$6:$I$305,$D$6:$D$305,D108)),IF(I108&gt;0,1/COUNTIFS($D$6:$D$305,D108,$I$6:$I$305,"&gt;0"),0)))</f>
      </c>
      <c r="BZ108" s="37">
        <f>IF(B108="","",IF(BP108=0,0,INDEX(COSTOS_FIJOS!$G$41:$AD$41,BP108))*BY108)</f>
      </c>
      <c r="CA108" s="70">
        <f>IF(B108="","",BT108+BV108+BX108+BZ108)</f>
      </c>
      <c r="CB108" s="37">
        <f>IF(B108="","",Q108*Imp_Ventas_Serv)</f>
      </c>
      <c r="CC108" s="37">
        <f>IF(B108="","",Q108*Contrib_Territorial)</f>
      </c>
      <c r="CD108" s="70">
        <f>IF(B108="","",BM108-CA108-CB108-CC108)</f>
      </c>
      <c r="CE108" s="37">
        <f>IF(B108="","",MAX(0,CD108)*Imp_Utilidades)</f>
      </c>
      <c r="CF108" s="70">
        <f>IF(B108="","",CD108-CE108)</f>
      </c>
      <c r="CG108" s="72">
        <f>IF(B108="","",IF(Q108=0,0,CF108/Q108))</f>
      </c>
      <c r="CH108" s="73">
        <f>IF(B108="","",IF(J108=0,0,(BL108+CA108+CB108+CC108)/J108))</f>
      </c>
      <c r="CI108" s="73">
        <f>IF(B108="","",IF(J108=0,0,Q108/J108))</f>
      </c>
      <c r="CJ108" s="73">
        <f>IF(B108="","",IF(J108=0,0,CD108/J108))</f>
      </c>
      <c r="CK108" s="37">
        <f>IF(B108="","",Y108+AE108+BK108+BT108)</f>
      </c>
      <c r="CL108" s="37">
        <f>IF(B108="","",IF(J108=0,0,(M108+P108*G108/J108)*(1-Pct_Reclamaciones-Pct_Banco-Imp_Ventas_Serv-Contrib_Territorial)-AI108-BE108-BV108-CK108*G108/J108))</f>
      </c>
      <c r="CM108" s="37">
        <f>IF(B108="","",IF(J108=0,0,(N108+P108*H108/J108)*(1-Pct_Reclamaciones-Pct_Banco-Imp_Ventas_Serv-Contrib_Territorial)-AS108-BF108-BX108-CK108*H108/J108))</f>
      </c>
      <c r="CN108" s="37">
        <f>IF(B108="","",IF(J108=0,0,(O108+P108*I108/J108)*(1-Pct_Reclamaciones-Pct_Banco-Imp_Ventas_Serv-Contrib_Territorial)-BC108-BG108-BZ108-CK108*I108/J108))</f>
      </c>
      <c r="CO108" s="37">
        <f>IF(B108="","",IF(J108=0,0,ROUND(CD108-CL108-CM108-CN108,4)))</f>
      </c>
      <c r="CP108" s="71">
        <f>IF(B108="","",T108+AG108+AK108+AM108+AU108+AW108)</f>
      </c>
      <c r="CQ108" s="71">
        <f>IF(B108="","",U108+AH108+AL108+AN108+AV108+AX108)</f>
      </c>
      <c r="CR108" s="72">
        <f>IF(B108="","",IF(CP108=0,0,CQ108/CP108-1))</f>
      </c>
      <c r="CS108" s="60">
        <f>IF(B108="","",IF(ENTRADA!$Y108="","",ENTRADA!$Y108-C108))</f>
      </c>
      <c r="CT108" s="66">
        <f>IF(B108="","",IF(ENTRADA!$C108="","Falta fecha. ","")&amp;IF(BP108=0,"Mes fuera del rango de COSTOS_FIJOS. ","")&amp;IF(J108=0,"Sin kg. ","")&amp;IF(E108="","Falta transitaria. ","")&amp;IF(AND(T108&gt;0,U108/T108-1&gt;Tolerancia_Comb),"Combustible al puerto "&amp;TEXT(U108/T108-1,"+0%")&amp;" sobre norma. ","")&amp;IF(AND(AG108&gt;0,AH108/AG108-1&gt;Tolerancia_Comb),"Combustible distribución Occidente "&amp;TEXT(AH108/AG108-1,"+0%")&amp;" sobre norma. ","")&amp;IF(AND(AK108&gt;0,AL108/AK108-1&gt;Tolerancia_Comb),"Combustible traslado Centro "&amp;TEXT(AL108/AK108-1,"+0%")&amp;" sobre norma. ","")&amp;IF(AND(AM108&gt;0,AN108/AM108-1&gt;Tolerancia_Comb),"Combustible distribución Centro "&amp;TEXT(AN108/AM108-1,"+0%")&amp;" sobre norma. ","")&amp;IF(AND(AU108&gt;0,AV108/AU108-1&gt;Tolerancia_Comb),"Combustible traslado Oriente "&amp;TEXT(AV108/AU108-1,"+0%")&amp;" sobre norma. ","")&amp;IF(AND(AW108&gt;0,AX108/AW108-1&gt;Tolerancia_Comb),"Combustible distribución Oriente "&amp;TEXT(AX108/AW108-1,"+0%")&amp;" sobre norma. ","")&amp;IF(AND(ENTRADA!$C108&lt;&gt;"",C108&lt;PRECIOS!$A$6),"Fecha anterior a la 1ª vigencia de precios. ","")&amp;IF(CD108&lt;0,"Contenedor con pérdida. ",""))</f>
      </c>
    </row>
    <row r="109">
      <c r="A109" s="60">
        <f>IF(B109="","",ROW()-5)</f>
      </c>
      <c r="B109" s="63">
        <f>IF(ENTRADA!$B109="","",ENTRADA!$B109)</f>
      </c>
      <c r="C109" s="64">
        <f>IF(B109="","",ENTRADA!$C109)</f>
      </c>
      <c r="D109" s="65">
        <f>IF(B109="","",DATE(YEAR(C109),MONTH(C109),1))</f>
      </c>
      <c r="E109" s="66">
        <f>IF(B109="","",ENTRADA!$D109&amp;"")</f>
      </c>
      <c r="F109" s="66">
        <f>IF(B109="","",ENTRADA!$Z109&amp;"")</f>
      </c>
      <c r="G109" s="67">
        <f>IF(B109="","",N(ENTRADA!$G109))</f>
      </c>
      <c r="H109" s="67">
        <f>IF(B109="","",N(ENTRADA!$H109))</f>
      </c>
      <c r="I109" s="67">
        <f>IF(B109="","",N(ENTRADA!$I109))</f>
      </c>
      <c r="J109" s="68">
        <f>IF(B109="","",G109+H109+I109)</f>
      </c>
      <c r="K109" s="60">
        <f>IF(B109="","",IFERROR(MATCH(SUMPRODUCT(MAX((PRECIOS!$A$6:$A$55&lt;=C109)*PRECIOS!$A$6:$A$55)),PRECIOS!$A$6:$A$55,0),1))</f>
      </c>
      <c r="L109" s="69">
        <f>IF(B109="","",INDEX(PRECIOS!$A$6:$A$55,K109))</f>
      </c>
      <c r="M109" s="37">
        <f>IF(B109="","",G109*INDEX(PRECIOS!$B$6:$B$55,K109))</f>
      </c>
      <c r="N109" s="37">
        <f>IF(B109="","",H109*INDEX(PRECIOS!$C$6:$C$55,K109))</f>
      </c>
      <c r="O109" s="37">
        <f>IF(B109="","",I109*INDEX(PRECIOS!$D$6:$D$55,K109))</f>
      </c>
      <c r="P109" s="37">
        <f>IF(B109="","",N(ENTRADA!$X109))</f>
      </c>
      <c r="Q109" s="70">
        <f>IF(B109="","",M109+N109+O109+P109)</f>
      </c>
      <c r="R109" s="71">
        <f>IF(B109="","",IF(ENTRADA!$J109="",Std_Viajes_Puerto,ENTRADA!$J109))</f>
      </c>
      <c r="S109" s="37">
        <f>IF(B109="","",R109*INDEX(PRECIOS!$F$6:$F$55,K109))</f>
      </c>
      <c r="T109" s="71">
        <f>IF(B109="","",R109*Litros_Puerto_Viaje)</f>
      </c>
      <c r="U109" s="71">
        <f>IF(B109="","",IF(ENTRADA!$K109="",T109,ENTRADA!$K109))</f>
      </c>
      <c r="V109" s="37">
        <f>IF(B109="","",U109*INDEX(PRECIOS!$E$6:$E$55,K109))</f>
      </c>
      <c r="W109" s="37">
        <f>IF(B109="","",IF(ENTRADA!$L109="",R109*INDEX(PRECIOS!$G$6:$G$55,K109),ENTRADA!$L109))</f>
      </c>
      <c r="X109" s="37">
        <f>IF(B109="","",R109*Km_Puerto_Viaje*INDEX(PRECIOS!$N$6:$N$55,K109))</f>
      </c>
      <c r="Y109" s="70">
        <f>IF(B109="","",S109+V109+W109+X109)</f>
      </c>
      <c r="Z109" s="71">
        <f>IF(B109="","",IF(J109=0,0,ROUNDUP(J109/Rend_Desagrupe,0)))</f>
      </c>
      <c r="AA109" s="71">
        <f>IF(B109="","",IF(ENTRADA!$M109="",Z109,ENTRADA!$M109))</f>
      </c>
      <c r="AB109" s="37">
        <f>IF(B109="","",AA109*INDEX(PRECIOS!$H$6:$H$55,K109))</f>
      </c>
      <c r="AC109" s="37">
        <f>IF(B109="","",IF(E109="ENCI",INDEX(PRECIOS!$J$6:$J$55,K109),IF(E109="A.V",INDEX(PRECIOS!$K$6:$K$55,K109),0)))</f>
      </c>
      <c r="AD109" s="37">
        <f>IF(B109="","",N(ENTRADA!$N109))</f>
      </c>
      <c r="AE109" s="70">
        <f>IF(B109="","",AB109+AC109+AD109)</f>
      </c>
      <c r="AF109" s="71">
        <f>IF(B109="","",IF(G109=0,0,ROUNDUP(G109/Cap_Camion_OCC,0)))</f>
      </c>
      <c r="AG109" s="71">
        <f>IF(B109="","",AF109*L_Dist_OCC)</f>
      </c>
      <c r="AH109" s="71">
        <f>IF(B109="","",IF(ENTRADA!$O109="",AG109,ENTRADA!$O109))</f>
      </c>
      <c r="AI109" s="37">
        <f>IF(B109="","",AH109*INDEX(PRECIOS!$E$6:$E$55,K109))</f>
      </c>
      <c r="AJ109" s="71">
        <f>IF(B109="","",IF(H109=0,0,ROUNDUP(H109/Cap_Camion_CEN,0)))</f>
      </c>
      <c r="AK109" s="71">
        <f>IF(B109="","",AJ109*L_Tras_CEN)</f>
      </c>
      <c r="AL109" s="71">
        <f>IF(B109="","",IF(ENTRADA!$P109="",AK109,ENTRADA!$P109))</f>
      </c>
      <c r="AM109" s="71">
        <f>IF(B109="","",AJ109*L_Dist_CEN)</f>
      </c>
      <c r="AN109" s="71">
        <f>IF(B109="","",IF(ENTRADA!$Q109="",AM109,ENTRADA!$Q109))</f>
      </c>
      <c r="AO109" s="37">
        <f>IF(B109="","",(AL109+AN109)*INDEX(PRECIOS!$E$6:$E$55,K109))</f>
      </c>
      <c r="AP109" s="71">
        <f>IF(B109="","",IF(H109=0,0,ROUNDUP(H109/Rend_Desagrupe_CT,0)))</f>
      </c>
      <c r="AQ109" s="71">
        <f>IF(B109="","",IF(ENTRADA!$R109="",AP109,ENTRADA!$R109))</f>
      </c>
      <c r="AR109" s="37">
        <f>IF(B109="","",AQ109*INDEX(PRECIOS!$I$6:$I$55,K109))</f>
      </c>
      <c r="AS109" s="37">
        <f>IF(B109="","",AO109+AR109)</f>
      </c>
      <c r="AT109" s="71">
        <f>IF(B109="","",IF(I109=0,0,ROUNDUP(I109/Cap_Camion_ORI,0)))</f>
      </c>
      <c r="AU109" s="71">
        <f>IF(B109="","",AT109*L_Tras_ORI)</f>
      </c>
      <c r="AV109" s="71">
        <f>IF(B109="","",IF(ENTRADA!$S109="",AU109,ENTRADA!$S109))</f>
      </c>
      <c r="AW109" s="71">
        <f>IF(B109="","",AT109*L_Dist_ORI)</f>
      </c>
      <c r="AX109" s="71">
        <f>IF(B109="","",IF(ENTRADA!$T109="",AW109,ENTRADA!$T109))</f>
      </c>
      <c r="AY109" s="37">
        <f>IF(B109="","",(AV109+AX109)*INDEX(PRECIOS!$E$6:$E$55,K109))</f>
      </c>
      <c r="AZ109" s="71">
        <f>IF(B109="","",IF(I109=0,0,ROUNDUP(I109/Rend_Desagrupe_CT,0)))</f>
      </c>
      <c r="BA109" s="71">
        <f>IF(B109="","",IF(ENTRADA!$U109="",AZ109,ENTRADA!$U109))</f>
      </c>
      <c r="BB109" s="37">
        <f>IF(B109="","",BA109*INDEX(PRECIOS!$I$6:$I$55,K109))</f>
      </c>
      <c r="BC109" s="37">
        <f>IF(B109="","",AY109+BB109)</f>
      </c>
      <c r="BD109" s="70">
        <f>IF(B109="","",AI109+AS109+BC109)</f>
      </c>
      <c r="BE109" s="37">
        <f>IF(B109="","",IF(Base_Comision="% DEL INGRESO",M109*INDEX(PRECIOS!$L$6:$L$55,K109),G109*INDEX(PRECIOS!$M$6:$M$55,K109)))</f>
      </c>
      <c r="BF109" s="37">
        <f>IF(B109="","",IF(Base_Comision="% DEL INGRESO",N109*INDEX(PRECIOS!$L$6:$L$55,K109),H109*INDEX(PRECIOS!$M$6:$M$55,K109)))</f>
      </c>
      <c r="BG109" s="37">
        <f>IF(B109="","",IF(Base_Comision="% DEL INGRESO",O109*INDEX(PRECIOS!$L$6:$L$55,K109),I109*INDEX(PRECIOS!$M$6:$M$55,K109)))</f>
      </c>
      <c r="BH109" s="70">
        <f>IF(B109="","",BE109+BF109+BG109)</f>
      </c>
      <c r="BI109" s="37">
        <f>IF(B109="","",Q109*Pct_Reclamaciones)</f>
      </c>
      <c r="BJ109" s="37">
        <f>IF(B109="","",Q109*Pct_Banco)</f>
      </c>
      <c r="BK109" s="37">
        <f>IF(B109="","",N(ENTRADA!$V109))</f>
      </c>
      <c r="BL109" s="70">
        <f>IF(B109="","",Y109+AE109+BD109+BH109+BI109+BJ109+BK109)</f>
      </c>
      <c r="BM109" s="70">
        <f>IF(B109="","",Q109-BL109)</f>
      </c>
      <c r="BN109" s="72">
        <f>IF(B109="","",IF(Q109=0,0,BM109/Q109))</f>
      </c>
      <c r="BO109" s="73">
        <f>IF(B109="","",IF(J109=0,0,BM109/J109))</f>
      </c>
      <c r="BP109" s="60">
        <f>IF(B109="","",IFERROR(MATCH(D109,COSTOS_FIJOS!$G$5:$AD$5,0),0))</f>
      </c>
      <c r="BQ109" s="60">
        <f>IF(B109="","",COUNTIFS($D$6:$D$305,D109))</f>
      </c>
      <c r="BR109" s="67">
        <f>IF(B109="","",SUMIFS($J$6:$J$305,$D$6:$D$305,D109))</f>
      </c>
      <c r="BS109" s="72">
        <f>IF(B109="","",IF(Metodo_Prorrateo="KG",IF(BR109=0,0,J109/BR109),1/BQ109))</f>
      </c>
      <c r="BT109" s="37">
        <f>IF(B109="","",IF(BP109=0,0,INDEX(COSTOS_FIJOS!$G$38:$AD$38,BP109))*BS109)</f>
      </c>
      <c r="BU109" s="72">
        <f>IF(B109="","",IF(Metodo_Prorrateo="KG",IF(SUMIFS($G$6:$G$305,$D$6:$D$305,D109)=0,0,G109/SUMIFS($G$6:$G$305,$D$6:$D$305,D109)),IF(G109&gt;0,1/COUNTIFS($D$6:$D$305,D109,$G$6:$G$305,"&gt;0"),0)))</f>
      </c>
      <c r="BV109" s="37">
        <f>IF(B109="","",IF(BP109=0,0,INDEX(COSTOS_FIJOS!$G$39:$AD$39,BP109))*BU109)</f>
      </c>
      <c r="BW109" s="72">
        <f>IF(B109="","",IF(Metodo_Prorrateo="KG",IF(SUMIFS($H$6:$H$305,$D$6:$D$305,D109)=0,0,H109/SUMIFS($H$6:$H$305,$D$6:$D$305,D109)),IF(H109&gt;0,1/COUNTIFS($D$6:$D$305,D109,$H$6:$H$305,"&gt;0"),0)))</f>
      </c>
      <c r="BX109" s="37">
        <f>IF(B109="","",IF(BP109=0,0,INDEX(COSTOS_FIJOS!$G$40:$AD$40,BP109))*BW109)</f>
      </c>
      <c r="BY109" s="72">
        <f>IF(B109="","",IF(Metodo_Prorrateo="KG",IF(SUMIFS($I$6:$I$305,$D$6:$D$305,D109)=0,0,I109/SUMIFS($I$6:$I$305,$D$6:$D$305,D109)),IF(I109&gt;0,1/COUNTIFS($D$6:$D$305,D109,$I$6:$I$305,"&gt;0"),0)))</f>
      </c>
      <c r="BZ109" s="37">
        <f>IF(B109="","",IF(BP109=0,0,INDEX(COSTOS_FIJOS!$G$41:$AD$41,BP109))*BY109)</f>
      </c>
      <c r="CA109" s="70">
        <f>IF(B109="","",BT109+BV109+BX109+BZ109)</f>
      </c>
      <c r="CB109" s="37">
        <f>IF(B109="","",Q109*Imp_Ventas_Serv)</f>
      </c>
      <c r="CC109" s="37">
        <f>IF(B109="","",Q109*Contrib_Territorial)</f>
      </c>
      <c r="CD109" s="70">
        <f>IF(B109="","",BM109-CA109-CB109-CC109)</f>
      </c>
      <c r="CE109" s="37">
        <f>IF(B109="","",MAX(0,CD109)*Imp_Utilidades)</f>
      </c>
      <c r="CF109" s="70">
        <f>IF(B109="","",CD109-CE109)</f>
      </c>
      <c r="CG109" s="72">
        <f>IF(B109="","",IF(Q109=0,0,CF109/Q109))</f>
      </c>
      <c r="CH109" s="73">
        <f>IF(B109="","",IF(J109=0,0,(BL109+CA109+CB109+CC109)/J109))</f>
      </c>
      <c r="CI109" s="73">
        <f>IF(B109="","",IF(J109=0,0,Q109/J109))</f>
      </c>
      <c r="CJ109" s="73">
        <f>IF(B109="","",IF(J109=0,0,CD109/J109))</f>
      </c>
      <c r="CK109" s="37">
        <f>IF(B109="","",Y109+AE109+BK109+BT109)</f>
      </c>
      <c r="CL109" s="37">
        <f>IF(B109="","",IF(J109=0,0,(M109+P109*G109/J109)*(1-Pct_Reclamaciones-Pct_Banco-Imp_Ventas_Serv-Contrib_Territorial)-AI109-BE109-BV109-CK109*G109/J109))</f>
      </c>
      <c r="CM109" s="37">
        <f>IF(B109="","",IF(J109=0,0,(N109+P109*H109/J109)*(1-Pct_Reclamaciones-Pct_Banco-Imp_Ventas_Serv-Contrib_Territorial)-AS109-BF109-BX109-CK109*H109/J109))</f>
      </c>
      <c r="CN109" s="37">
        <f>IF(B109="","",IF(J109=0,0,(O109+P109*I109/J109)*(1-Pct_Reclamaciones-Pct_Banco-Imp_Ventas_Serv-Contrib_Territorial)-BC109-BG109-BZ109-CK109*I109/J109))</f>
      </c>
      <c r="CO109" s="37">
        <f>IF(B109="","",IF(J109=0,0,ROUND(CD109-CL109-CM109-CN109,4)))</f>
      </c>
      <c r="CP109" s="71">
        <f>IF(B109="","",T109+AG109+AK109+AM109+AU109+AW109)</f>
      </c>
      <c r="CQ109" s="71">
        <f>IF(B109="","",U109+AH109+AL109+AN109+AV109+AX109)</f>
      </c>
      <c r="CR109" s="72">
        <f>IF(B109="","",IF(CP109=0,0,CQ109/CP109-1))</f>
      </c>
      <c r="CS109" s="60">
        <f>IF(B109="","",IF(ENTRADA!$Y109="","",ENTRADA!$Y109-C109))</f>
      </c>
      <c r="CT109" s="66">
        <f>IF(B109="","",IF(ENTRADA!$C109="","Falta fecha. ","")&amp;IF(BP109=0,"Mes fuera del rango de COSTOS_FIJOS. ","")&amp;IF(J109=0,"Sin kg. ","")&amp;IF(E109="","Falta transitaria. ","")&amp;IF(AND(T109&gt;0,U109/T109-1&gt;Tolerancia_Comb),"Combustible al puerto "&amp;TEXT(U109/T109-1,"+0%")&amp;" sobre norma. ","")&amp;IF(AND(AG109&gt;0,AH109/AG109-1&gt;Tolerancia_Comb),"Combustible distribución Occidente "&amp;TEXT(AH109/AG109-1,"+0%")&amp;" sobre norma. ","")&amp;IF(AND(AK109&gt;0,AL109/AK109-1&gt;Tolerancia_Comb),"Combustible traslado Centro "&amp;TEXT(AL109/AK109-1,"+0%")&amp;" sobre norma. ","")&amp;IF(AND(AM109&gt;0,AN109/AM109-1&gt;Tolerancia_Comb),"Combustible distribución Centro "&amp;TEXT(AN109/AM109-1,"+0%")&amp;" sobre norma. ","")&amp;IF(AND(AU109&gt;0,AV109/AU109-1&gt;Tolerancia_Comb),"Combustible traslado Oriente "&amp;TEXT(AV109/AU109-1,"+0%")&amp;" sobre norma. ","")&amp;IF(AND(AW109&gt;0,AX109/AW109-1&gt;Tolerancia_Comb),"Combustible distribución Oriente "&amp;TEXT(AX109/AW109-1,"+0%")&amp;" sobre norma. ","")&amp;IF(AND(ENTRADA!$C109&lt;&gt;"",C109&lt;PRECIOS!$A$6),"Fecha anterior a la 1ª vigencia de precios. ","")&amp;IF(CD109&lt;0,"Contenedor con pérdida. ",""))</f>
      </c>
    </row>
    <row r="110">
      <c r="A110" s="60">
        <f>IF(B110="","",ROW()-5)</f>
      </c>
      <c r="B110" s="63">
        <f>IF(ENTRADA!$B110="","",ENTRADA!$B110)</f>
      </c>
      <c r="C110" s="64">
        <f>IF(B110="","",ENTRADA!$C110)</f>
      </c>
      <c r="D110" s="65">
        <f>IF(B110="","",DATE(YEAR(C110),MONTH(C110),1))</f>
      </c>
      <c r="E110" s="66">
        <f>IF(B110="","",ENTRADA!$D110&amp;"")</f>
      </c>
      <c r="F110" s="66">
        <f>IF(B110="","",ENTRADA!$Z110&amp;"")</f>
      </c>
      <c r="G110" s="67">
        <f>IF(B110="","",N(ENTRADA!$G110))</f>
      </c>
      <c r="H110" s="67">
        <f>IF(B110="","",N(ENTRADA!$H110))</f>
      </c>
      <c r="I110" s="67">
        <f>IF(B110="","",N(ENTRADA!$I110))</f>
      </c>
      <c r="J110" s="68">
        <f>IF(B110="","",G110+H110+I110)</f>
      </c>
      <c r="K110" s="60">
        <f>IF(B110="","",IFERROR(MATCH(SUMPRODUCT(MAX((PRECIOS!$A$6:$A$55&lt;=C110)*PRECIOS!$A$6:$A$55)),PRECIOS!$A$6:$A$55,0),1))</f>
      </c>
      <c r="L110" s="69">
        <f>IF(B110="","",INDEX(PRECIOS!$A$6:$A$55,K110))</f>
      </c>
      <c r="M110" s="37">
        <f>IF(B110="","",G110*INDEX(PRECIOS!$B$6:$B$55,K110))</f>
      </c>
      <c r="N110" s="37">
        <f>IF(B110="","",H110*INDEX(PRECIOS!$C$6:$C$55,K110))</f>
      </c>
      <c r="O110" s="37">
        <f>IF(B110="","",I110*INDEX(PRECIOS!$D$6:$D$55,K110))</f>
      </c>
      <c r="P110" s="37">
        <f>IF(B110="","",N(ENTRADA!$X110))</f>
      </c>
      <c r="Q110" s="70">
        <f>IF(B110="","",M110+N110+O110+P110)</f>
      </c>
      <c r="R110" s="71">
        <f>IF(B110="","",IF(ENTRADA!$J110="",Std_Viajes_Puerto,ENTRADA!$J110))</f>
      </c>
      <c r="S110" s="37">
        <f>IF(B110="","",R110*INDEX(PRECIOS!$F$6:$F$55,K110))</f>
      </c>
      <c r="T110" s="71">
        <f>IF(B110="","",R110*Litros_Puerto_Viaje)</f>
      </c>
      <c r="U110" s="71">
        <f>IF(B110="","",IF(ENTRADA!$K110="",T110,ENTRADA!$K110))</f>
      </c>
      <c r="V110" s="37">
        <f>IF(B110="","",U110*INDEX(PRECIOS!$E$6:$E$55,K110))</f>
      </c>
      <c r="W110" s="37">
        <f>IF(B110="","",IF(ENTRADA!$L110="",R110*INDEX(PRECIOS!$G$6:$G$55,K110),ENTRADA!$L110))</f>
      </c>
      <c r="X110" s="37">
        <f>IF(B110="","",R110*Km_Puerto_Viaje*INDEX(PRECIOS!$N$6:$N$55,K110))</f>
      </c>
      <c r="Y110" s="70">
        <f>IF(B110="","",S110+V110+W110+X110)</f>
      </c>
      <c r="Z110" s="71">
        <f>IF(B110="","",IF(J110=0,0,ROUNDUP(J110/Rend_Desagrupe,0)))</f>
      </c>
      <c r="AA110" s="71">
        <f>IF(B110="","",IF(ENTRADA!$M110="",Z110,ENTRADA!$M110))</f>
      </c>
      <c r="AB110" s="37">
        <f>IF(B110="","",AA110*INDEX(PRECIOS!$H$6:$H$55,K110))</f>
      </c>
      <c r="AC110" s="37">
        <f>IF(B110="","",IF(E110="ENCI",INDEX(PRECIOS!$J$6:$J$55,K110),IF(E110="A.V",INDEX(PRECIOS!$K$6:$K$55,K110),0)))</f>
      </c>
      <c r="AD110" s="37">
        <f>IF(B110="","",N(ENTRADA!$N110))</f>
      </c>
      <c r="AE110" s="70">
        <f>IF(B110="","",AB110+AC110+AD110)</f>
      </c>
      <c r="AF110" s="71">
        <f>IF(B110="","",IF(G110=0,0,ROUNDUP(G110/Cap_Camion_OCC,0)))</f>
      </c>
      <c r="AG110" s="71">
        <f>IF(B110="","",AF110*L_Dist_OCC)</f>
      </c>
      <c r="AH110" s="71">
        <f>IF(B110="","",IF(ENTRADA!$O110="",AG110,ENTRADA!$O110))</f>
      </c>
      <c r="AI110" s="37">
        <f>IF(B110="","",AH110*INDEX(PRECIOS!$E$6:$E$55,K110))</f>
      </c>
      <c r="AJ110" s="71">
        <f>IF(B110="","",IF(H110=0,0,ROUNDUP(H110/Cap_Camion_CEN,0)))</f>
      </c>
      <c r="AK110" s="71">
        <f>IF(B110="","",AJ110*L_Tras_CEN)</f>
      </c>
      <c r="AL110" s="71">
        <f>IF(B110="","",IF(ENTRADA!$P110="",AK110,ENTRADA!$P110))</f>
      </c>
      <c r="AM110" s="71">
        <f>IF(B110="","",AJ110*L_Dist_CEN)</f>
      </c>
      <c r="AN110" s="71">
        <f>IF(B110="","",IF(ENTRADA!$Q110="",AM110,ENTRADA!$Q110))</f>
      </c>
      <c r="AO110" s="37">
        <f>IF(B110="","",(AL110+AN110)*INDEX(PRECIOS!$E$6:$E$55,K110))</f>
      </c>
      <c r="AP110" s="71">
        <f>IF(B110="","",IF(H110=0,0,ROUNDUP(H110/Rend_Desagrupe_CT,0)))</f>
      </c>
      <c r="AQ110" s="71">
        <f>IF(B110="","",IF(ENTRADA!$R110="",AP110,ENTRADA!$R110))</f>
      </c>
      <c r="AR110" s="37">
        <f>IF(B110="","",AQ110*INDEX(PRECIOS!$I$6:$I$55,K110))</f>
      </c>
      <c r="AS110" s="37">
        <f>IF(B110="","",AO110+AR110)</f>
      </c>
      <c r="AT110" s="71">
        <f>IF(B110="","",IF(I110=0,0,ROUNDUP(I110/Cap_Camion_ORI,0)))</f>
      </c>
      <c r="AU110" s="71">
        <f>IF(B110="","",AT110*L_Tras_ORI)</f>
      </c>
      <c r="AV110" s="71">
        <f>IF(B110="","",IF(ENTRADA!$S110="",AU110,ENTRADA!$S110))</f>
      </c>
      <c r="AW110" s="71">
        <f>IF(B110="","",AT110*L_Dist_ORI)</f>
      </c>
      <c r="AX110" s="71">
        <f>IF(B110="","",IF(ENTRADA!$T110="",AW110,ENTRADA!$T110))</f>
      </c>
      <c r="AY110" s="37">
        <f>IF(B110="","",(AV110+AX110)*INDEX(PRECIOS!$E$6:$E$55,K110))</f>
      </c>
      <c r="AZ110" s="71">
        <f>IF(B110="","",IF(I110=0,0,ROUNDUP(I110/Rend_Desagrupe_CT,0)))</f>
      </c>
      <c r="BA110" s="71">
        <f>IF(B110="","",IF(ENTRADA!$U110="",AZ110,ENTRADA!$U110))</f>
      </c>
      <c r="BB110" s="37">
        <f>IF(B110="","",BA110*INDEX(PRECIOS!$I$6:$I$55,K110))</f>
      </c>
      <c r="BC110" s="37">
        <f>IF(B110="","",AY110+BB110)</f>
      </c>
      <c r="BD110" s="70">
        <f>IF(B110="","",AI110+AS110+BC110)</f>
      </c>
      <c r="BE110" s="37">
        <f>IF(B110="","",IF(Base_Comision="% DEL INGRESO",M110*INDEX(PRECIOS!$L$6:$L$55,K110),G110*INDEX(PRECIOS!$M$6:$M$55,K110)))</f>
      </c>
      <c r="BF110" s="37">
        <f>IF(B110="","",IF(Base_Comision="% DEL INGRESO",N110*INDEX(PRECIOS!$L$6:$L$55,K110),H110*INDEX(PRECIOS!$M$6:$M$55,K110)))</f>
      </c>
      <c r="BG110" s="37">
        <f>IF(B110="","",IF(Base_Comision="% DEL INGRESO",O110*INDEX(PRECIOS!$L$6:$L$55,K110),I110*INDEX(PRECIOS!$M$6:$M$55,K110)))</f>
      </c>
      <c r="BH110" s="70">
        <f>IF(B110="","",BE110+BF110+BG110)</f>
      </c>
      <c r="BI110" s="37">
        <f>IF(B110="","",Q110*Pct_Reclamaciones)</f>
      </c>
      <c r="BJ110" s="37">
        <f>IF(B110="","",Q110*Pct_Banco)</f>
      </c>
      <c r="BK110" s="37">
        <f>IF(B110="","",N(ENTRADA!$V110))</f>
      </c>
      <c r="BL110" s="70">
        <f>IF(B110="","",Y110+AE110+BD110+BH110+BI110+BJ110+BK110)</f>
      </c>
      <c r="BM110" s="70">
        <f>IF(B110="","",Q110-BL110)</f>
      </c>
      <c r="BN110" s="72">
        <f>IF(B110="","",IF(Q110=0,0,BM110/Q110))</f>
      </c>
      <c r="BO110" s="73">
        <f>IF(B110="","",IF(J110=0,0,BM110/J110))</f>
      </c>
      <c r="BP110" s="60">
        <f>IF(B110="","",IFERROR(MATCH(D110,COSTOS_FIJOS!$G$5:$AD$5,0),0))</f>
      </c>
      <c r="BQ110" s="60">
        <f>IF(B110="","",COUNTIFS($D$6:$D$305,D110))</f>
      </c>
      <c r="BR110" s="67">
        <f>IF(B110="","",SUMIFS($J$6:$J$305,$D$6:$D$305,D110))</f>
      </c>
      <c r="BS110" s="72">
        <f>IF(B110="","",IF(Metodo_Prorrateo="KG",IF(BR110=0,0,J110/BR110),1/BQ110))</f>
      </c>
      <c r="BT110" s="37">
        <f>IF(B110="","",IF(BP110=0,0,INDEX(COSTOS_FIJOS!$G$38:$AD$38,BP110))*BS110)</f>
      </c>
      <c r="BU110" s="72">
        <f>IF(B110="","",IF(Metodo_Prorrateo="KG",IF(SUMIFS($G$6:$G$305,$D$6:$D$305,D110)=0,0,G110/SUMIFS($G$6:$G$305,$D$6:$D$305,D110)),IF(G110&gt;0,1/COUNTIFS($D$6:$D$305,D110,$G$6:$G$305,"&gt;0"),0)))</f>
      </c>
      <c r="BV110" s="37">
        <f>IF(B110="","",IF(BP110=0,0,INDEX(COSTOS_FIJOS!$G$39:$AD$39,BP110))*BU110)</f>
      </c>
      <c r="BW110" s="72">
        <f>IF(B110="","",IF(Metodo_Prorrateo="KG",IF(SUMIFS($H$6:$H$305,$D$6:$D$305,D110)=0,0,H110/SUMIFS($H$6:$H$305,$D$6:$D$305,D110)),IF(H110&gt;0,1/COUNTIFS($D$6:$D$305,D110,$H$6:$H$305,"&gt;0"),0)))</f>
      </c>
      <c r="BX110" s="37">
        <f>IF(B110="","",IF(BP110=0,0,INDEX(COSTOS_FIJOS!$G$40:$AD$40,BP110))*BW110)</f>
      </c>
      <c r="BY110" s="72">
        <f>IF(B110="","",IF(Metodo_Prorrateo="KG",IF(SUMIFS($I$6:$I$305,$D$6:$D$305,D110)=0,0,I110/SUMIFS($I$6:$I$305,$D$6:$D$305,D110)),IF(I110&gt;0,1/COUNTIFS($D$6:$D$305,D110,$I$6:$I$305,"&gt;0"),0)))</f>
      </c>
      <c r="BZ110" s="37">
        <f>IF(B110="","",IF(BP110=0,0,INDEX(COSTOS_FIJOS!$G$41:$AD$41,BP110))*BY110)</f>
      </c>
      <c r="CA110" s="70">
        <f>IF(B110="","",BT110+BV110+BX110+BZ110)</f>
      </c>
      <c r="CB110" s="37">
        <f>IF(B110="","",Q110*Imp_Ventas_Serv)</f>
      </c>
      <c r="CC110" s="37">
        <f>IF(B110="","",Q110*Contrib_Territorial)</f>
      </c>
      <c r="CD110" s="70">
        <f>IF(B110="","",BM110-CA110-CB110-CC110)</f>
      </c>
      <c r="CE110" s="37">
        <f>IF(B110="","",MAX(0,CD110)*Imp_Utilidades)</f>
      </c>
      <c r="CF110" s="70">
        <f>IF(B110="","",CD110-CE110)</f>
      </c>
      <c r="CG110" s="72">
        <f>IF(B110="","",IF(Q110=0,0,CF110/Q110))</f>
      </c>
      <c r="CH110" s="73">
        <f>IF(B110="","",IF(J110=0,0,(BL110+CA110+CB110+CC110)/J110))</f>
      </c>
      <c r="CI110" s="73">
        <f>IF(B110="","",IF(J110=0,0,Q110/J110))</f>
      </c>
      <c r="CJ110" s="73">
        <f>IF(B110="","",IF(J110=0,0,CD110/J110))</f>
      </c>
      <c r="CK110" s="37">
        <f>IF(B110="","",Y110+AE110+BK110+BT110)</f>
      </c>
      <c r="CL110" s="37">
        <f>IF(B110="","",IF(J110=0,0,(M110+P110*G110/J110)*(1-Pct_Reclamaciones-Pct_Banco-Imp_Ventas_Serv-Contrib_Territorial)-AI110-BE110-BV110-CK110*G110/J110))</f>
      </c>
      <c r="CM110" s="37">
        <f>IF(B110="","",IF(J110=0,0,(N110+P110*H110/J110)*(1-Pct_Reclamaciones-Pct_Banco-Imp_Ventas_Serv-Contrib_Territorial)-AS110-BF110-BX110-CK110*H110/J110))</f>
      </c>
      <c r="CN110" s="37">
        <f>IF(B110="","",IF(J110=0,0,(O110+P110*I110/J110)*(1-Pct_Reclamaciones-Pct_Banco-Imp_Ventas_Serv-Contrib_Territorial)-BC110-BG110-BZ110-CK110*I110/J110))</f>
      </c>
      <c r="CO110" s="37">
        <f>IF(B110="","",IF(J110=0,0,ROUND(CD110-CL110-CM110-CN110,4)))</f>
      </c>
      <c r="CP110" s="71">
        <f>IF(B110="","",T110+AG110+AK110+AM110+AU110+AW110)</f>
      </c>
      <c r="CQ110" s="71">
        <f>IF(B110="","",U110+AH110+AL110+AN110+AV110+AX110)</f>
      </c>
      <c r="CR110" s="72">
        <f>IF(B110="","",IF(CP110=0,0,CQ110/CP110-1))</f>
      </c>
      <c r="CS110" s="60">
        <f>IF(B110="","",IF(ENTRADA!$Y110="","",ENTRADA!$Y110-C110))</f>
      </c>
      <c r="CT110" s="66">
        <f>IF(B110="","",IF(ENTRADA!$C110="","Falta fecha. ","")&amp;IF(BP110=0,"Mes fuera del rango de COSTOS_FIJOS. ","")&amp;IF(J110=0,"Sin kg. ","")&amp;IF(E110="","Falta transitaria. ","")&amp;IF(AND(T110&gt;0,U110/T110-1&gt;Tolerancia_Comb),"Combustible al puerto "&amp;TEXT(U110/T110-1,"+0%")&amp;" sobre norma. ","")&amp;IF(AND(AG110&gt;0,AH110/AG110-1&gt;Tolerancia_Comb),"Combustible distribución Occidente "&amp;TEXT(AH110/AG110-1,"+0%")&amp;" sobre norma. ","")&amp;IF(AND(AK110&gt;0,AL110/AK110-1&gt;Tolerancia_Comb),"Combustible traslado Centro "&amp;TEXT(AL110/AK110-1,"+0%")&amp;" sobre norma. ","")&amp;IF(AND(AM110&gt;0,AN110/AM110-1&gt;Tolerancia_Comb),"Combustible distribución Centro "&amp;TEXT(AN110/AM110-1,"+0%")&amp;" sobre norma. ","")&amp;IF(AND(AU110&gt;0,AV110/AU110-1&gt;Tolerancia_Comb),"Combustible traslado Oriente "&amp;TEXT(AV110/AU110-1,"+0%")&amp;" sobre norma. ","")&amp;IF(AND(AW110&gt;0,AX110/AW110-1&gt;Tolerancia_Comb),"Combustible distribución Oriente "&amp;TEXT(AX110/AW110-1,"+0%")&amp;" sobre norma. ","")&amp;IF(AND(ENTRADA!$C110&lt;&gt;"",C110&lt;PRECIOS!$A$6),"Fecha anterior a la 1ª vigencia de precios. ","")&amp;IF(CD110&lt;0,"Contenedor con pérdida. ",""))</f>
      </c>
    </row>
    <row r="111">
      <c r="A111" s="60">
        <f>IF(B111="","",ROW()-5)</f>
      </c>
      <c r="B111" s="63">
        <f>IF(ENTRADA!$B111="","",ENTRADA!$B111)</f>
      </c>
      <c r="C111" s="64">
        <f>IF(B111="","",ENTRADA!$C111)</f>
      </c>
      <c r="D111" s="65">
        <f>IF(B111="","",DATE(YEAR(C111),MONTH(C111),1))</f>
      </c>
      <c r="E111" s="66">
        <f>IF(B111="","",ENTRADA!$D111&amp;"")</f>
      </c>
      <c r="F111" s="66">
        <f>IF(B111="","",ENTRADA!$Z111&amp;"")</f>
      </c>
      <c r="G111" s="67">
        <f>IF(B111="","",N(ENTRADA!$G111))</f>
      </c>
      <c r="H111" s="67">
        <f>IF(B111="","",N(ENTRADA!$H111))</f>
      </c>
      <c r="I111" s="67">
        <f>IF(B111="","",N(ENTRADA!$I111))</f>
      </c>
      <c r="J111" s="68">
        <f>IF(B111="","",G111+H111+I111)</f>
      </c>
      <c r="K111" s="60">
        <f>IF(B111="","",IFERROR(MATCH(SUMPRODUCT(MAX((PRECIOS!$A$6:$A$55&lt;=C111)*PRECIOS!$A$6:$A$55)),PRECIOS!$A$6:$A$55,0),1))</f>
      </c>
      <c r="L111" s="69">
        <f>IF(B111="","",INDEX(PRECIOS!$A$6:$A$55,K111))</f>
      </c>
      <c r="M111" s="37">
        <f>IF(B111="","",G111*INDEX(PRECIOS!$B$6:$B$55,K111))</f>
      </c>
      <c r="N111" s="37">
        <f>IF(B111="","",H111*INDEX(PRECIOS!$C$6:$C$55,K111))</f>
      </c>
      <c r="O111" s="37">
        <f>IF(B111="","",I111*INDEX(PRECIOS!$D$6:$D$55,K111))</f>
      </c>
      <c r="P111" s="37">
        <f>IF(B111="","",N(ENTRADA!$X111))</f>
      </c>
      <c r="Q111" s="70">
        <f>IF(B111="","",M111+N111+O111+P111)</f>
      </c>
      <c r="R111" s="71">
        <f>IF(B111="","",IF(ENTRADA!$J111="",Std_Viajes_Puerto,ENTRADA!$J111))</f>
      </c>
      <c r="S111" s="37">
        <f>IF(B111="","",R111*INDEX(PRECIOS!$F$6:$F$55,K111))</f>
      </c>
      <c r="T111" s="71">
        <f>IF(B111="","",R111*Litros_Puerto_Viaje)</f>
      </c>
      <c r="U111" s="71">
        <f>IF(B111="","",IF(ENTRADA!$K111="",T111,ENTRADA!$K111))</f>
      </c>
      <c r="V111" s="37">
        <f>IF(B111="","",U111*INDEX(PRECIOS!$E$6:$E$55,K111))</f>
      </c>
      <c r="W111" s="37">
        <f>IF(B111="","",IF(ENTRADA!$L111="",R111*INDEX(PRECIOS!$G$6:$G$55,K111),ENTRADA!$L111))</f>
      </c>
      <c r="X111" s="37">
        <f>IF(B111="","",R111*Km_Puerto_Viaje*INDEX(PRECIOS!$N$6:$N$55,K111))</f>
      </c>
      <c r="Y111" s="70">
        <f>IF(B111="","",S111+V111+W111+X111)</f>
      </c>
      <c r="Z111" s="71">
        <f>IF(B111="","",IF(J111=0,0,ROUNDUP(J111/Rend_Desagrupe,0)))</f>
      </c>
      <c r="AA111" s="71">
        <f>IF(B111="","",IF(ENTRADA!$M111="",Z111,ENTRADA!$M111))</f>
      </c>
      <c r="AB111" s="37">
        <f>IF(B111="","",AA111*INDEX(PRECIOS!$H$6:$H$55,K111))</f>
      </c>
      <c r="AC111" s="37">
        <f>IF(B111="","",IF(E111="ENCI",INDEX(PRECIOS!$J$6:$J$55,K111),IF(E111="A.V",INDEX(PRECIOS!$K$6:$K$55,K111),0)))</f>
      </c>
      <c r="AD111" s="37">
        <f>IF(B111="","",N(ENTRADA!$N111))</f>
      </c>
      <c r="AE111" s="70">
        <f>IF(B111="","",AB111+AC111+AD111)</f>
      </c>
      <c r="AF111" s="71">
        <f>IF(B111="","",IF(G111=0,0,ROUNDUP(G111/Cap_Camion_OCC,0)))</f>
      </c>
      <c r="AG111" s="71">
        <f>IF(B111="","",AF111*L_Dist_OCC)</f>
      </c>
      <c r="AH111" s="71">
        <f>IF(B111="","",IF(ENTRADA!$O111="",AG111,ENTRADA!$O111))</f>
      </c>
      <c r="AI111" s="37">
        <f>IF(B111="","",AH111*INDEX(PRECIOS!$E$6:$E$55,K111))</f>
      </c>
      <c r="AJ111" s="71">
        <f>IF(B111="","",IF(H111=0,0,ROUNDUP(H111/Cap_Camion_CEN,0)))</f>
      </c>
      <c r="AK111" s="71">
        <f>IF(B111="","",AJ111*L_Tras_CEN)</f>
      </c>
      <c r="AL111" s="71">
        <f>IF(B111="","",IF(ENTRADA!$P111="",AK111,ENTRADA!$P111))</f>
      </c>
      <c r="AM111" s="71">
        <f>IF(B111="","",AJ111*L_Dist_CEN)</f>
      </c>
      <c r="AN111" s="71">
        <f>IF(B111="","",IF(ENTRADA!$Q111="",AM111,ENTRADA!$Q111))</f>
      </c>
      <c r="AO111" s="37">
        <f>IF(B111="","",(AL111+AN111)*INDEX(PRECIOS!$E$6:$E$55,K111))</f>
      </c>
      <c r="AP111" s="71">
        <f>IF(B111="","",IF(H111=0,0,ROUNDUP(H111/Rend_Desagrupe_CT,0)))</f>
      </c>
      <c r="AQ111" s="71">
        <f>IF(B111="","",IF(ENTRADA!$R111="",AP111,ENTRADA!$R111))</f>
      </c>
      <c r="AR111" s="37">
        <f>IF(B111="","",AQ111*INDEX(PRECIOS!$I$6:$I$55,K111))</f>
      </c>
      <c r="AS111" s="37">
        <f>IF(B111="","",AO111+AR111)</f>
      </c>
      <c r="AT111" s="71">
        <f>IF(B111="","",IF(I111=0,0,ROUNDUP(I111/Cap_Camion_ORI,0)))</f>
      </c>
      <c r="AU111" s="71">
        <f>IF(B111="","",AT111*L_Tras_ORI)</f>
      </c>
      <c r="AV111" s="71">
        <f>IF(B111="","",IF(ENTRADA!$S111="",AU111,ENTRADA!$S111))</f>
      </c>
      <c r="AW111" s="71">
        <f>IF(B111="","",AT111*L_Dist_ORI)</f>
      </c>
      <c r="AX111" s="71">
        <f>IF(B111="","",IF(ENTRADA!$T111="",AW111,ENTRADA!$T111))</f>
      </c>
      <c r="AY111" s="37">
        <f>IF(B111="","",(AV111+AX111)*INDEX(PRECIOS!$E$6:$E$55,K111))</f>
      </c>
      <c r="AZ111" s="71">
        <f>IF(B111="","",IF(I111=0,0,ROUNDUP(I111/Rend_Desagrupe_CT,0)))</f>
      </c>
      <c r="BA111" s="71">
        <f>IF(B111="","",IF(ENTRADA!$U111="",AZ111,ENTRADA!$U111))</f>
      </c>
      <c r="BB111" s="37">
        <f>IF(B111="","",BA111*INDEX(PRECIOS!$I$6:$I$55,K111))</f>
      </c>
      <c r="BC111" s="37">
        <f>IF(B111="","",AY111+BB111)</f>
      </c>
      <c r="BD111" s="70">
        <f>IF(B111="","",AI111+AS111+BC111)</f>
      </c>
      <c r="BE111" s="37">
        <f>IF(B111="","",IF(Base_Comision="% DEL INGRESO",M111*INDEX(PRECIOS!$L$6:$L$55,K111),G111*INDEX(PRECIOS!$M$6:$M$55,K111)))</f>
      </c>
      <c r="BF111" s="37">
        <f>IF(B111="","",IF(Base_Comision="% DEL INGRESO",N111*INDEX(PRECIOS!$L$6:$L$55,K111),H111*INDEX(PRECIOS!$M$6:$M$55,K111)))</f>
      </c>
      <c r="BG111" s="37">
        <f>IF(B111="","",IF(Base_Comision="% DEL INGRESO",O111*INDEX(PRECIOS!$L$6:$L$55,K111),I111*INDEX(PRECIOS!$M$6:$M$55,K111)))</f>
      </c>
      <c r="BH111" s="70">
        <f>IF(B111="","",BE111+BF111+BG111)</f>
      </c>
      <c r="BI111" s="37">
        <f>IF(B111="","",Q111*Pct_Reclamaciones)</f>
      </c>
      <c r="BJ111" s="37">
        <f>IF(B111="","",Q111*Pct_Banco)</f>
      </c>
      <c r="BK111" s="37">
        <f>IF(B111="","",N(ENTRADA!$V111))</f>
      </c>
      <c r="BL111" s="70">
        <f>IF(B111="","",Y111+AE111+BD111+BH111+BI111+BJ111+BK111)</f>
      </c>
      <c r="BM111" s="70">
        <f>IF(B111="","",Q111-BL111)</f>
      </c>
      <c r="BN111" s="72">
        <f>IF(B111="","",IF(Q111=0,0,BM111/Q111))</f>
      </c>
      <c r="BO111" s="73">
        <f>IF(B111="","",IF(J111=0,0,BM111/J111))</f>
      </c>
      <c r="BP111" s="60">
        <f>IF(B111="","",IFERROR(MATCH(D111,COSTOS_FIJOS!$G$5:$AD$5,0),0))</f>
      </c>
      <c r="BQ111" s="60">
        <f>IF(B111="","",COUNTIFS($D$6:$D$305,D111))</f>
      </c>
      <c r="BR111" s="67">
        <f>IF(B111="","",SUMIFS($J$6:$J$305,$D$6:$D$305,D111))</f>
      </c>
      <c r="BS111" s="72">
        <f>IF(B111="","",IF(Metodo_Prorrateo="KG",IF(BR111=0,0,J111/BR111),1/BQ111))</f>
      </c>
      <c r="BT111" s="37">
        <f>IF(B111="","",IF(BP111=0,0,INDEX(COSTOS_FIJOS!$G$38:$AD$38,BP111))*BS111)</f>
      </c>
      <c r="BU111" s="72">
        <f>IF(B111="","",IF(Metodo_Prorrateo="KG",IF(SUMIFS($G$6:$G$305,$D$6:$D$305,D111)=0,0,G111/SUMIFS($G$6:$G$305,$D$6:$D$305,D111)),IF(G111&gt;0,1/COUNTIFS($D$6:$D$305,D111,$G$6:$G$305,"&gt;0"),0)))</f>
      </c>
      <c r="BV111" s="37">
        <f>IF(B111="","",IF(BP111=0,0,INDEX(COSTOS_FIJOS!$G$39:$AD$39,BP111))*BU111)</f>
      </c>
      <c r="BW111" s="72">
        <f>IF(B111="","",IF(Metodo_Prorrateo="KG",IF(SUMIFS($H$6:$H$305,$D$6:$D$305,D111)=0,0,H111/SUMIFS($H$6:$H$305,$D$6:$D$305,D111)),IF(H111&gt;0,1/COUNTIFS($D$6:$D$305,D111,$H$6:$H$305,"&gt;0"),0)))</f>
      </c>
      <c r="BX111" s="37">
        <f>IF(B111="","",IF(BP111=0,0,INDEX(COSTOS_FIJOS!$G$40:$AD$40,BP111))*BW111)</f>
      </c>
      <c r="BY111" s="72">
        <f>IF(B111="","",IF(Metodo_Prorrateo="KG",IF(SUMIFS($I$6:$I$305,$D$6:$D$305,D111)=0,0,I111/SUMIFS($I$6:$I$305,$D$6:$D$305,D111)),IF(I111&gt;0,1/COUNTIFS($D$6:$D$305,D111,$I$6:$I$305,"&gt;0"),0)))</f>
      </c>
      <c r="BZ111" s="37">
        <f>IF(B111="","",IF(BP111=0,0,INDEX(COSTOS_FIJOS!$G$41:$AD$41,BP111))*BY111)</f>
      </c>
      <c r="CA111" s="70">
        <f>IF(B111="","",BT111+BV111+BX111+BZ111)</f>
      </c>
      <c r="CB111" s="37">
        <f>IF(B111="","",Q111*Imp_Ventas_Serv)</f>
      </c>
      <c r="CC111" s="37">
        <f>IF(B111="","",Q111*Contrib_Territorial)</f>
      </c>
      <c r="CD111" s="70">
        <f>IF(B111="","",BM111-CA111-CB111-CC111)</f>
      </c>
      <c r="CE111" s="37">
        <f>IF(B111="","",MAX(0,CD111)*Imp_Utilidades)</f>
      </c>
      <c r="CF111" s="70">
        <f>IF(B111="","",CD111-CE111)</f>
      </c>
      <c r="CG111" s="72">
        <f>IF(B111="","",IF(Q111=0,0,CF111/Q111))</f>
      </c>
      <c r="CH111" s="73">
        <f>IF(B111="","",IF(J111=0,0,(BL111+CA111+CB111+CC111)/J111))</f>
      </c>
      <c r="CI111" s="73">
        <f>IF(B111="","",IF(J111=0,0,Q111/J111))</f>
      </c>
      <c r="CJ111" s="73">
        <f>IF(B111="","",IF(J111=0,0,CD111/J111))</f>
      </c>
      <c r="CK111" s="37">
        <f>IF(B111="","",Y111+AE111+BK111+BT111)</f>
      </c>
      <c r="CL111" s="37">
        <f>IF(B111="","",IF(J111=0,0,(M111+P111*G111/J111)*(1-Pct_Reclamaciones-Pct_Banco-Imp_Ventas_Serv-Contrib_Territorial)-AI111-BE111-BV111-CK111*G111/J111))</f>
      </c>
      <c r="CM111" s="37">
        <f>IF(B111="","",IF(J111=0,0,(N111+P111*H111/J111)*(1-Pct_Reclamaciones-Pct_Banco-Imp_Ventas_Serv-Contrib_Territorial)-AS111-BF111-BX111-CK111*H111/J111))</f>
      </c>
      <c r="CN111" s="37">
        <f>IF(B111="","",IF(J111=0,0,(O111+P111*I111/J111)*(1-Pct_Reclamaciones-Pct_Banco-Imp_Ventas_Serv-Contrib_Territorial)-BC111-BG111-BZ111-CK111*I111/J111))</f>
      </c>
      <c r="CO111" s="37">
        <f>IF(B111="","",IF(J111=0,0,ROUND(CD111-CL111-CM111-CN111,4)))</f>
      </c>
      <c r="CP111" s="71">
        <f>IF(B111="","",T111+AG111+AK111+AM111+AU111+AW111)</f>
      </c>
      <c r="CQ111" s="71">
        <f>IF(B111="","",U111+AH111+AL111+AN111+AV111+AX111)</f>
      </c>
      <c r="CR111" s="72">
        <f>IF(B111="","",IF(CP111=0,0,CQ111/CP111-1))</f>
      </c>
      <c r="CS111" s="60">
        <f>IF(B111="","",IF(ENTRADA!$Y111="","",ENTRADA!$Y111-C111))</f>
      </c>
      <c r="CT111" s="66">
        <f>IF(B111="","",IF(ENTRADA!$C111="","Falta fecha. ","")&amp;IF(BP111=0,"Mes fuera del rango de COSTOS_FIJOS. ","")&amp;IF(J111=0,"Sin kg. ","")&amp;IF(E111="","Falta transitaria. ","")&amp;IF(AND(T111&gt;0,U111/T111-1&gt;Tolerancia_Comb),"Combustible al puerto "&amp;TEXT(U111/T111-1,"+0%")&amp;" sobre norma. ","")&amp;IF(AND(AG111&gt;0,AH111/AG111-1&gt;Tolerancia_Comb),"Combustible distribución Occidente "&amp;TEXT(AH111/AG111-1,"+0%")&amp;" sobre norma. ","")&amp;IF(AND(AK111&gt;0,AL111/AK111-1&gt;Tolerancia_Comb),"Combustible traslado Centro "&amp;TEXT(AL111/AK111-1,"+0%")&amp;" sobre norma. ","")&amp;IF(AND(AM111&gt;0,AN111/AM111-1&gt;Tolerancia_Comb),"Combustible distribución Centro "&amp;TEXT(AN111/AM111-1,"+0%")&amp;" sobre norma. ","")&amp;IF(AND(AU111&gt;0,AV111/AU111-1&gt;Tolerancia_Comb),"Combustible traslado Oriente "&amp;TEXT(AV111/AU111-1,"+0%")&amp;" sobre norma. ","")&amp;IF(AND(AW111&gt;0,AX111/AW111-1&gt;Tolerancia_Comb),"Combustible distribución Oriente "&amp;TEXT(AX111/AW111-1,"+0%")&amp;" sobre norma. ","")&amp;IF(AND(ENTRADA!$C111&lt;&gt;"",C111&lt;PRECIOS!$A$6),"Fecha anterior a la 1ª vigencia de precios. ","")&amp;IF(CD111&lt;0,"Contenedor con pérdida. ",""))</f>
      </c>
    </row>
    <row r="112">
      <c r="A112" s="60">
        <f>IF(B112="","",ROW()-5)</f>
      </c>
      <c r="B112" s="63">
        <f>IF(ENTRADA!$B112="","",ENTRADA!$B112)</f>
      </c>
      <c r="C112" s="64">
        <f>IF(B112="","",ENTRADA!$C112)</f>
      </c>
      <c r="D112" s="65">
        <f>IF(B112="","",DATE(YEAR(C112),MONTH(C112),1))</f>
      </c>
      <c r="E112" s="66">
        <f>IF(B112="","",ENTRADA!$D112&amp;"")</f>
      </c>
      <c r="F112" s="66">
        <f>IF(B112="","",ENTRADA!$Z112&amp;"")</f>
      </c>
      <c r="G112" s="67">
        <f>IF(B112="","",N(ENTRADA!$G112))</f>
      </c>
      <c r="H112" s="67">
        <f>IF(B112="","",N(ENTRADA!$H112))</f>
      </c>
      <c r="I112" s="67">
        <f>IF(B112="","",N(ENTRADA!$I112))</f>
      </c>
      <c r="J112" s="68">
        <f>IF(B112="","",G112+H112+I112)</f>
      </c>
      <c r="K112" s="60">
        <f>IF(B112="","",IFERROR(MATCH(SUMPRODUCT(MAX((PRECIOS!$A$6:$A$55&lt;=C112)*PRECIOS!$A$6:$A$55)),PRECIOS!$A$6:$A$55,0),1))</f>
      </c>
      <c r="L112" s="69">
        <f>IF(B112="","",INDEX(PRECIOS!$A$6:$A$55,K112))</f>
      </c>
      <c r="M112" s="37">
        <f>IF(B112="","",G112*INDEX(PRECIOS!$B$6:$B$55,K112))</f>
      </c>
      <c r="N112" s="37">
        <f>IF(B112="","",H112*INDEX(PRECIOS!$C$6:$C$55,K112))</f>
      </c>
      <c r="O112" s="37">
        <f>IF(B112="","",I112*INDEX(PRECIOS!$D$6:$D$55,K112))</f>
      </c>
      <c r="P112" s="37">
        <f>IF(B112="","",N(ENTRADA!$X112))</f>
      </c>
      <c r="Q112" s="70">
        <f>IF(B112="","",M112+N112+O112+P112)</f>
      </c>
      <c r="R112" s="71">
        <f>IF(B112="","",IF(ENTRADA!$J112="",Std_Viajes_Puerto,ENTRADA!$J112))</f>
      </c>
      <c r="S112" s="37">
        <f>IF(B112="","",R112*INDEX(PRECIOS!$F$6:$F$55,K112))</f>
      </c>
      <c r="T112" s="71">
        <f>IF(B112="","",R112*Litros_Puerto_Viaje)</f>
      </c>
      <c r="U112" s="71">
        <f>IF(B112="","",IF(ENTRADA!$K112="",T112,ENTRADA!$K112))</f>
      </c>
      <c r="V112" s="37">
        <f>IF(B112="","",U112*INDEX(PRECIOS!$E$6:$E$55,K112))</f>
      </c>
      <c r="W112" s="37">
        <f>IF(B112="","",IF(ENTRADA!$L112="",R112*INDEX(PRECIOS!$G$6:$G$55,K112),ENTRADA!$L112))</f>
      </c>
      <c r="X112" s="37">
        <f>IF(B112="","",R112*Km_Puerto_Viaje*INDEX(PRECIOS!$N$6:$N$55,K112))</f>
      </c>
      <c r="Y112" s="70">
        <f>IF(B112="","",S112+V112+W112+X112)</f>
      </c>
      <c r="Z112" s="71">
        <f>IF(B112="","",IF(J112=0,0,ROUNDUP(J112/Rend_Desagrupe,0)))</f>
      </c>
      <c r="AA112" s="71">
        <f>IF(B112="","",IF(ENTRADA!$M112="",Z112,ENTRADA!$M112))</f>
      </c>
      <c r="AB112" s="37">
        <f>IF(B112="","",AA112*INDEX(PRECIOS!$H$6:$H$55,K112))</f>
      </c>
      <c r="AC112" s="37">
        <f>IF(B112="","",IF(E112="ENCI",INDEX(PRECIOS!$J$6:$J$55,K112),IF(E112="A.V",INDEX(PRECIOS!$K$6:$K$55,K112),0)))</f>
      </c>
      <c r="AD112" s="37">
        <f>IF(B112="","",N(ENTRADA!$N112))</f>
      </c>
      <c r="AE112" s="70">
        <f>IF(B112="","",AB112+AC112+AD112)</f>
      </c>
      <c r="AF112" s="71">
        <f>IF(B112="","",IF(G112=0,0,ROUNDUP(G112/Cap_Camion_OCC,0)))</f>
      </c>
      <c r="AG112" s="71">
        <f>IF(B112="","",AF112*L_Dist_OCC)</f>
      </c>
      <c r="AH112" s="71">
        <f>IF(B112="","",IF(ENTRADA!$O112="",AG112,ENTRADA!$O112))</f>
      </c>
      <c r="AI112" s="37">
        <f>IF(B112="","",AH112*INDEX(PRECIOS!$E$6:$E$55,K112))</f>
      </c>
      <c r="AJ112" s="71">
        <f>IF(B112="","",IF(H112=0,0,ROUNDUP(H112/Cap_Camion_CEN,0)))</f>
      </c>
      <c r="AK112" s="71">
        <f>IF(B112="","",AJ112*L_Tras_CEN)</f>
      </c>
      <c r="AL112" s="71">
        <f>IF(B112="","",IF(ENTRADA!$P112="",AK112,ENTRADA!$P112))</f>
      </c>
      <c r="AM112" s="71">
        <f>IF(B112="","",AJ112*L_Dist_CEN)</f>
      </c>
      <c r="AN112" s="71">
        <f>IF(B112="","",IF(ENTRADA!$Q112="",AM112,ENTRADA!$Q112))</f>
      </c>
      <c r="AO112" s="37">
        <f>IF(B112="","",(AL112+AN112)*INDEX(PRECIOS!$E$6:$E$55,K112))</f>
      </c>
      <c r="AP112" s="71">
        <f>IF(B112="","",IF(H112=0,0,ROUNDUP(H112/Rend_Desagrupe_CT,0)))</f>
      </c>
      <c r="AQ112" s="71">
        <f>IF(B112="","",IF(ENTRADA!$R112="",AP112,ENTRADA!$R112))</f>
      </c>
      <c r="AR112" s="37">
        <f>IF(B112="","",AQ112*INDEX(PRECIOS!$I$6:$I$55,K112))</f>
      </c>
      <c r="AS112" s="37">
        <f>IF(B112="","",AO112+AR112)</f>
      </c>
      <c r="AT112" s="71">
        <f>IF(B112="","",IF(I112=0,0,ROUNDUP(I112/Cap_Camion_ORI,0)))</f>
      </c>
      <c r="AU112" s="71">
        <f>IF(B112="","",AT112*L_Tras_ORI)</f>
      </c>
      <c r="AV112" s="71">
        <f>IF(B112="","",IF(ENTRADA!$S112="",AU112,ENTRADA!$S112))</f>
      </c>
      <c r="AW112" s="71">
        <f>IF(B112="","",AT112*L_Dist_ORI)</f>
      </c>
      <c r="AX112" s="71">
        <f>IF(B112="","",IF(ENTRADA!$T112="",AW112,ENTRADA!$T112))</f>
      </c>
      <c r="AY112" s="37">
        <f>IF(B112="","",(AV112+AX112)*INDEX(PRECIOS!$E$6:$E$55,K112))</f>
      </c>
      <c r="AZ112" s="71">
        <f>IF(B112="","",IF(I112=0,0,ROUNDUP(I112/Rend_Desagrupe_CT,0)))</f>
      </c>
      <c r="BA112" s="71">
        <f>IF(B112="","",IF(ENTRADA!$U112="",AZ112,ENTRADA!$U112))</f>
      </c>
      <c r="BB112" s="37">
        <f>IF(B112="","",BA112*INDEX(PRECIOS!$I$6:$I$55,K112))</f>
      </c>
      <c r="BC112" s="37">
        <f>IF(B112="","",AY112+BB112)</f>
      </c>
      <c r="BD112" s="70">
        <f>IF(B112="","",AI112+AS112+BC112)</f>
      </c>
      <c r="BE112" s="37">
        <f>IF(B112="","",IF(Base_Comision="% DEL INGRESO",M112*INDEX(PRECIOS!$L$6:$L$55,K112),G112*INDEX(PRECIOS!$M$6:$M$55,K112)))</f>
      </c>
      <c r="BF112" s="37">
        <f>IF(B112="","",IF(Base_Comision="% DEL INGRESO",N112*INDEX(PRECIOS!$L$6:$L$55,K112),H112*INDEX(PRECIOS!$M$6:$M$55,K112)))</f>
      </c>
      <c r="BG112" s="37">
        <f>IF(B112="","",IF(Base_Comision="% DEL INGRESO",O112*INDEX(PRECIOS!$L$6:$L$55,K112),I112*INDEX(PRECIOS!$M$6:$M$55,K112)))</f>
      </c>
      <c r="BH112" s="70">
        <f>IF(B112="","",BE112+BF112+BG112)</f>
      </c>
      <c r="BI112" s="37">
        <f>IF(B112="","",Q112*Pct_Reclamaciones)</f>
      </c>
      <c r="BJ112" s="37">
        <f>IF(B112="","",Q112*Pct_Banco)</f>
      </c>
      <c r="BK112" s="37">
        <f>IF(B112="","",N(ENTRADA!$V112))</f>
      </c>
      <c r="BL112" s="70">
        <f>IF(B112="","",Y112+AE112+BD112+BH112+BI112+BJ112+BK112)</f>
      </c>
      <c r="BM112" s="70">
        <f>IF(B112="","",Q112-BL112)</f>
      </c>
      <c r="BN112" s="72">
        <f>IF(B112="","",IF(Q112=0,0,BM112/Q112))</f>
      </c>
      <c r="BO112" s="73">
        <f>IF(B112="","",IF(J112=0,0,BM112/J112))</f>
      </c>
      <c r="BP112" s="60">
        <f>IF(B112="","",IFERROR(MATCH(D112,COSTOS_FIJOS!$G$5:$AD$5,0),0))</f>
      </c>
      <c r="BQ112" s="60">
        <f>IF(B112="","",COUNTIFS($D$6:$D$305,D112))</f>
      </c>
      <c r="BR112" s="67">
        <f>IF(B112="","",SUMIFS($J$6:$J$305,$D$6:$D$305,D112))</f>
      </c>
      <c r="BS112" s="72">
        <f>IF(B112="","",IF(Metodo_Prorrateo="KG",IF(BR112=0,0,J112/BR112),1/BQ112))</f>
      </c>
      <c r="BT112" s="37">
        <f>IF(B112="","",IF(BP112=0,0,INDEX(COSTOS_FIJOS!$G$38:$AD$38,BP112))*BS112)</f>
      </c>
      <c r="BU112" s="72">
        <f>IF(B112="","",IF(Metodo_Prorrateo="KG",IF(SUMIFS($G$6:$G$305,$D$6:$D$305,D112)=0,0,G112/SUMIFS($G$6:$G$305,$D$6:$D$305,D112)),IF(G112&gt;0,1/COUNTIFS($D$6:$D$305,D112,$G$6:$G$305,"&gt;0"),0)))</f>
      </c>
      <c r="BV112" s="37">
        <f>IF(B112="","",IF(BP112=0,0,INDEX(COSTOS_FIJOS!$G$39:$AD$39,BP112))*BU112)</f>
      </c>
      <c r="BW112" s="72">
        <f>IF(B112="","",IF(Metodo_Prorrateo="KG",IF(SUMIFS($H$6:$H$305,$D$6:$D$305,D112)=0,0,H112/SUMIFS($H$6:$H$305,$D$6:$D$305,D112)),IF(H112&gt;0,1/COUNTIFS($D$6:$D$305,D112,$H$6:$H$305,"&gt;0"),0)))</f>
      </c>
      <c r="BX112" s="37">
        <f>IF(B112="","",IF(BP112=0,0,INDEX(COSTOS_FIJOS!$G$40:$AD$40,BP112))*BW112)</f>
      </c>
      <c r="BY112" s="72">
        <f>IF(B112="","",IF(Metodo_Prorrateo="KG",IF(SUMIFS($I$6:$I$305,$D$6:$D$305,D112)=0,0,I112/SUMIFS($I$6:$I$305,$D$6:$D$305,D112)),IF(I112&gt;0,1/COUNTIFS($D$6:$D$305,D112,$I$6:$I$305,"&gt;0"),0)))</f>
      </c>
      <c r="BZ112" s="37">
        <f>IF(B112="","",IF(BP112=0,0,INDEX(COSTOS_FIJOS!$G$41:$AD$41,BP112))*BY112)</f>
      </c>
      <c r="CA112" s="70">
        <f>IF(B112="","",BT112+BV112+BX112+BZ112)</f>
      </c>
      <c r="CB112" s="37">
        <f>IF(B112="","",Q112*Imp_Ventas_Serv)</f>
      </c>
      <c r="CC112" s="37">
        <f>IF(B112="","",Q112*Contrib_Territorial)</f>
      </c>
      <c r="CD112" s="70">
        <f>IF(B112="","",BM112-CA112-CB112-CC112)</f>
      </c>
      <c r="CE112" s="37">
        <f>IF(B112="","",MAX(0,CD112)*Imp_Utilidades)</f>
      </c>
      <c r="CF112" s="70">
        <f>IF(B112="","",CD112-CE112)</f>
      </c>
      <c r="CG112" s="72">
        <f>IF(B112="","",IF(Q112=0,0,CF112/Q112))</f>
      </c>
      <c r="CH112" s="73">
        <f>IF(B112="","",IF(J112=0,0,(BL112+CA112+CB112+CC112)/J112))</f>
      </c>
      <c r="CI112" s="73">
        <f>IF(B112="","",IF(J112=0,0,Q112/J112))</f>
      </c>
      <c r="CJ112" s="73">
        <f>IF(B112="","",IF(J112=0,0,CD112/J112))</f>
      </c>
      <c r="CK112" s="37">
        <f>IF(B112="","",Y112+AE112+BK112+BT112)</f>
      </c>
      <c r="CL112" s="37">
        <f>IF(B112="","",IF(J112=0,0,(M112+P112*G112/J112)*(1-Pct_Reclamaciones-Pct_Banco-Imp_Ventas_Serv-Contrib_Territorial)-AI112-BE112-BV112-CK112*G112/J112))</f>
      </c>
      <c r="CM112" s="37">
        <f>IF(B112="","",IF(J112=0,0,(N112+P112*H112/J112)*(1-Pct_Reclamaciones-Pct_Banco-Imp_Ventas_Serv-Contrib_Territorial)-AS112-BF112-BX112-CK112*H112/J112))</f>
      </c>
      <c r="CN112" s="37">
        <f>IF(B112="","",IF(J112=0,0,(O112+P112*I112/J112)*(1-Pct_Reclamaciones-Pct_Banco-Imp_Ventas_Serv-Contrib_Territorial)-BC112-BG112-BZ112-CK112*I112/J112))</f>
      </c>
      <c r="CO112" s="37">
        <f>IF(B112="","",IF(J112=0,0,ROUND(CD112-CL112-CM112-CN112,4)))</f>
      </c>
      <c r="CP112" s="71">
        <f>IF(B112="","",T112+AG112+AK112+AM112+AU112+AW112)</f>
      </c>
      <c r="CQ112" s="71">
        <f>IF(B112="","",U112+AH112+AL112+AN112+AV112+AX112)</f>
      </c>
      <c r="CR112" s="72">
        <f>IF(B112="","",IF(CP112=0,0,CQ112/CP112-1))</f>
      </c>
      <c r="CS112" s="60">
        <f>IF(B112="","",IF(ENTRADA!$Y112="","",ENTRADA!$Y112-C112))</f>
      </c>
      <c r="CT112" s="66">
        <f>IF(B112="","",IF(ENTRADA!$C112="","Falta fecha. ","")&amp;IF(BP112=0,"Mes fuera del rango de COSTOS_FIJOS. ","")&amp;IF(J112=0,"Sin kg. ","")&amp;IF(E112="","Falta transitaria. ","")&amp;IF(AND(T112&gt;0,U112/T112-1&gt;Tolerancia_Comb),"Combustible al puerto "&amp;TEXT(U112/T112-1,"+0%")&amp;" sobre norma. ","")&amp;IF(AND(AG112&gt;0,AH112/AG112-1&gt;Tolerancia_Comb),"Combustible distribución Occidente "&amp;TEXT(AH112/AG112-1,"+0%")&amp;" sobre norma. ","")&amp;IF(AND(AK112&gt;0,AL112/AK112-1&gt;Tolerancia_Comb),"Combustible traslado Centro "&amp;TEXT(AL112/AK112-1,"+0%")&amp;" sobre norma. ","")&amp;IF(AND(AM112&gt;0,AN112/AM112-1&gt;Tolerancia_Comb),"Combustible distribución Centro "&amp;TEXT(AN112/AM112-1,"+0%")&amp;" sobre norma. ","")&amp;IF(AND(AU112&gt;0,AV112/AU112-1&gt;Tolerancia_Comb),"Combustible traslado Oriente "&amp;TEXT(AV112/AU112-1,"+0%")&amp;" sobre norma. ","")&amp;IF(AND(AW112&gt;0,AX112/AW112-1&gt;Tolerancia_Comb),"Combustible distribución Oriente "&amp;TEXT(AX112/AW112-1,"+0%")&amp;" sobre norma. ","")&amp;IF(AND(ENTRADA!$C112&lt;&gt;"",C112&lt;PRECIOS!$A$6),"Fecha anterior a la 1ª vigencia de precios. ","")&amp;IF(CD112&lt;0,"Contenedor con pérdida. ",""))</f>
      </c>
    </row>
    <row r="113">
      <c r="A113" s="60">
        <f>IF(B113="","",ROW()-5)</f>
      </c>
      <c r="B113" s="63">
        <f>IF(ENTRADA!$B113="","",ENTRADA!$B113)</f>
      </c>
      <c r="C113" s="64">
        <f>IF(B113="","",ENTRADA!$C113)</f>
      </c>
      <c r="D113" s="65">
        <f>IF(B113="","",DATE(YEAR(C113),MONTH(C113),1))</f>
      </c>
      <c r="E113" s="66">
        <f>IF(B113="","",ENTRADA!$D113&amp;"")</f>
      </c>
      <c r="F113" s="66">
        <f>IF(B113="","",ENTRADA!$Z113&amp;"")</f>
      </c>
      <c r="G113" s="67">
        <f>IF(B113="","",N(ENTRADA!$G113))</f>
      </c>
      <c r="H113" s="67">
        <f>IF(B113="","",N(ENTRADA!$H113))</f>
      </c>
      <c r="I113" s="67">
        <f>IF(B113="","",N(ENTRADA!$I113))</f>
      </c>
      <c r="J113" s="68">
        <f>IF(B113="","",G113+H113+I113)</f>
      </c>
      <c r="K113" s="60">
        <f>IF(B113="","",IFERROR(MATCH(SUMPRODUCT(MAX((PRECIOS!$A$6:$A$55&lt;=C113)*PRECIOS!$A$6:$A$55)),PRECIOS!$A$6:$A$55,0),1))</f>
      </c>
      <c r="L113" s="69">
        <f>IF(B113="","",INDEX(PRECIOS!$A$6:$A$55,K113))</f>
      </c>
      <c r="M113" s="37">
        <f>IF(B113="","",G113*INDEX(PRECIOS!$B$6:$B$55,K113))</f>
      </c>
      <c r="N113" s="37">
        <f>IF(B113="","",H113*INDEX(PRECIOS!$C$6:$C$55,K113))</f>
      </c>
      <c r="O113" s="37">
        <f>IF(B113="","",I113*INDEX(PRECIOS!$D$6:$D$55,K113))</f>
      </c>
      <c r="P113" s="37">
        <f>IF(B113="","",N(ENTRADA!$X113))</f>
      </c>
      <c r="Q113" s="70">
        <f>IF(B113="","",M113+N113+O113+P113)</f>
      </c>
      <c r="R113" s="71">
        <f>IF(B113="","",IF(ENTRADA!$J113="",Std_Viajes_Puerto,ENTRADA!$J113))</f>
      </c>
      <c r="S113" s="37">
        <f>IF(B113="","",R113*INDEX(PRECIOS!$F$6:$F$55,K113))</f>
      </c>
      <c r="T113" s="71">
        <f>IF(B113="","",R113*Litros_Puerto_Viaje)</f>
      </c>
      <c r="U113" s="71">
        <f>IF(B113="","",IF(ENTRADA!$K113="",T113,ENTRADA!$K113))</f>
      </c>
      <c r="V113" s="37">
        <f>IF(B113="","",U113*INDEX(PRECIOS!$E$6:$E$55,K113))</f>
      </c>
      <c r="W113" s="37">
        <f>IF(B113="","",IF(ENTRADA!$L113="",R113*INDEX(PRECIOS!$G$6:$G$55,K113),ENTRADA!$L113))</f>
      </c>
      <c r="X113" s="37">
        <f>IF(B113="","",R113*Km_Puerto_Viaje*INDEX(PRECIOS!$N$6:$N$55,K113))</f>
      </c>
      <c r="Y113" s="70">
        <f>IF(B113="","",S113+V113+W113+X113)</f>
      </c>
      <c r="Z113" s="71">
        <f>IF(B113="","",IF(J113=0,0,ROUNDUP(J113/Rend_Desagrupe,0)))</f>
      </c>
      <c r="AA113" s="71">
        <f>IF(B113="","",IF(ENTRADA!$M113="",Z113,ENTRADA!$M113))</f>
      </c>
      <c r="AB113" s="37">
        <f>IF(B113="","",AA113*INDEX(PRECIOS!$H$6:$H$55,K113))</f>
      </c>
      <c r="AC113" s="37">
        <f>IF(B113="","",IF(E113="ENCI",INDEX(PRECIOS!$J$6:$J$55,K113),IF(E113="A.V",INDEX(PRECIOS!$K$6:$K$55,K113),0)))</f>
      </c>
      <c r="AD113" s="37">
        <f>IF(B113="","",N(ENTRADA!$N113))</f>
      </c>
      <c r="AE113" s="70">
        <f>IF(B113="","",AB113+AC113+AD113)</f>
      </c>
      <c r="AF113" s="71">
        <f>IF(B113="","",IF(G113=0,0,ROUNDUP(G113/Cap_Camion_OCC,0)))</f>
      </c>
      <c r="AG113" s="71">
        <f>IF(B113="","",AF113*L_Dist_OCC)</f>
      </c>
      <c r="AH113" s="71">
        <f>IF(B113="","",IF(ENTRADA!$O113="",AG113,ENTRADA!$O113))</f>
      </c>
      <c r="AI113" s="37">
        <f>IF(B113="","",AH113*INDEX(PRECIOS!$E$6:$E$55,K113))</f>
      </c>
      <c r="AJ113" s="71">
        <f>IF(B113="","",IF(H113=0,0,ROUNDUP(H113/Cap_Camion_CEN,0)))</f>
      </c>
      <c r="AK113" s="71">
        <f>IF(B113="","",AJ113*L_Tras_CEN)</f>
      </c>
      <c r="AL113" s="71">
        <f>IF(B113="","",IF(ENTRADA!$P113="",AK113,ENTRADA!$P113))</f>
      </c>
      <c r="AM113" s="71">
        <f>IF(B113="","",AJ113*L_Dist_CEN)</f>
      </c>
      <c r="AN113" s="71">
        <f>IF(B113="","",IF(ENTRADA!$Q113="",AM113,ENTRADA!$Q113))</f>
      </c>
      <c r="AO113" s="37">
        <f>IF(B113="","",(AL113+AN113)*INDEX(PRECIOS!$E$6:$E$55,K113))</f>
      </c>
      <c r="AP113" s="71">
        <f>IF(B113="","",IF(H113=0,0,ROUNDUP(H113/Rend_Desagrupe_CT,0)))</f>
      </c>
      <c r="AQ113" s="71">
        <f>IF(B113="","",IF(ENTRADA!$R113="",AP113,ENTRADA!$R113))</f>
      </c>
      <c r="AR113" s="37">
        <f>IF(B113="","",AQ113*INDEX(PRECIOS!$I$6:$I$55,K113))</f>
      </c>
      <c r="AS113" s="37">
        <f>IF(B113="","",AO113+AR113)</f>
      </c>
      <c r="AT113" s="71">
        <f>IF(B113="","",IF(I113=0,0,ROUNDUP(I113/Cap_Camion_ORI,0)))</f>
      </c>
      <c r="AU113" s="71">
        <f>IF(B113="","",AT113*L_Tras_ORI)</f>
      </c>
      <c r="AV113" s="71">
        <f>IF(B113="","",IF(ENTRADA!$S113="",AU113,ENTRADA!$S113))</f>
      </c>
      <c r="AW113" s="71">
        <f>IF(B113="","",AT113*L_Dist_ORI)</f>
      </c>
      <c r="AX113" s="71">
        <f>IF(B113="","",IF(ENTRADA!$T113="",AW113,ENTRADA!$T113))</f>
      </c>
      <c r="AY113" s="37">
        <f>IF(B113="","",(AV113+AX113)*INDEX(PRECIOS!$E$6:$E$55,K113))</f>
      </c>
      <c r="AZ113" s="71">
        <f>IF(B113="","",IF(I113=0,0,ROUNDUP(I113/Rend_Desagrupe_CT,0)))</f>
      </c>
      <c r="BA113" s="71">
        <f>IF(B113="","",IF(ENTRADA!$U113="",AZ113,ENTRADA!$U113))</f>
      </c>
      <c r="BB113" s="37">
        <f>IF(B113="","",BA113*INDEX(PRECIOS!$I$6:$I$55,K113))</f>
      </c>
      <c r="BC113" s="37">
        <f>IF(B113="","",AY113+BB113)</f>
      </c>
      <c r="BD113" s="70">
        <f>IF(B113="","",AI113+AS113+BC113)</f>
      </c>
      <c r="BE113" s="37">
        <f>IF(B113="","",IF(Base_Comision="% DEL INGRESO",M113*INDEX(PRECIOS!$L$6:$L$55,K113),G113*INDEX(PRECIOS!$M$6:$M$55,K113)))</f>
      </c>
      <c r="BF113" s="37">
        <f>IF(B113="","",IF(Base_Comision="% DEL INGRESO",N113*INDEX(PRECIOS!$L$6:$L$55,K113),H113*INDEX(PRECIOS!$M$6:$M$55,K113)))</f>
      </c>
      <c r="BG113" s="37">
        <f>IF(B113="","",IF(Base_Comision="% DEL INGRESO",O113*INDEX(PRECIOS!$L$6:$L$55,K113),I113*INDEX(PRECIOS!$M$6:$M$55,K113)))</f>
      </c>
      <c r="BH113" s="70">
        <f>IF(B113="","",BE113+BF113+BG113)</f>
      </c>
      <c r="BI113" s="37">
        <f>IF(B113="","",Q113*Pct_Reclamaciones)</f>
      </c>
      <c r="BJ113" s="37">
        <f>IF(B113="","",Q113*Pct_Banco)</f>
      </c>
      <c r="BK113" s="37">
        <f>IF(B113="","",N(ENTRADA!$V113))</f>
      </c>
      <c r="BL113" s="70">
        <f>IF(B113="","",Y113+AE113+BD113+BH113+BI113+BJ113+BK113)</f>
      </c>
      <c r="BM113" s="70">
        <f>IF(B113="","",Q113-BL113)</f>
      </c>
      <c r="BN113" s="72">
        <f>IF(B113="","",IF(Q113=0,0,BM113/Q113))</f>
      </c>
      <c r="BO113" s="73">
        <f>IF(B113="","",IF(J113=0,0,BM113/J113))</f>
      </c>
      <c r="BP113" s="60">
        <f>IF(B113="","",IFERROR(MATCH(D113,COSTOS_FIJOS!$G$5:$AD$5,0),0))</f>
      </c>
      <c r="BQ113" s="60">
        <f>IF(B113="","",COUNTIFS($D$6:$D$305,D113))</f>
      </c>
      <c r="BR113" s="67">
        <f>IF(B113="","",SUMIFS($J$6:$J$305,$D$6:$D$305,D113))</f>
      </c>
      <c r="BS113" s="72">
        <f>IF(B113="","",IF(Metodo_Prorrateo="KG",IF(BR113=0,0,J113/BR113),1/BQ113))</f>
      </c>
      <c r="BT113" s="37">
        <f>IF(B113="","",IF(BP113=0,0,INDEX(COSTOS_FIJOS!$G$38:$AD$38,BP113))*BS113)</f>
      </c>
      <c r="BU113" s="72">
        <f>IF(B113="","",IF(Metodo_Prorrateo="KG",IF(SUMIFS($G$6:$G$305,$D$6:$D$305,D113)=0,0,G113/SUMIFS($G$6:$G$305,$D$6:$D$305,D113)),IF(G113&gt;0,1/COUNTIFS($D$6:$D$305,D113,$G$6:$G$305,"&gt;0"),0)))</f>
      </c>
      <c r="BV113" s="37">
        <f>IF(B113="","",IF(BP113=0,0,INDEX(COSTOS_FIJOS!$G$39:$AD$39,BP113))*BU113)</f>
      </c>
      <c r="BW113" s="72">
        <f>IF(B113="","",IF(Metodo_Prorrateo="KG",IF(SUMIFS($H$6:$H$305,$D$6:$D$305,D113)=0,0,H113/SUMIFS($H$6:$H$305,$D$6:$D$305,D113)),IF(H113&gt;0,1/COUNTIFS($D$6:$D$305,D113,$H$6:$H$305,"&gt;0"),0)))</f>
      </c>
      <c r="BX113" s="37">
        <f>IF(B113="","",IF(BP113=0,0,INDEX(COSTOS_FIJOS!$G$40:$AD$40,BP113))*BW113)</f>
      </c>
      <c r="BY113" s="72">
        <f>IF(B113="","",IF(Metodo_Prorrateo="KG",IF(SUMIFS($I$6:$I$305,$D$6:$D$305,D113)=0,0,I113/SUMIFS($I$6:$I$305,$D$6:$D$305,D113)),IF(I113&gt;0,1/COUNTIFS($D$6:$D$305,D113,$I$6:$I$305,"&gt;0"),0)))</f>
      </c>
      <c r="BZ113" s="37">
        <f>IF(B113="","",IF(BP113=0,0,INDEX(COSTOS_FIJOS!$G$41:$AD$41,BP113))*BY113)</f>
      </c>
      <c r="CA113" s="70">
        <f>IF(B113="","",BT113+BV113+BX113+BZ113)</f>
      </c>
      <c r="CB113" s="37">
        <f>IF(B113="","",Q113*Imp_Ventas_Serv)</f>
      </c>
      <c r="CC113" s="37">
        <f>IF(B113="","",Q113*Contrib_Territorial)</f>
      </c>
      <c r="CD113" s="70">
        <f>IF(B113="","",BM113-CA113-CB113-CC113)</f>
      </c>
      <c r="CE113" s="37">
        <f>IF(B113="","",MAX(0,CD113)*Imp_Utilidades)</f>
      </c>
      <c r="CF113" s="70">
        <f>IF(B113="","",CD113-CE113)</f>
      </c>
      <c r="CG113" s="72">
        <f>IF(B113="","",IF(Q113=0,0,CF113/Q113))</f>
      </c>
      <c r="CH113" s="73">
        <f>IF(B113="","",IF(J113=0,0,(BL113+CA113+CB113+CC113)/J113))</f>
      </c>
      <c r="CI113" s="73">
        <f>IF(B113="","",IF(J113=0,0,Q113/J113))</f>
      </c>
      <c r="CJ113" s="73">
        <f>IF(B113="","",IF(J113=0,0,CD113/J113))</f>
      </c>
      <c r="CK113" s="37">
        <f>IF(B113="","",Y113+AE113+BK113+BT113)</f>
      </c>
      <c r="CL113" s="37">
        <f>IF(B113="","",IF(J113=0,0,(M113+P113*G113/J113)*(1-Pct_Reclamaciones-Pct_Banco-Imp_Ventas_Serv-Contrib_Territorial)-AI113-BE113-BV113-CK113*G113/J113))</f>
      </c>
      <c r="CM113" s="37">
        <f>IF(B113="","",IF(J113=0,0,(N113+P113*H113/J113)*(1-Pct_Reclamaciones-Pct_Banco-Imp_Ventas_Serv-Contrib_Territorial)-AS113-BF113-BX113-CK113*H113/J113))</f>
      </c>
      <c r="CN113" s="37">
        <f>IF(B113="","",IF(J113=0,0,(O113+P113*I113/J113)*(1-Pct_Reclamaciones-Pct_Banco-Imp_Ventas_Serv-Contrib_Territorial)-BC113-BG113-BZ113-CK113*I113/J113))</f>
      </c>
      <c r="CO113" s="37">
        <f>IF(B113="","",IF(J113=0,0,ROUND(CD113-CL113-CM113-CN113,4)))</f>
      </c>
      <c r="CP113" s="71">
        <f>IF(B113="","",T113+AG113+AK113+AM113+AU113+AW113)</f>
      </c>
      <c r="CQ113" s="71">
        <f>IF(B113="","",U113+AH113+AL113+AN113+AV113+AX113)</f>
      </c>
      <c r="CR113" s="72">
        <f>IF(B113="","",IF(CP113=0,0,CQ113/CP113-1))</f>
      </c>
      <c r="CS113" s="60">
        <f>IF(B113="","",IF(ENTRADA!$Y113="","",ENTRADA!$Y113-C113))</f>
      </c>
      <c r="CT113" s="66">
        <f>IF(B113="","",IF(ENTRADA!$C113="","Falta fecha. ","")&amp;IF(BP113=0,"Mes fuera del rango de COSTOS_FIJOS. ","")&amp;IF(J113=0,"Sin kg. ","")&amp;IF(E113="","Falta transitaria. ","")&amp;IF(AND(T113&gt;0,U113/T113-1&gt;Tolerancia_Comb),"Combustible al puerto "&amp;TEXT(U113/T113-1,"+0%")&amp;" sobre norma. ","")&amp;IF(AND(AG113&gt;0,AH113/AG113-1&gt;Tolerancia_Comb),"Combustible distribución Occidente "&amp;TEXT(AH113/AG113-1,"+0%")&amp;" sobre norma. ","")&amp;IF(AND(AK113&gt;0,AL113/AK113-1&gt;Tolerancia_Comb),"Combustible traslado Centro "&amp;TEXT(AL113/AK113-1,"+0%")&amp;" sobre norma. ","")&amp;IF(AND(AM113&gt;0,AN113/AM113-1&gt;Tolerancia_Comb),"Combustible distribución Centro "&amp;TEXT(AN113/AM113-1,"+0%")&amp;" sobre norma. ","")&amp;IF(AND(AU113&gt;0,AV113/AU113-1&gt;Tolerancia_Comb),"Combustible traslado Oriente "&amp;TEXT(AV113/AU113-1,"+0%")&amp;" sobre norma. ","")&amp;IF(AND(AW113&gt;0,AX113/AW113-1&gt;Tolerancia_Comb),"Combustible distribución Oriente "&amp;TEXT(AX113/AW113-1,"+0%")&amp;" sobre norma. ","")&amp;IF(AND(ENTRADA!$C113&lt;&gt;"",C113&lt;PRECIOS!$A$6),"Fecha anterior a la 1ª vigencia de precios. ","")&amp;IF(CD113&lt;0,"Contenedor con pérdida. ",""))</f>
      </c>
    </row>
    <row r="114">
      <c r="A114" s="60">
        <f>IF(B114="","",ROW()-5)</f>
      </c>
      <c r="B114" s="63">
        <f>IF(ENTRADA!$B114="","",ENTRADA!$B114)</f>
      </c>
      <c r="C114" s="64">
        <f>IF(B114="","",ENTRADA!$C114)</f>
      </c>
      <c r="D114" s="65">
        <f>IF(B114="","",DATE(YEAR(C114),MONTH(C114),1))</f>
      </c>
      <c r="E114" s="66">
        <f>IF(B114="","",ENTRADA!$D114&amp;"")</f>
      </c>
      <c r="F114" s="66">
        <f>IF(B114="","",ENTRADA!$Z114&amp;"")</f>
      </c>
      <c r="G114" s="67">
        <f>IF(B114="","",N(ENTRADA!$G114))</f>
      </c>
      <c r="H114" s="67">
        <f>IF(B114="","",N(ENTRADA!$H114))</f>
      </c>
      <c r="I114" s="67">
        <f>IF(B114="","",N(ENTRADA!$I114))</f>
      </c>
      <c r="J114" s="68">
        <f>IF(B114="","",G114+H114+I114)</f>
      </c>
      <c r="K114" s="60">
        <f>IF(B114="","",IFERROR(MATCH(SUMPRODUCT(MAX((PRECIOS!$A$6:$A$55&lt;=C114)*PRECIOS!$A$6:$A$55)),PRECIOS!$A$6:$A$55,0),1))</f>
      </c>
      <c r="L114" s="69">
        <f>IF(B114="","",INDEX(PRECIOS!$A$6:$A$55,K114))</f>
      </c>
      <c r="M114" s="37">
        <f>IF(B114="","",G114*INDEX(PRECIOS!$B$6:$B$55,K114))</f>
      </c>
      <c r="N114" s="37">
        <f>IF(B114="","",H114*INDEX(PRECIOS!$C$6:$C$55,K114))</f>
      </c>
      <c r="O114" s="37">
        <f>IF(B114="","",I114*INDEX(PRECIOS!$D$6:$D$55,K114))</f>
      </c>
      <c r="P114" s="37">
        <f>IF(B114="","",N(ENTRADA!$X114))</f>
      </c>
      <c r="Q114" s="70">
        <f>IF(B114="","",M114+N114+O114+P114)</f>
      </c>
      <c r="R114" s="71">
        <f>IF(B114="","",IF(ENTRADA!$J114="",Std_Viajes_Puerto,ENTRADA!$J114))</f>
      </c>
      <c r="S114" s="37">
        <f>IF(B114="","",R114*INDEX(PRECIOS!$F$6:$F$55,K114))</f>
      </c>
      <c r="T114" s="71">
        <f>IF(B114="","",R114*Litros_Puerto_Viaje)</f>
      </c>
      <c r="U114" s="71">
        <f>IF(B114="","",IF(ENTRADA!$K114="",T114,ENTRADA!$K114))</f>
      </c>
      <c r="V114" s="37">
        <f>IF(B114="","",U114*INDEX(PRECIOS!$E$6:$E$55,K114))</f>
      </c>
      <c r="W114" s="37">
        <f>IF(B114="","",IF(ENTRADA!$L114="",R114*INDEX(PRECIOS!$G$6:$G$55,K114),ENTRADA!$L114))</f>
      </c>
      <c r="X114" s="37">
        <f>IF(B114="","",R114*Km_Puerto_Viaje*INDEX(PRECIOS!$N$6:$N$55,K114))</f>
      </c>
      <c r="Y114" s="70">
        <f>IF(B114="","",S114+V114+W114+X114)</f>
      </c>
      <c r="Z114" s="71">
        <f>IF(B114="","",IF(J114=0,0,ROUNDUP(J114/Rend_Desagrupe,0)))</f>
      </c>
      <c r="AA114" s="71">
        <f>IF(B114="","",IF(ENTRADA!$M114="",Z114,ENTRADA!$M114))</f>
      </c>
      <c r="AB114" s="37">
        <f>IF(B114="","",AA114*INDEX(PRECIOS!$H$6:$H$55,K114))</f>
      </c>
      <c r="AC114" s="37">
        <f>IF(B114="","",IF(E114="ENCI",INDEX(PRECIOS!$J$6:$J$55,K114),IF(E114="A.V",INDEX(PRECIOS!$K$6:$K$55,K114),0)))</f>
      </c>
      <c r="AD114" s="37">
        <f>IF(B114="","",N(ENTRADA!$N114))</f>
      </c>
      <c r="AE114" s="70">
        <f>IF(B114="","",AB114+AC114+AD114)</f>
      </c>
      <c r="AF114" s="71">
        <f>IF(B114="","",IF(G114=0,0,ROUNDUP(G114/Cap_Camion_OCC,0)))</f>
      </c>
      <c r="AG114" s="71">
        <f>IF(B114="","",AF114*L_Dist_OCC)</f>
      </c>
      <c r="AH114" s="71">
        <f>IF(B114="","",IF(ENTRADA!$O114="",AG114,ENTRADA!$O114))</f>
      </c>
      <c r="AI114" s="37">
        <f>IF(B114="","",AH114*INDEX(PRECIOS!$E$6:$E$55,K114))</f>
      </c>
      <c r="AJ114" s="71">
        <f>IF(B114="","",IF(H114=0,0,ROUNDUP(H114/Cap_Camion_CEN,0)))</f>
      </c>
      <c r="AK114" s="71">
        <f>IF(B114="","",AJ114*L_Tras_CEN)</f>
      </c>
      <c r="AL114" s="71">
        <f>IF(B114="","",IF(ENTRADA!$P114="",AK114,ENTRADA!$P114))</f>
      </c>
      <c r="AM114" s="71">
        <f>IF(B114="","",AJ114*L_Dist_CEN)</f>
      </c>
      <c r="AN114" s="71">
        <f>IF(B114="","",IF(ENTRADA!$Q114="",AM114,ENTRADA!$Q114))</f>
      </c>
      <c r="AO114" s="37">
        <f>IF(B114="","",(AL114+AN114)*INDEX(PRECIOS!$E$6:$E$55,K114))</f>
      </c>
      <c r="AP114" s="71">
        <f>IF(B114="","",IF(H114=0,0,ROUNDUP(H114/Rend_Desagrupe_CT,0)))</f>
      </c>
      <c r="AQ114" s="71">
        <f>IF(B114="","",IF(ENTRADA!$R114="",AP114,ENTRADA!$R114))</f>
      </c>
      <c r="AR114" s="37">
        <f>IF(B114="","",AQ114*INDEX(PRECIOS!$I$6:$I$55,K114))</f>
      </c>
      <c r="AS114" s="37">
        <f>IF(B114="","",AO114+AR114)</f>
      </c>
      <c r="AT114" s="71">
        <f>IF(B114="","",IF(I114=0,0,ROUNDUP(I114/Cap_Camion_ORI,0)))</f>
      </c>
      <c r="AU114" s="71">
        <f>IF(B114="","",AT114*L_Tras_ORI)</f>
      </c>
      <c r="AV114" s="71">
        <f>IF(B114="","",IF(ENTRADA!$S114="",AU114,ENTRADA!$S114))</f>
      </c>
      <c r="AW114" s="71">
        <f>IF(B114="","",AT114*L_Dist_ORI)</f>
      </c>
      <c r="AX114" s="71">
        <f>IF(B114="","",IF(ENTRADA!$T114="",AW114,ENTRADA!$T114))</f>
      </c>
      <c r="AY114" s="37">
        <f>IF(B114="","",(AV114+AX114)*INDEX(PRECIOS!$E$6:$E$55,K114))</f>
      </c>
      <c r="AZ114" s="71">
        <f>IF(B114="","",IF(I114=0,0,ROUNDUP(I114/Rend_Desagrupe_CT,0)))</f>
      </c>
      <c r="BA114" s="71">
        <f>IF(B114="","",IF(ENTRADA!$U114="",AZ114,ENTRADA!$U114))</f>
      </c>
      <c r="BB114" s="37">
        <f>IF(B114="","",BA114*INDEX(PRECIOS!$I$6:$I$55,K114))</f>
      </c>
      <c r="BC114" s="37">
        <f>IF(B114="","",AY114+BB114)</f>
      </c>
      <c r="BD114" s="70">
        <f>IF(B114="","",AI114+AS114+BC114)</f>
      </c>
      <c r="BE114" s="37">
        <f>IF(B114="","",IF(Base_Comision="% DEL INGRESO",M114*INDEX(PRECIOS!$L$6:$L$55,K114),G114*INDEX(PRECIOS!$M$6:$M$55,K114)))</f>
      </c>
      <c r="BF114" s="37">
        <f>IF(B114="","",IF(Base_Comision="% DEL INGRESO",N114*INDEX(PRECIOS!$L$6:$L$55,K114),H114*INDEX(PRECIOS!$M$6:$M$55,K114)))</f>
      </c>
      <c r="BG114" s="37">
        <f>IF(B114="","",IF(Base_Comision="% DEL INGRESO",O114*INDEX(PRECIOS!$L$6:$L$55,K114),I114*INDEX(PRECIOS!$M$6:$M$55,K114)))</f>
      </c>
      <c r="BH114" s="70">
        <f>IF(B114="","",BE114+BF114+BG114)</f>
      </c>
      <c r="BI114" s="37">
        <f>IF(B114="","",Q114*Pct_Reclamaciones)</f>
      </c>
      <c r="BJ114" s="37">
        <f>IF(B114="","",Q114*Pct_Banco)</f>
      </c>
      <c r="BK114" s="37">
        <f>IF(B114="","",N(ENTRADA!$V114))</f>
      </c>
      <c r="BL114" s="70">
        <f>IF(B114="","",Y114+AE114+BD114+BH114+BI114+BJ114+BK114)</f>
      </c>
      <c r="BM114" s="70">
        <f>IF(B114="","",Q114-BL114)</f>
      </c>
      <c r="BN114" s="72">
        <f>IF(B114="","",IF(Q114=0,0,BM114/Q114))</f>
      </c>
      <c r="BO114" s="73">
        <f>IF(B114="","",IF(J114=0,0,BM114/J114))</f>
      </c>
      <c r="BP114" s="60">
        <f>IF(B114="","",IFERROR(MATCH(D114,COSTOS_FIJOS!$G$5:$AD$5,0),0))</f>
      </c>
      <c r="BQ114" s="60">
        <f>IF(B114="","",COUNTIFS($D$6:$D$305,D114))</f>
      </c>
      <c r="BR114" s="67">
        <f>IF(B114="","",SUMIFS($J$6:$J$305,$D$6:$D$305,D114))</f>
      </c>
      <c r="BS114" s="72">
        <f>IF(B114="","",IF(Metodo_Prorrateo="KG",IF(BR114=0,0,J114/BR114),1/BQ114))</f>
      </c>
      <c r="BT114" s="37">
        <f>IF(B114="","",IF(BP114=0,0,INDEX(COSTOS_FIJOS!$G$38:$AD$38,BP114))*BS114)</f>
      </c>
      <c r="BU114" s="72">
        <f>IF(B114="","",IF(Metodo_Prorrateo="KG",IF(SUMIFS($G$6:$G$305,$D$6:$D$305,D114)=0,0,G114/SUMIFS($G$6:$G$305,$D$6:$D$305,D114)),IF(G114&gt;0,1/COUNTIFS($D$6:$D$305,D114,$G$6:$G$305,"&gt;0"),0)))</f>
      </c>
      <c r="BV114" s="37">
        <f>IF(B114="","",IF(BP114=0,0,INDEX(COSTOS_FIJOS!$G$39:$AD$39,BP114))*BU114)</f>
      </c>
      <c r="BW114" s="72">
        <f>IF(B114="","",IF(Metodo_Prorrateo="KG",IF(SUMIFS($H$6:$H$305,$D$6:$D$305,D114)=0,0,H114/SUMIFS($H$6:$H$305,$D$6:$D$305,D114)),IF(H114&gt;0,1/COUNTIFS($D$6:$D$305,D114,$H$6:$H$305,"&gt;0"),0)))</f>
      </c>
      <c r="BX114" s="37">
        <f>IF(B114="","",IF(BP114=0,0,INDEX(COSTOS_FIJOS!$G$40:$AD$40,BP114))*BW114)</f>
      </c>
      <c r="BY114" s="72">
        <f>IF(B114="","",IF(Metodo_Prorrateo="KG",IF(SUMIFS($I$6:$I$305,$D$6:$D$305,D114)=0,0,I114/SUMIFS($I$6:$I$305,$D$6:$D$305,D114)),IF(I114&gt;0,1/COUNTIFS($D$6:$D$305,D114,$I$6:$I$305,"&gt;0"),0)))</f>
      </c>
      <c r="BZ114" s="37">
        <f>IF(B114="","",IF(BP114=0,0,INDEX(COSTOS_FIJOS!$G$41:$AD$41,BP114))*BY114)</f>
      </c>
      <c r="CA114" s="70">
        <f>IF(B114="","",BT114+BV114+BX114+BZ114)</f>
      </c>
      <c r="CB114" s="37">
        <f>IF(B114="","",Q114*Imp_Ventas_Serv)</f>
      </c>
      <c r="CC114" s="37">
        <f>IF(B114="","",Q114*Contrib_Territorial)</f>
      </c>
      <c r="CD114" s="70">
        <f>IF(B114="","",BM114-CA114-CB114-CC114)</f>
      </c>
      <c r="CE114" s="37">
        <f>IF(B114="","",MAX(0,CD114)*Imp_Utilidades)</f>
      </c>
      <c r="CF114" s="70">
        <f>IF(B114="","",CD114-CE114)</f>
      </c>
      <c r="CG114" s="72">
        <f>IF(B114="","",IF(Q114=0,0,CF114/Q114))</f>
      </c>
      <c r="CH114" s="73">
        <f>IF(B114="","",IF(J114=0,0,(BL114+CA114+CB114+CC114)/J114))</f>
      </c>
      <c r="CI114" s="73">
        <f>IF(B114="","",IF(J114=0,0,Q114/J114))</f>
      </c>
      <c r="CJ114" s="73">
        <f>IF(B114="","",IF(J114=0,0,CD114/J114))</f>
      </c>
      <c r="CK114" s="37">
        <f>IF(B114="","",Y114+AE114+BK114+BT114)</f>
      </c>
      <c r="CL114" s="37">
        <f>IF(B114="","",IF(J114=0,0,(M114+P114*G114/J114)*(1-Pct_Reclamaciones-Pct_Banco-Imp_Ventas_Serv-Contrib_Territorial)-AI114-BE114-BV114-CK114*G114/J114))</f>
      </c>
      <c r="CM114" s="37">
        <f>IF(B114="","",IF(J114=0,0,(N114+P114*H114/J114)*(1-Pct_Reclamaciones-Pct_Banco-Imp_Ventas_Serv-Contrib_Territorial)-AS114-BF114-BX114-CK114*H114/J114))</f>
      </c>
      <c r="CN114" s="37">
        <f>IF(B114="","",IF(J114=0,0,(O114+P114*I114/J114)*(1-Pct_Reclamaciones-Pct_Banco-Imp_Ventas_Serv-Contrib_Territorial)-BC114-BG114-BZ114-CK114*I114/J114))</f>
      </c>
      <c r="CO114" s="37">
        <f>IF(B114="","",IF(J114=0,0,ROUND(CD114-CL114-CM114-CN114,4)))</f>
      </c>
      <c r="CP114" s="71">
        <f>IF(B114="","",T114+AG114+AK114+AM114+AU114+AW114)</f>
      </c>
      <c r="CQ114" s="71">
        <f>IF(B114="","",U114+AH114+AL114+AN114+AV114+AX114)</f>
      </c>
      <c r="CR114" s="72">
        <f>IF(B114="","",IF(CP114=0,0,CQ114/CP114-1))</f>
      </c>
      <c r="CS114" s="60">
        <f>IF(B114="","",IF(ENTRADA!$Y114="","",ENTRADA!$Y114-C114))</f>
      </c>
      <c r="CT114" s="66">
        <f>IF(B114="","",IF(ENTRADA!$C114="","Falta fecha. ","")&amp;IF(BP114=0,"Mes fuera del rango de COSTOS_FIJOS. ","")&amp;IF(J114=0,"Sin kg. ","")&amp;IF(E114="","Falta transitaria. ","")&amp;IF(AND(T114&gt;0,U114/T114-1&gt;Tolerancia_Comb),"Combustible al puerto "&amp;TEXT(U114/T114-1,"+0%")&amp;" sobre norma. ","")&amp;IF(AND(AG114&gt;0,AH114/AG114-1&gt;Tolerancia_Comb),"Combustible distribución Occidente "&amp;TEXT(AH114/AG114-1,"+0%")&amp;" sobre norma. ","")&amp;IF(AND(AK114&gt;0,AL114/AK114-1&gt;Tolerancia_Comb),"Combustible traslado Centro "&amp;TEXT(AL114/AK114-1,"+0%")&amp;" sobre norma. ","")&amp;IF(AND(AM114&gt;0,AN114/AM114-1&gt;Tolerancia_Comb),"Combustible distribución Centro "&amp;TEXT(AN114/AM114-1,"+0%")&amp;" sobre norma. ","")&amp;IF(AND(AU114&gt;0,AV114/AU114-1&gt;Tolerancia_Comb),"Combustible traslado Oriente "&amp;TEXT(AV114/AU114-1,"+0%")&amp;" sobre norma. ","")&amp;IF(AND(AW114&gt;0,AX114/AW114-1&gt;Tolerancia_Comb),"Combustible distribución Oriente "&amp;TEXT(AX114/AW114-1,"+0%")&amp;" sobre norma. ","")&amp;IF(AND(ENTRADA!$C114&lt;&gt;"",C114&lt;PRECIOS!$A$6),"Fecha anterior a la 1ª vigencia de precios. ","")&amp;IF(CD114&lt;0,"Contenedor con pérdida. ",""))</f>
      </c>
    </row>
    <row r="115">
      <c r="A115" s="60">
        <f>IF(B115="","",ROW()-5)</f>
      </c>
      <c r="B115" s="63">
        <f>IF(ENTRADA!$B115="","",ENTRADA!$B115)</f>
      </c>
      <c r="C115" s="64">
        <f>IF(B115="","",ENTRADA!$C115)</f>
      </c>
      <c r="D115" s="65">
        <f>IF(B115="","",DATE(YEAR(C115),MONTH(C115),1))</f>
      </c>
      <c r="E115" s="66">
        <f>IF(B115="","",ENTRADA!$D115&amp;"")</f>
      </c>
      <c r="F115" s="66">
        <f>IF(B115="","",ENTRADA!$Z115&amp;"")</f>
      </c>
      <c r="G115" s="67">
        <f>IF(B115="","",N(ENTRADA!$G115))</f>
      </c>
      <c r="H115" s="67">
        <f>IF(B115="","",N(ENTRADA!$H115))</f>
      </c>
      <c r="I115" s="67">
        <f>IF(B115="","",N(ENTRADA!$I115))</f>
      </c>
      <c r="J115" s="68">
        <f>IF(B115="","",G115+H115+I115)</f>
      </c>
      <c r="K115" s="60">
        <f>IF(B115="","",IFERROR(MATCH(SUMPRODUCT(MAX((PRECIOS!$A$6:$A$55&lt;=C115)*PRECIOS!$A$6:$A$55)),PRECIOS!$A$6:$A$55,0),1))</f>
      </c>
      <c r="L115" s="69">
        <f>IF(B115="","",INDEX(PRECIOS!$A$6:$A$55,K115))</f>
      </c>
      <c r="M115" s="37">
        <f>IF(B115="","",G115*INDEX(PRECIOS!$B$6:$B$55,K115))</f>
      </c>
      <c r="N115" s="37">
        <f>IF(B115="","",H115*INDEX(PRECIOS!$C$6:$C$55,K115))</f>
      </c>
      <c r="O115" s="37">
        <f>IF(B115="","",I115*INDEX(PRECIOS!$D$6:$D$55,K115))</f>
      </c>
      <c r="P115" s="37">
        <f>IF(B115="","",N(ENTRADA!$X115))</f>
      </c>
      <c r="Q115" s="70">
        <f>IF(B115="","",M115+N115+O115+P115)</f>
      </c>
      <c r="R115" s="71">
        <f>IF(B115="","",IF(ENTRADA!$J115="",Std_Viajes_Puerto,ENTRADA!$J115))</f>
      </c>
      <c r="S115" s="37">
        <f>IF(B115="","",R115*INDEX(PRECIOS!$F$6:$F$55,K115))</f>
      </c>
      <c r="T115" s="71">
        <f>IF(B115="","",R115*Litros_Puerto_Viaje)</f>
      </c>
      <c r="U115" s="71">
        <f>IF(B115="","",IF(ENTRADA!$K115="",T115,ENTRADA!$K115))</f>
      </c>
      <c r="V115" s="37">
        <f>IF(B115="","",U115*INDEX(PRECIOS!$E$6:$E$55,K115))</f>
      </c>
      <c r="W115" s="37">
        <f>IF(B115="","",IF(ENTRADA!$L115="",R115*INDEX(PRECIOS!$G$6:$G$55,K115),ENTRADA!$L115))</f>
      </c>
      <c r="X115" s="37">
        <f>IF(B115="","",R115*Km_Puerto_Viaje*INDEX(PRECIOS!$N$6:$N$55,K115))</f>
      </c>
      <c r="Y115" s="70">
        <f>IF(B115="","",S115+V115+W115+X115)</f>
      </c>
      <c r="Z115" s="71">
        <f>IF(B115="","",IF(J115=0,0,ROUNDUP(J115/Rend_Desagrupe,0)))</f>
      </c>
      <c r="AA115" s="71">
        <f>IF(B115="","",IF(ENTRADA!$M115="",Z115,ENTRADA!$M115))</f>
      </c>
      <c r="AB115" s="37">
        <f>IF(B115="","",AA115*INDEX(PRECIOS!$H$6:$H$55,K115))</f>
      </c>
      <c r="AC115" s="37">
        <f>IF(B115="","",IF(E115="ENCI",INDEX(PRECIOS!$J$6:$J$55,K115),IF(E115="A.V",INDEX(PRECIOS!$K$6:$K$55,K115),0)))</f>
      </c>
      <c r="AD115" s="37">
        <f>IF(B115="","",N(ENTRADA!$N115))</f>
      </c>
      <c r="AE115" s="70">
        <f>IF(B115="","",AB115+AC115+AD115)</f>
      </c>
      <c r="AF115" s="71">
        <f>IF(B115="","",IF(G115=0,0,ROUNDUP(G115/Cap_Camion_OCC,0)))</f>
      </c>
      <c r="AG115" s="71">
        <f>IF(B115="","",AF115*L_Dist_OCC)</f>
      </c>
      <c r="AH115" s="71">
        <f>IF(B115="","",IF(ENTRADA!$O115="",AG115,ENTRADA!$O115))</f>
      </c>
      <c r="AI115" s="37">
        <f>IF(B115="","",AH115*INDEX(PRECIOS!$E$6:$E$55,K115))</f>
      </c>
      <c r="AJ115" s="71">
        <f>IF(B115="","",IF(H115=0,0,ROUNDUP(H115/Cap_Camion_CEN,0)))</f>
      </c>
      <c r="AK115" s="71">
        <f>IF(B115="","",AJ115*L_Tras_CEN)</f>
      </c>
      <c r="AL115" s="71">
        <f>IF(B115="","",IF(ENTRADA!$P115="",AK115,ENTRADA!$P115))</f>
      </c>
      <c r="AM115" s="71">
        <f>IF(B115="","",AJ115*L_Dist_CEN)</f>
      </c>
      <c r="AN115" s="71">
        <f>IF(B115="","",IF(ENTRADA!$Q115="",AM115,ENTRADA!$Q115))</f>
      </c>
      <c r="AO115" s="37">
        <f>IF(B115="","",(AL115+AN115)*INDEX(PRECIOS!$E$6:$E$55,K115))</f>
      </c>
      <c r="AP115" s="71">
        <f>IF(B115="","",IF(H115=0,0,ROUNDUP(H115/Rend_Desagrupe_CT,0)))</f>
      </c>
      <c r="AQ115" s="71">
        <f>IF(B115="","",IF(ENTRADA!$R115="",AP115,ENTRADA!$R115))</f>
      </c>
      <c r="AR115" s="37">
        <f>IF(B115="","",AQ115*INDEX(PRECIOS!$I$6:$I$55,K115))</f>
      </c>
      <c r="AS115" s="37">
        <f>IF(B115="","",AO115+AR115)</f>
      </c>
      <c r="AT115" s="71">
        <f>IF(B115="","",IF(I115=0,0,ROUNDUP(I115/Cap_Camion_ORI,0)))</f>
      </c>
      <c r="AU115" s="71">
        <f>IF(B115="","",AT115*L_Tras_ORI)</f>
      </c>
      <c r="AV115" s="71">
        <f>IF(B115="","",IF(ENTRADA!$S115="",AU115,ENTRADA!$S115))</f>
      </c>
      <c r="AW115" s="71">
        <f>IF(B115="","",AT115*L_Dist_ORI)</f>
      </c>
      <c r="AX115" s="71">
        <f>IF(B115="","",IF(ENTRADA!$T115="",AW115,ENTRADA!$T115))</f>
      </c>
      <c r="AY115" s="37">
        <f>IF(B115="","",(AV115+AX115)*INDEX(PRECIOS!$E$6:$E$55,K115))</f>
      </c>
      <c r="AZ115" s="71">
        <f>IF(B115="","",IF(I115=0,0,ROUNDUP(I115/Rend_Desagrupe_CT,0)))</f>
      </c>
      <c r="BA115" s="71">
        <f>IF(B115="","",IF(ENTRADA!$U115="",AZ115,ENTRADA!$U115))</f>
      </c>
      <c r="BB115" s="37">
        <f>IF(B115="","",BA115*INDEX(PRECIOS!$I$6:$I$55,K115))</f>
      </c>
      <c r="BC115" s="37">
        <f>IF(B115="","",AY115+BB115)</f>
      </c>
      <c r="BD115" s="70">
        <f>IF(B115="","",AI115+AS115+BC115)</f>
      </c>
      <c r="BE115" s="37">
        <f>IF(B115="","",IF(Base_Comision="% DEL INGRESO",M115*INDEX(PRECIOS!$L$6:$L$55,K115),G115*INDEX(PRECIOS!$M$6:$M$55,K115)))</f>
      </c>
      <c r="BF115" s="37">
        <f>IF(B115="","",IF(Base_Comision="% DEL INGRESO",N115*INDEX(PRECIOS!$L$6:$L$55,K115),H115*INDEX(PRECIOS!$M$6:$M$55,K115)))</f>
      </c>
      <c r="BG115" s="37">
        <f>IF(B115="","",IF(Base_Comision="% DEL INGRESO",O115*INDEX(PRECIOS!$L$6:$L$55,K115),I115*INDEX(PRECIOS!$M$6:$M$55,K115)))</f>
      </c>
      <c r="BH115" s="70">
        <f>IF(B115="","",BE115+BF115+BG115)</f>
      </c>
      <c r="BI115" s="37">
        <f>IF(B115="","",Q115*Pct_Reclamaciones)</f>
      </c>
      <c r="BJ115" s="37">
        <f>IF(B115="","",Q115*Pct_Banco)</f>
      </c>
      <c r="BK115" s="37">
        <f>IF(B115="","",N(ENTRADA!$V115))</f>
      </c>
      <c r="BL115" s="70">
        <f>IF(B115="","",Y115+AE115+BD115+BH115+BI115+BJ115+BK115)</f>
      </c>
      <c r="BM115" s="70">
        <f>IF(B115="","",Q115-BL115)</f>
      </c>
      <c r="BN115" s="72">
        <f>IF(B115="","",IF(Q115=0,0,BM115/Q115))</f>
      </c>
      <c r="BO115" s="73">
        <f>IF(B115="","",IF(J115=0,0,BM115/J115))</f>
      </c>
      <c r="BP115" s="60">
        <f>IF(B115="","",IFERROR(MATCH(D115,COSTOS_FIJOS!$G$5:$AD$5,0),0))</f>
      </c>
      <c r="BQ115" s="60">
        <f>IF(B115="","",COUNTIFS($D$6:$D$305,D115))</f>
      </c>
      <c r="BR115" s="67">
        <f>IF(B115="","",SUMIFS($J$6:$J$305,$D$6:$D$305,D115))</f>
      </c>
      <c r="BS115" s="72">
        <f>IF(B115="","",IF(Metodo_Prorrateo="KG",IF(BR115=0,0,J115/BR115),1/BQ115))</f>
      </c>
      <c r="BT115" s="37">
        <f>IF(B115="","",IF(BP115=0,0,INDEX(COSTOS_FIJOS!$G$38:$AD$38,BP115))*BS115)</f>
      </c>
      <c r="BU115" s="72">
        <f>IF(B115="","",IF(Metodo_Prorrateo="KG",IF(SUMIFS($G$6:$G$305,$D$6:$D$305,D115)=0,0,G115/SUMIFS($G$6:$G$305,$D$6:$D$305,D115)),IF(G115&gt;0,1/COUNTIFS($D$6:$D$305,D115,$G$6:$G$305,"&gt;0"),0)))</f>
      </c>
      <c r="BV115" s="37">
        <f>IF(B115="","",IF(BP115=0,0,INDEX(COSTOS_FIJOS!$G$39:$AD$39,BP115))*BU115)</f>
      </c>
      <c r="BW115" s="72">
        <f>IF(B115="","",IF(Metodo_Prorrateo="KG",IF(SUMIFS($H$6:$H$305,$D$6:$D$305,D115)=0,0,H115/SUMIFS($H$6:$H$305,$D$6:$D$305,D115)),IF(H115&gt;0,1/COUNTIFS($D$6:$D$305,D115,$H$6:$H$305,"&gt;0"),0)))</f>
      </c>
      <c r="BX115" s="37">
        <f>IF(B115="","",IF(BP115=0,0,INDEX(COSTOS_FIJOS!$G$40:$AD$40,BP115))*BW115)</f>
      </c>
      <c r="BY115" s="72">
        <f>IF(B115="","",IF(Metodo_Prorrateo="KG",IF(SUMIFS($I$6:$I$305,$D$6:$D$305,D115)=0,0,I115/SUMIFS($I$6:$I$305,$D$6:$D$305,D115)),IF(I115&gt;0,1/COUNTIFS($D$6:$D$305,D115,$I$6:$I$305,"&gt;0"),0)))</f>
      </c>
      <c r="BZ115" s="37">
        <f>IF(B115="","",IF(BP115=0,0,INDEX(COSTOS_FIJOS!$G$41:$AD$41,BP115))*BY115)</f>
      </c>
      <c r="CA115" s="70">
        <f>IF(B115="","",BT115+BV115+BX115+BZ115)</f>
      </c>
      <c r="CB115" s="37">
        <f>IF(B115="","",Q115*Imp_Ventas_Serv)</f>
      </c>
      <c r="CC115" s="37">
        <f>IF(B115="","",Q115*Contrib_Territorial)</f>
      </c>
      <c r="CD115" s="70">
        <f>IF(B115="","",BM115-CA115-CB115-CC115)</f>
      </c>
      <c r="CE115" s="37">
        <f>IF(B115="","",MAX(0,CD115)*Imp_Utilidades)</f>
      </c>
      <c r="CF115" s="70">
        <f>IF(B115="","",CD115-CE115)</f>
      </c>
      <c r="CG115" s="72">
        <f>IF(B115="","",IF(Q115=0,0,CF115/Q115))</f>
      </c>
      <c r="CH115" s="73">
        <f>IF(B115="","",IF(J115=0,0,(BL115+CA115+CB115+CC115)/J115))</f>
      </c>
      <c r="CI115" s="73">
        <f>IF(B115="","",IF(J115=0,0,Q115/J115))</f>
      </c>
      <c r="CJ115" s="73">
        <f>IF(B115="","",IF(J115=0,0,CD115/J115))</f>
      </c>
      <c r="CK115" s="37">
        <f>IF(B115="","",Y115+AE115+BK115+BT115)</f>
      </c>
      <c r="CL115" s="37">
        <f>IF(B115="","",IF(J115=0,0,(M115+P115*G115/J115)*(1-Pct_Reclamaciones-Pct_Banco-Imp_Ventas_Serv-Contrib_Territorial)-AI115-BE115-BV115-CK115*G115/J115))</f>
      </c>
      <c r="CM115" s="37">
        <f>IF(B115="","",IF(J115=0,0,(N115+P115*H115/J115)*(1-Pct_Reclamaciones-Pct_Banco-Imp_Ventas_Serv-Contrib_Territorial)-AS115-BF115-BX115-CK115*H115/J115))</f>
      </c>
      <c r="CN115" s="37">
        <f>IF(B115="","",IF(J115=0,0,(O115+P115*I115/J115)*(1-Pct_Reclamaciones-Pct_Banco-Imp_Ventas_Serv-Contrib_Territorial)-BC115-BG115-BZ115-CK115*I115/J115))</f>
      </c>
      <c r="CO115" s="37">
        <f>IF(B115="","",IF(J115=0,0,ROUND(CD115-CL115-CM115-CN115,4)))</f>
      </c>
      <c r="CP115" s="71">
        <f>IF(B115="","",T115+AG115+AK115+AM115+AU115+AW115)</f>
      </c>
      <c r="CQ115" s="71">
        <f>IF(B115="","",U115+AH115+AL115+AN115+AV115+AX115)</f>
      </c>
      <c r="CR115" s="72">
        <f>IF(B115="","",IF(CP115=0,0,CQ115/CP115-1))</f>
      </c>
      <c r="CS115" s="60">
        <f>IF(B115="","",IF(ENTRADA!$Y115="","",ENTRADA!$Y115-C115))</f>
      </c>
      <c r="CT115" s="66">
        <f>IF(B115="","",IF(ENTRADA!$C115="","Falta fecha. ","")&amp;IF(BP115=0,"Mes fuera del rango de COSTOS_FIJOS. ","")&amp;IF(J115=0,"Sin kg. ","")&amp;IF(E115="","Falta transitaria. ","")&amp;IF(AND(T115&gt;0,U115/T115-1&gt;Tolerancia_Comb),"Combustible al puerto "&amp;TEXT(U115/T115-1,"+0%")&amp;" sobre norma. ","")&amp;IF(AND(AG115&gt;0,AH115/AG115-1&gt;Tolerancia_Comb),"Combustible distribución Occidente "&amp;TEXT(AH115/AG115-1,"+0%")&amp;" sobre norma. ","")&amp;IF(AND(AK115&gt;0,AL115/AK115-1&gt;Tolerancia_Comb),"Combustible traslado Centro "&amp;TEXT(AL115/AK115-1,"+0%")&amp;" sobre norma. ","")&amp;IF(AND(AM115&gt;0,AN115/AM115-1&gt;Tolerancia_Comb),"Combustible distribución Centro "&amp;TEXT(AN115/AM115-1,"+0%")&amp;" sobre norma. ","")&amp;IF(AND(AU115&gt;0,AV115/AU115-1&gt;Tolerancia_Comb),"Combustible traslado Oriente "&amp;TEXT(AV115/AU115-1,"+0%")&amp;" sobre norma. ","")&amp;IF(AND(AW115&gt;0,AX115/AW115-1&gt;Tolerancia_Comb),"Combustible distribución Oriente "&amp;TEXT(AX115/AW115-1,"+0%")&amp;" sobre norma. ","")&amp;IF(AND(ENTRADA!$C115&lt;&gt;"",C115&lt;PRECIOS!$A$6),"Fecha anterior a la 1ª vigencia de precios. ","")&amp;IF(CD115&lt;0,"Contenedor con pérdida. ",""))</f>
      </c>
    </row>
    <row r="116">
      <c r="A116" s="60">
        <f>IF(B116="","",ROW()-5)</f>
      </c>
      <c r="B116" s="63">
        <f>IF(ENTRADA!$B116="","",ENTRADA!$B116)</f>
      </c>
      <c r="C116" s="64">
        <f>IF(B116="","",ENTRADA!$C116)</f>
      </c>
      <c r="D116" s="65">
        <f>IF(B116="","",DATE(YEAR(C116),MONTH(C116),1))</f>
      </c>
      <c r="E116" s="66">
        <f>IF(B116="","",ENTRADA!$D116&amp;"")</f>
      </c>
      <c r="F116" s="66">
        <f>IF(B116="","",ENTRADA!$Z116&amp;"")</f>
      </c>
      <c r="G116" s="67">
        <f>IF(B116="","",N(ENTRADA!$G116))</f>
      </c>
      <c r="H116" s="67">
        <f>IF(B116="","",N(ENTRADA!$H116))</f>
      </c>
      <c r="I116" s="67">
        <f>IF(B116="","",N(ENTRADA!$I116))</f>
      </c>
      <c r="J116" s="68">
        <f>IF(B116="","",G116+H116+I116)</f>
      </c>
      <c r="K116" s="60">
        <f>IF(B116="","",IFERROR(MATCH(SUMPRODUCT(MAX((PRECIOS!$A$6:$A$55&lt;=C116)*PRECIOS!$A$6:$A$55)),PRECIOS!$A$6:$A$55,0),1))</f>
      </c>
      <c r="L116" s="69">
        <f>IF(B116="","",INDEX(PRECIOS!$A$6:$A$55,K116))</f>
      </c>
      <c r="M116" s="37">
        <f>IF(B116="","",G116*INDEX(PRECIOS!$B$6:$B$55,K116))</f>
      </c>
      <c r="N116" s="37">
        <f>IF(B116="","",H116*INDEX(PRECIOS!$C$6:$C$55,K116))</f>
      </c>
      <c r="O116" s="37">
        <f>IF(B116="","",I116*INDEX(PRECIOS!$D$6:$D$55,K116))</f>
      </c>
      <c r="P116" s="37">
        <f>IF(B116="","",N(ENTRADA!$X116))</f>
      </c>
      <c r="Q116" s="70">
        <f>IF(B116="","",M116+N116+O116+P116)</f>
      </c>
      <c r="R116" s="71">
        <f>IF(B116="","",IF(ENTRADA!$J116="",Std_Viajes_Puerto,ENTRADA!$J116))</f>
      </c>
      <c r="S116" s="37">
        <f>IF(B116="","",R116*INDEX(PRECIOS!$F$6:$F$55,K116))</f>
      </c>
      <c r="T116" s="71">
        <f>IF(B116="","",R116*Litros_Puerto_Viaje)</f>
      </c>
      <c r="U116" s="71">
        <f>IF(B116="","",IF(ENTRADA!$K116="",T116,ENTRADA!$K116))</f>
      </c>
      <c r="V116" s="37">
        <f>IF(B116="","",U116*INDEX(PRECIOS!$E$6:$E$55,K116))</f>
      </c>
      <c r="W116" s="37">
        <f>IF(B116="","",IF(ENTRADA!$L116="",R116*INDEX(PRECIOS!$G$6:$G$55,K116),ENTRADA!$L116))</f>
      </c>
      <c r="X116" s="37">
        <f>IF(B116="","",R116*Km_Puerto_Viaje*INDEX(PRECIOS!$N$6:$N$55,K116))</f>
      </c>
      <c r="Y116" s="70">
        <f>IF(B116="","",S116+V116+W116+X116)</f>
      </c>
      <c r="Z116" s="71">
        <f>IF(B116="","",IF(J116=0,0,ROUNDUP(J116/Rend_Desagrupe,0)))</f>
      </c>
      <c r="AA116" s="71">
        <f>IF(B116="","",IF(ENTRADA!$M116="",Z116,ENTRADA!$M116))</f>
      </c>
      <c r="AB116" s="37">
        <f>IF(B116="","",AA116*INDEX(PRECIOS!$H$6:$H$55,K116))</f>
      </c>
      <c r="AC116" s="37">
        <f>IF(B116="","",IF(E116="ENCI",INDEX(PRECIOS!$J$6:$J$55,K116),IF(E116="A.V",INDEX(PRECIOS!$K$6:$K$55,K116),0)))</f>
      </c>
      <c r="AD116" s="37">
        <f>IF(B116="","",N(ENTRADA!$N116))</f>
      </c>
      <c r="AE116" s="70">
        <f>IF(B116="","",AB116+AC116+AD116)</f>
      </c>
      <c r="AF116" s="71">
        <f>IF(B116="","",IF(G116=0,0,ROUNDUP(G116/Cap_Camion_OCC,0)))</f>
      </c>
      <c r="AG116" s="71">
        <f>IF(B116="","",AF116*L_Dist_OCC)</f>
      </c>
      <c r="AH116" s="71">
        <f>IF(B116="","",IF(ENTRADA!$O116="",AG116,ENTRADA!$O116))</f>
      </c>
      <c r="AI116" s="37">
        <f>IF(B116="","",AH116*INDEX(PRECIOS!$E$6:$E$55,K116))</f>
      </c>
      <c r="AJ116" s="71">
        <f>IF(B116="","",IF(H116=0,0,ROUNDUP(H116/Cap_Camion_CEN,0)))</f>
      </c>
      <c r="AK116" s="71">
        <f>IF(B116="","",AJ116*L_Tras_CEN)</f>
      </c>
      <c r="AL116" s="71">
        <f>IF(B116="","",IF(ENTRADA!$P116="",AK116,ENTRADA!$P116))</f>
      </c>
      <c r="AM116" s="71">
        <f>IF(B116="","",AJ116*L_Dist_CEN)</f>
      </c>
      <c r="AN116" s="71">
        <f>IF(B116="","",IF(ENTRADA!$Q116="",AM116,ENTRADA!$Q116))</f>
      </c>
      <c r="AO116" s="37">
        <f>IF(B116="","",(AL116+AN116)*INDEX(PRECIOS!$E$6:$E$55,K116))</f>
      </c>
      <c r="AP116" s="71">
        <f>IF(B116="","",IF(H116=0,0,ROUNDUP(H116/Rend_Desagrupe_CT,0)))</f>
      </c>
      <c r="AQ116" s="71">
        <f>IF(B116="","",IF(ENTRADA!$R116="",AP116,ENTRADA!$R116))</f>
      </c>
      <c r="AR116" s="37">
        <f>IF(B116="","",AQ116*INDEX(PRECIOS!$I$6:$I$55,K116))</f>
      </c>
      <c r="AS116" s="37">
        <f>IF(B116="","",AO116+AR116)</f>
      </c>
      <c r="AT116" s="71">
        <f>IF(B116="","",IF(I116=0,0,ROUNDUP(I116/Cap_Camion_ORI,0)))</f>
      </c>
      <c r="AU116" s="71">
        <f>IF(B116="","",AT116*L_Tras_ORI)</f>
      </c>
      <c r="AV116" s="71">
        <f>IF(B116="","",IF(ENTRADA!$S116="",AU116,ENTRADA!$S116))</f>
      </c>
      <c r="AW116" s="71">
        <f>IF(B116="","",AT116*L_Dist_ORI)</f>
      </c>
      <c r="AX116" s="71">
        <f>IF(B116="","",IF(ENTRADA!$T116="",AW116,ENTRADA!$T116))</f>
      </c>
      <c r="AY116" s="37">
        <f>IF(B116="","",(AV116+AX116)*INDEX(PRECIOS!$E$6:$E$55,K116))</f>
      </c>
      <c r="AZ116" s="71">
        <f>IF(B116="","",IF(I116=0,0,ROUNDUP(I116/Rend_Desagrupe_CT,0)))</f>
      </c>
      <c r="BA116" s="71">
        <f>IF(B116="","",IF(ENTRADA!$U116="",AZ116,ENTRADA!$U116))</f>
      </c>
      <c r="BB116" s="37">
        <f>IF(B116="","",BA116*INDEX(PRECIOS!$I$6:$I$55,K116))</f>
      </c>
      <c r="BC116" s="37">
        <f>IF(B116="","",AY116+BB116)</f>
      </c>
      <c r="BD116" s="70">
        <f>IF(B116="","",AI116+AS116+BC116)</f>
      </c>
      <c r="BE116" s="37">
        <f>IF(B116="","",IF(Base_Comision="% DEL INGRESO",M116*INDEX(PRECIOS!$L$6:$L$55,K116),G116*INDEX(PRECIOS!$M$6:$M$55,K116)))</f>
      </c>
      <c r="BF116" s="37">
        <f>IF(B116="","",IF(Base_Comision="% DEL INGRESO",N116*INDEX(PRECIOS!$L$6:$L$55,K116),H116*INDEX(PRECIOS!$M$6:$M$55,K116)))</f>
      </c>
      <c r="BG116" s="37">
        <f>IF(B116="","",IF(Base_Comision="% DEL INGRESO",O116*INDEX(PRECIOS!$L$6:$L$55,K116),I116*INDEX(PRECIOS!$M$6:$M$55,K116)))</f>
      </c>
      <c r="BH116" s="70">
        <f>IF(B116="","",BE116+BF116+BG116)</f>
      </c>
      <c r="BI116" s="37">
        <f>IF(B116="","",Q116*Pct_Reclamaciones)</f>
      </c>
      <c r="BJ116" s="37">
        <f>IF(B116="","",Q116*Pct_Banco)</f>
      </c>
      <c r="BK116" s="37">
        <f>IF(B116="","",N(ENTRADA!$V116))</f>
      </c>
      <c r="BL116" s="70">
        <f>IF(B116="","",Y116+AE116+BD116+BH116+BI116+BJ116+BK116)</f>
      </c>
      <c r="BM116" s="70">
        <f>IF(B116="","",Q116-BL116)</f>
      </c>
      <c r="BN116" s="72">
        <f>IF(B116="","",IF(Q116=0,0,BM116/Q116))</f>
      </c>
      <c r="BO116" s="73">
        <f>IF(B116="","",IF(J116=0,0,BM116/J116))</f>
      </c>
      <c r="BP116" s="60">
        <f>IF(B116="","",IFERROR(MATCH(D116,COSTOS_FIJOS!$G$5:$AD$5,0),0))</f>
      </c>
      <c r="BQ116" s="60">
        <f>IF(B116="","",COUNTIFS($D$6:$D$305,D116))</f>
      </c>
      <c r="BR116" s="67">
        <f>IF(B116="","",SUMIFS($J$6:$J$305,$D$6:$D$305,D116))</f>
      </c>
      <c r="BS116" s="72">
        <f>IF(B116="","",IF(Metodo_Prorrateo="KG",IF(BR116=0,0,J116/BR116),1/BQ116))</f>
      </c>
      <c r="BT116" s="37">
        <f>IF(B116="","",IF(BP116=0,0,INDEX(COSTOS_FIJOS!$G$38:$AD$38,BP116))*BS116)</f>
      </c>
      <c r="BU116" s="72">
        <f>IF(B116="","",IF(Metodo_Prorrateo="KG",IF(SUMIFS($G$6:$G$305,$D$6:$D$305,D116)=0,0,G116/SUMIFS($G$6:$G$305,$D$6:$D$305,D116)),IF(G116&gt;0,1/COUNTIFS($D$6:$D$305,D116,$G$6:$G$305,"&gt;0"),0)))</f>
      </c>
      <c r="BV116" s="37">
        <f>IF(B116="","",IF(BP116=0,0,INDEX(COSTOS_FIJOS!$G$39:$AD$39,BP116))*BU116)</f>
      </c>
      <c r="BW116" s="72">
        <f>IF(B116="","",IF(Metodo_Prorrateo="KG",IF(SUMIFS($H$6:$H$305,$D$6:$D$305,D116)=0,0,H116/SUMIFS($H$6:$H$305,$D$6:$D$305,D116)),IF(H116&gt;0,1/COUNTIFS($D$6:$D$305,D116,$H$6:$H$305,"&gt;0"),0)))</f>
      </c>
      <c r="BX116" s="37">
        <f>IF(B116="","",IF(BP116=0,0,INDEX(COSTOS_FIJOS!$G$40:$AD$40,BP116))*BW116)</f>
      </c>
      <c r="BY116" s="72">
        <f>IF(B116="","",IF(Metodo_Prorrateo="KG",IF(SUMIFS($I$6:$I$305,$D$6:$D$305,D116)=0,0,I116/SUMIFS($I$6:$I$305,$D$6:$D$305,D116)),IF(I116&gt;0,1/COUNTIFS($D$6:$D$305,D116,$I$6:$I$305,"&gt;0"),0)))</f>
      </c>
      <c r="BZ116" s="37">
        <f>IF(B116="","",IF(BP116=0,0,INDEX(COSTOS_FIJOS!$G$41:$AD$41,BP116))*BY116)</f>
      </c>
      <c r="CA116" s="70">
        <f>IF(B116="","",BT116+BV116+BX116+BZ116)</f>
      </c>
      <c r="CB116" s="37">
        <f>IF(B116="","",Q116*Imp_Ventas_Serv)</f>
      </c>
      <c r="CC116" s="37">
        <f>IF(B116="","",Q116*Contrib_Territorial)</f>
      </c>
      <c r="CD116" s="70">
        <f>IF(B116="","",BM116-CA116-CB116-CC116)</f>
      </c>
      <c r="CE116" s="37">
        <f>IF(B116="","",MAX(0,CD116)*Imp_Utilidades)</f>
      </c>
      <c r="CF116" s="70">
        <f>IF(B116="","",CD116-CE116)</f>
      </c>
      <c r="CG116" s="72">
        <f>IF(B116="","",IF(Q116=0,0,CF116/Q116))</f>
      </c>
      <c r="CH116" s="73">
        <f>IF(B116="","",IF(J116=0,0,(BL116+CA116+CB116+CC116)/J116))</f>
      </c>
      <c r="CI116" s="73">
        <f>IF(B116="","",IF(J116=0,0,Q116/J116))</f>
      </c>
      <c r="CJ116" s="73">
        <f>IF(B116="","",IF(J116=0,0,CD116/J116))</f>
      </c>
      <c r="CK116" s="37">
        <f>IF(B116="","",Y116+AE116+BK116+BT116)</f>
      </c>
      <c r="CL116" s="37">
        <f>IF(B116="","",IF(J116=0,0,(M116+P116*G116/J116)*(1-Pct_Reclamaciones-Pct_Banco-Imp_Ventas_Serv-Contrib_Territorial)-AI116-BE116-BV116-CK116*G116/J116))</f>
      </c>
      <c r="CM116" s="37">
        <f>IF(B116="","",IF(J116=0,0,(N116+P116*H116/J116)*(1-Pct_Reclamaciones-Pct_Banco-Imp_Ventas_Serv-Contrib_Territorial)-AS116-BF116-BX116-CK116*H116/J116))</f>
      </c>
      <c r="CN116" s="37">
        <f>IF(B116="","",IF(J116=0,0,(O116+P116*I116/J116)*(1-Pct_Reclamaciones-Pct_Banco-Imp_Ventas_Serv-Contrib_Territorial)-BC116-BG116-BZ116-CK116*I116/J116))</f>
      </c>
      <c r="CO116" s="37">
        <f>IF(B116="","",IF(J116=0,0,ROUND(CD116-CL116-CM116-CN116,4)))</f>
      </c>
      <c r="CP116" s="71">
        <f>IF(B116="","",T116+AG116+AK116+AM116+AU116+AW116)</f>
      </c>
      <c r="CQ116" s="71">
        <f>IF(B116="","",U116+AH116+AL116+AN116+AV116+AX116)</f>
      </c>
      <c r="CR116" s="72">
        <f>IF(B116="","",IF(CP116=0,0,CQ116/CP116-1))</f>
      </c>
      <c r="CS116" s="60">
        <f>IF(B116="","",IF(ENTRADA!$Y116="","",ENTRADA!$Y116-C116))</f>
      </c>
      <c r="CT116" s="66">
        <f>IF(B116="","",IF(ENTRADA!$C116="","Falta fecha. ","")&amp;IF(BP116=0,"Mes fuera del rango de COSTOS_FIJOS. ","")&amp;IF(J116=0,"Sin kg. ","")&amp;IF(E116="","Falta transitaria. ","")&amp;IF(AND(T116&gt;0,U116/T116-1&gt;Tolerancia_Comb),"Combustible al puerto "&amp;TEXT(U116/T116-1,"+0%")&amp;" sobre norma. ","")&amp;IF(AND(AG116&gt;0,AH116/AG116-1&gt;Tolerancia_Comb),"Combustible distribución Occidente "&amp;TEXT(AH116/AG116-1,"+0%")&amp;" sobre norma. ","")&amp;IF(AND(AK116&gt;0,AL116/AK116-1&gt;Tolerancia_Comb),"Combustible traslado Centro "&amp;TEXT(AL116/AK116-1,"+0%")&amp;" sobre norma. ","")&amp;IF(AND(AM116&gt;0,AN116/AM116-1&gt;Tolerancia_Comb),"Combustible distribución Centro "&amp;TEXT(AN116/AM116-1,"+0%")&amp;" sobre norma. ","")&amp;IF(AND(AU116&gt;0,AV116/AU116-1&gt;Tolerancia_Comb),"Combustible traslado Oriente "&amp;TEXT(AV116/AU116-1,"+0%")&amp;" sobre norma. ","")&amp;IF(AND(AW116&gt;0,AX116/AW116-1&gt;Tolerancia_Comb),"Combustible distribución Oriente "&amp;TEXT(AX116/AW116-1,"+0%")&amp;" sobre norma. ","")&amp;IF(AND(ENTRADA!$C116&lt;&gt;"",C116&lt;PRECIOS!$A$6),"Fecha anterior a la 1ª vigencia de precios. ","")&amp;IF(CD116&lt;0,"Contenedor con pérdida. ",""))</f>
      </c>
    </row>
    <row r="117">
      <c r="A117" s="60">
        <f>IF(B117="","",ROW()-5)</f>
      </c>
      <c r="B117" s="63">
        <f>IF(ENTRADA!$B117="","",ENTRADA!$B117)</f>
      </c>
      <c r="C117" s="64">
        <f>IF(B117="","",ENTRADA!$C117)</f>
      </c>
      <c r="D117" s="65">
        <f>IF(B117="","",DATE(YEAR(C117),MONTH(C117),1))</f>
      </c>
      <c r="E117" s="66">
        <f>IF(B117="","",ENTRADA!$D117&amp;"")</f>
      </c>
      <c r="F117" s="66">
        <f>IF(B117="","",ENTRADA!$Z117&amp;"")</f>
      </c>
      <c r="G117" s="67">
        <f>IF(B117="","",N(ENTRADA!$G117))</f>
      </c>
      <c r="H117" s="67">
        <f>IF(B117="","",N(ENTRADA!$H117))</f>
      </c>
      <c r="I117" s="67">
        <f>IF(B117="","",N(ENTRADA!$I117))</f>
      </c>
      <c r="J117" s="68">
        <f>IF(B117="","",G117+H117+I117)</f>
      </c>
      <c r="K117" s="60">
        <f>IF(B117="","",IFERROR(MATCH(SUMPRODUCT(MAX((PRECIOS!$A$6:$A$55&lt;=C117)*PRECIOS!$A$6:$A$55)),PRECIOS!$A$6:$A$55,0),1))</f>
      </c>
      <c r="L117" s="69">
        <f>IF(B117="","",INDEX(PRECIOS!$A$6:$A$55,K117))</f>
      </c>
      <c r="M117" s="37">
        <f>IF(B117="","",G117*INDEX(PRECIOS!$B$6:$B$55,K117))</f>
      </c>
      <c r="N117" s="37">
        <f>IF(B117="","",H117*INDEX(PRECIOS!$C$6:$C$55,K117))</f>
      </c>
      <c r="O117" s="37">
        <f>IF(B117="","",I117*INDEX(PRECIOS!$D$6:$D$55,K117))</f>
      </c>
      <c r="P117" s="37">
        <f>IF(B117="","",N(ENTRADA!$X117))</f>
      </c>
      <c r="Q117" s="70">
        <f>IF(B117="","",M117+N117+O117+P117)</f>
      </c>
      <c r="R117" s="71">
        <f>IF(B117="","",IF(ENTRADA!$J117="",Std_Viajes_Puerto,ENTRADA!$J117))</f>
      </c>
      <c r="S117" s="37">
        <f>IF(B117="","",R117*INDEX(PRECIOS!$F$6:$F$55,K117))</f>
      </c>
      <c r="T117" s="71">
        <f>IF(B117="","",R117*Litros_Puerto_Viaje)</f>
      </c>
      <c r="U117" s="71">
        <f>IF(B117="","",IF(ENTRADA!$K117="",T117,ENTRADA!$K117))</f>
      </c>
      <c r="V117" s="37">
        <f>IF(B117="","",U117*INDEX(PRECIOS!$E$6:$E$55,K117))</f>
      </c>
      <c r="W117" s="37">
        <f>IF(B117="","",IF(ENTRADA!$L117="",R117*INDEX(PRECIOS!$G$6:$G$55,K117),ENTRADA!$L117))</f>
      </c>
      <c r="X117" s="37">
        <f>IF(B117="","",R117*Km_Puerto_Viaje*INDEX(PRECIOS!$N$6:$N$55,K117))</f>
      </c>
      <c r="Y117" s="70">
        <f>IF(B117="","",S117+V117+W117+X117)</f>
      </c>
      <c r="Z117" s="71">
        <f>IF(B117="","",IF(J117=0,0,ROUNDUP(J117/Rend_Desagrupe,0)))</f>
      </c>
      <c r="AA117" s="71">
        <f>IF(B117="","",IF(ENTRADA!$M117="",Z117,ENTRADA!$M117))</f>
      </c>
      <c r="AB117" s="37">
        <f>IF(B117="","",AA117*INDEX(PRECIOS!$H$6:$H$55,K117))</f>
      </c>
      <c r="AC117" s="37">
        <f>IF(B117="","",IF(E117="ENCI",INDEX(PRECIOS!$J$6:$J$55,K117),IF(E117="A.V",INDEX(PRECIOS!$K$6:$K$55,K117),0)))</f>
      </c>
      <c r="AD117" s="37">
        <f>IF(B117="","",N(ENTRADA!$N117))</f>
      </c>
      <c r="AE117" s="70">
        <f>IF(B117="","",AB117+AC117+AD117)</f>
      </c>
      <c r="AF117" s="71">
        <f>IF(B117="","",IF(G117=0,0,ROUNDUP(G117/Cap_Camion_OCC,0)))</f>
      </c>
      <c r="AG117" s="71">
        <f>IF(B117="","",AF117*L_Dist_OCC)</f>
      </c>
      <c r="AH117" s="71">
        <f>IF(B117="","",IF(ENTRADA!$O117="",AG117,ENTRADA!$O117))</f>
      </c>
      <c r="AI117" s="37">
        <f>IF(B117="","",AH117*INDEX(PRECIOS!$E$6:$E$55,K117))</f>
      </c>
      <c r="AJ117" s="71">
        <f>IF(B117="","",IF(H117=0,0,ROUNDUP(H117/Cap_Camion_CEN,0)))</f>
      </c>
      <c r="AK117" s="71">
        <f>IF(B117="","",AJ117*L_Tras_CEN)</f>
      </c>
      <c r="AL117" s="71">
        <f>IF(B117="","",IF(ENTRADA!$P117="",AK117,ENTRADA!$P117))</f>
      </c>
      <c r="AM117" s="71">
        <f>IF(B117="","",AJ117*L_Dist_CEN)</f>
      </c>
      <c r="AN117" s="71">
        <f>IF(B117="","",IF(ENTRADA!$Q117="",AM117,ENTRADA!$Q117))</f>
      </c>
      <c r="AO117" s="37">
        <f>IF(B117="","",(AL117+AN117)*INDEX(PRECIOS!$E$6:$E$55,K117))</f>
      </c>
      <c r="AP117" s="71">
        <f>IF(B117="","",IF(H117=0,0,ROUNDUP(H117/Rend_Desagrupe_CT,0)))</f>
      </c>
      <c r="AQ117" s="71">
        <f>IF(B117="","",IF(ENTRADA!$R117="",AP117,ENTRADA!$R117))</f>
      </c>
      <c r="AR117" s="37">
        <f>IF(B117="","",AQ117*INDEX(PRECIOS!$I$6:$I$55,K117))</f>
      </c>
      <c r="AS117" s="37">
        <f>IF(B117="","",AO117+AR117)</f>
      </c>
      <c r="AT117" s="71">
        <f>IF(B117="","",IF(I117=0,0,ROUNDUP(I117/Cap_Camion_ORI,0)))</f>
      </c>
      <c r="AU117" s="71">
        <f>IF(B117="","",AT117*L_Tras_ORI)</f>
      </c>
      <c r="AV117" s="71">
        <f>IF(B117="","",IF(ENTRADA!$S117="",AU117,ENTRADA!$S117))</f>
      </c>
      <c r="AW117" s="71">
        <f>IF(B117="","",AT117*L_Dist_ORI)</f>
      </c>
      <c r="AX117" s="71">
        <f>IF(B117="","",IF(ENTRADA!$T117="",AW117,ENTRADA!$T117))</f>
      </c>
      <c r="AY117" s="37">
        <f>IF(B117="","",(AV117+AX117)*INDEX(PRECIOS!$E$6:$E$55,K117))</f>
      </c>
      <c r="AZ117" s="71">
        <f>IF(B117="","",IF(I117=0,0,ROUNDUP(I117/Rend_Desagrupe_CT,0)))</f>
      </c>
      <c r="BA117" s="71">
        <f>IF(B117="","",IF(ENTRADA!$U117="",AZ117,ENTRADA!$U117))</f>
      </c>
      <c r="BB117" s="37">
        <f>IF(B117="","",BA117*INDEX(PRECIOS!$I$6:$I$55,K117))</f>
      </c>
      <c r="BC117" s="37">
        <f>IF(B117="","",AY117+BB117)</f>
      </c>
      <c r="BD117" s="70">
        <f>IF(B117="","",AI117+AS117+BC117)</f>
      </c>
      <c r="BE117" s="37">
        <f>IF(B117="","",IF(Base_Comision="% DEL INGRESO",M117*INDEX(PRECIOS!$L$6:$L$55,K117),G117*INDEX(PRECIOS!$M$6:$M$55,K117)))</f>
      </c>
      <c r="BF117" s="37">
        <f>IF(B117="","",IF(Base_Comision="% DEL INGRESO",N117*INDEX(PRECIOS!$L$6:$L$55,K117),H117*INDEX(PRECIOS!$M$6:$M$55,K117)))</f>
      </c>
      <c r="BG117" s="37">
        <f>IF(B117="","",IF(Base_Comision="% DEL INGRESO",O117*INDEX(PRECIOS!$L$6:$L$55,K117),I117*INDEX(PRECIOS!$M$6:$M$55,K117)))</f>
      </c>
      <c r="BH117" s="70">
        <f>IF(B117="","",BE117+BF117+BG117)</f>
      </c>
      <c r="BI117" s="37">
        <f>IF(B117="","",Q117*Pct_Reclamaciones)</f>
      </c>
      <c r="BJ117" s="37">
        <f>IF(B117="","",Q117*Pct_Banco)</f>
      </c>
      <c r="BK117" s="37">
        <f>IF(B117="","",N(ENTRADA!$V117))</f>
      </c>
      <c r="BL117" s="70">
        <f>IF(B117="","",Y117+AE117+BD117+BH117+BI117+BJ117+BK117)</f>
      </c>
      <c r="BM117" s="70">
        <f>IF(B117="","",Q117-BL117)</f>
      </c>
      <c r="BN117" s="72">
        <f>IF(B117="","",IF(Q117=0,0,BM117/Q117))</f>
      </c>
      <c r="BO117" s="73">
        <f>IF(B117="","",IF(J117=0,0,BM117/J117))</f>
      </c>
      <c r="BP117" s="60">
        <f>IF(B117="","",IFERROR(MATCH(D117,COSTOS_FIJOS!$G$5:$AD$5,0),0))</f>
      </c>
      <c r="BQ117" s="60">
        <f>IF(B117="","",COUNTIFS($D$6:$D$305,D117))</f>
      </c>
      <c r="BR117" s="67">
        <f>IF(B117="","",SUMIFS($J$6:$J$305,$D$6:$D$305,D117))</f>
      </c>
      <c r="BS117" s="72">
        <f>IF(B117="","",IF(Metodo_Prorrateo="KG",IF(BR117=0,0,J117/BR117),1/BQ117))</f>
      </c>
      <c r="BT117" s="37">
        <f>IF(B117="","",IF(BP117=0,0,INDEX(COSTOS_FIJOS!$G$38:$AD$38,BP117))*BS117)</f>
      </c>
      <c r="BU117" s="72">
        <f>IF(B117="","",IF(Metodo_Prorrateo="KG",IF(SUMIFS($G$6:$G$305,$D$6:$D$305,D117)=0,0,G117/SUMIFS($G$6:$G$305,$D$6:$D$305,D117)),IF(G117&gt;0,1/COUNTIFS($D$6:$D$305,D117,$G$6:$G$305,"&gt;0"),0)))</f>
      </c>
      <c r="BV117" s="37">
        <f>IF(B117="","",IF(BP117=0,0,INDEX(COSTOS_FIJOS!$G$39:$AD$39,BP117))*BU117)</f>
      </c>
      <c r="BW117" s="72">
        <f>IF(B117="","",IF(Metodo_Prorrateo="KG",IF(SUMIFS($H$6:$H$305,$D$6:$D$305,D117)=0,0,H117/SUMIFS($H$6:$H$305,$D$6:$D$305,D117)),IF(H117&gt;0,1/COUNTIFS($D$6:$D$305,D117,$H$6:$H$305,"&gt;0"),0)))</f>
      </c>
      <c r="BX117" s="37">
        <f>IF(B117="","",IF(BP117=0,0,INDEX(COSTOS_FIJOS!$G$40:$AD$40,BP117))*BW117)</f>
      </c>
      <c r="BY117" s="72">
        <f>IF(B117="","",IF(Metodo_Prorrateo="KG",IF(SUMIFS($I$6:$I$305,$D$6:$D$305,D117)=0,0,I117/SUMIFS($I$6:$I$305,$D$6:$D$305,D117)),IF(I117&gt;0,1/COUNTIFS($D$6:$D$305,D117,$I$6:$I$305,"&gt;0"),0)))</f>
      </c>
      <c r="BZ117" s="37">
        <f>IF(B117="","",IF(BP117=0,0,INDEX(COSTOS_FIJOS!$G$41:$AD$41,BP117))*BY117)</f>
      </c>
      <c r="CA117" s="70">
        <f>IF(B117="","",BT117+BV117+BX117+BZ117)</f>
      </c>
      <c r="CB117" s="37">
        <f>IF(B117="","",Q117*Imp_Ventas_Serv)</f>
      </c>
      <c r="CC117" s="37">
        <f>IF(B117="","",Q117*Contrib_Territorial)</f>
      </c>
      <c r="CD117" s="70">
        <f>IF(B117="","",BM117-CA117-CB117-CC117)</f>
      </c>
      <c r="CE117" s="37">
        <f>IF(B117="","",MAX(0,CD117)*Imp_Utilidades)</f>
      </c>
      <c r="CF117" s="70">
        <f>IF(B117="","",CD117-CE117)</f>
      </c>
      <c r="CG117" s="72">
        <f>IF(B117="","",IF(Q117=0,0,CF117/Q117))</f>
      </c>
      <c r="CH117" s="73">
        <f>IF(B117="","",IF(J117=0,0,(BL117+CA117+CB117+CC117)/J117))</f>
      </c>
      <c r="CI117" s="73">
        <f>IF(B117="","",IF(J117=0,0,Q117/J117))</f>
      </c>
      <c r="CJ117" s="73">
        <f>IF(B117="","",IF(J117=0,0,CD117/J117))</f>
      </c>
      <c r="CK117" s="37">
        <f>IF(B117="","",Y117+AE117+BK117+BT117)</f>
      </c>
      <c r="CL117" s="37">
        <f>IF(B117="","",IF(J117=0,0,(M117+P117*G117/J117)*(1-Pct_Reclamaciones-Pct_Banco-Imp_Ventas_Serv-Contrib_Territorial)-AI117-BE117-BV117-CK117*G117/J117))</f>
      </c>
      <c r="CM117" s="37">
        <f>IF(B117="","",IF(J117=0,0,(N117+P117*H117/J117)*(1-Pct_Reclamaciones-Pct_Banco-Imp_Ventas_Serv-Contrib_Territorial)-AS117-BF117-BX117-CK117*H117/J117))</f>
      </c>
      <c r="CN117" s="37">
        <f>IF(B117="","",IF(J117=0,0,(O117+P117*I117/J117)*(1-Pct_Reclamaciones-Pct_Banco-Imp_Ventas_Serv-Contrib_Territorial)-BC117-BG117-BZ117-CK117*I117/J117))</f>
      </c>
      <c r="CO117" s="37">
        <f>IF(B117="","",IF(J117=0,0,ROUND(CD117-CL117-CM117-CN117,4)))</f>
      </c>
      <c r="CP117" s="71">
        <f>IF(B117="","",T117+AG117+AK117+AM117+AU117+AW117)</f>
      </c>
      <c r="CQ117" s="71">
        <f>IF(B117="","",U117+AH117+AL117+AN117+AV117+AX117)</f>
      </c>
      <c r="CR117" s="72">
        <f>IF(B117="","",IF(CP117=0,0,CQ117/CP117-1))</f>
      </c>
      <c r="CS117" s="60">
        <f>IF(B117="","",IF(ENTRADA!$Y117="","",ENTRADA!$Y117-C117))</f>
      </c>
      <c r="CT117" s="66">
        <f>IF(B117="","",IF(ENTRADA!$C117="","Falta fecha. ","")&amp;IF(BP117=0,"Mes fuera del rango de COSTOS_FIJOS. ","")&amp;IF(J117=0,"Sin kg. ","")&amp;IF(E117="","Falta transitaria. ","")&amp;IF(AND(T117&gt;0,U117/T117-1&gt;Tolerancia_Comb),"Combustible al puerto "&amp;TEXT(U117/T117-1,"+0%")&amp;" sobre norma. ","")&amp;IF(AND(AG117&gt;0,AH117/AG117-1&gt;Tolerancia_Comb),"Combustible distribución Occidente "&amp;TEXT(AH117/AG117-1,"+0%")&amp;" sobre norma. ","")&amp;IF(AND(AK117&gt;0,AL117/AK117-1&gt;Tolerancia_Comb),"Combustible traslado Centro "&amp;TEXT(AL117/AK117-1,"+0%")&amp;" sobre norma. ","")&amp;IF(AND(AM117&gt;0,AN117/AM117-1&gt;Tolerancia_Comb),"Combustible distribución Centro "&amp;TEXT(AN117/AM117-1,"+0%")&amp;" sobre norma. ","")&amp;IF(AND(AU117&gt;0,AV117/AU117-1&gt;Tolerancia_Comb),"Combustible traslado Oriente "&amp;TEXT(AV117/AU117-1,"+0%")&amp;" sobre norma. ","")&amp;IF(AND(AW117&gt;0,AX117/AW117-1&gt;Tolerancia_Comb),"Combustible distribución Oriente "&amp;TEXT(AX117/AW117-1,"+0%")&amp;" sobre norma. ","")&amp;IF(AND(ENTRADA!$C117&lt;&gt;"",C117&lt;PRECIOS!$A$6),"Fecha anterior a la 1ª vigencia de precios. ","")&amp;IF(CD117&lt;0,"Contenedor con pérdida. ",""))</f>
      </c>
    </row>
    <row r="118">
      <c r="A118" s="60">
        <f>IF(B118="","",ROW()-5)</f>
      </c>
      <c r="B118" s="63">
        <f>IF(ENTRADA!$B118="","",ENTRADA!$B118)</f>
      </c>
      <c r="C118" s="64">
        <f>IF(B118="","",ENTRADA!$C118)</f>
      </c>
      <c r="D118" s="65">
        <f>IF(B118="","",DATE(YEAR(C118),MONTH(C118),1))</f>
      </c>
      <c r="E118" s="66">
        <f>IF(B118="","",ENTRADA!$D118&amp;"")</f>
      </c>
      <c r="F118" s="66">
        <f>IF(B118="","",ENTRADA!$Z118&amp;"")</f>
      </c>
      <c r="G118" s="67">
        <f>IF(B118="","",N(ENTRADA!$G118))</f>
      </c>
      <c r="H118" s="67">
        <f>IF(B118="","",N(ENTRADA!$H118))</f>
      </c>
      <c r="I118" s="67">
        <f>IF(B118="","",N(ENTRADA!$I118))</f>
      </c>
      <c r="J118" s="68">
        <f>IF(B118="","",G118+H118+I118)</f>
      </c>
      <c r="K118" s="60">
        <f>IF(B118="","",IFERROR(MATCH(SUMPRODUCT(MAX((PRECIOS!$A$6:$A$55&lt;=C118)*PRECIOS!$A$6:$A$55)),PRECIOS!$A$6:$A$55,0),1))</f>
      </c>
      <c r="L118" s="69">
        <f>IF(B118="","",INDEX(PRECIOS!$A$6:$A$55,K118))</f>
      </c>
      <c r="M118" s="37">
        <f>IF(B118="","",G118*INDEX(PRECIOS!$B$6:$B$55,K118))</f>
      </c>
      <c r="N118" s="37">
        <f>IF(B118="","",H118*INDEX(PRECIOS!$C$6:$C$55,K118))</f>
      </c>
      <c r="O118" s="37">
        <f>IF(B118="","",I118*INDEX(PRECIOS!$D$6:$D$55,K118))</f>
      </c>
      <c r="P118" s="37">
        <f>IF(B118="","",N(ENTRADA!$X118))</f>
      </c>
      <c r="Q118" s="70">
        <f>IF(B118="","",M118+N118+O118+P118)</f>
      </c>
      <c r="R118" s="71">
        <f>IF(B118="","",IF(ENTRADA!$J118="",Std_Viajes_Puerto,ENTRADA!$J118))</f>
      </c>
      <c r="S118" s="37">
        <f>IF(B118="","",R118*INDEX(PRECIOS!$F$6:$F$55,K118))</f>
      </c>
      <c r="T118" s="71">
        <f>IF(B118="","",R118*Litros_Puerto_Viaje)</f>
      </c>
      <c r="U118" s="71">
        <f>IF(B118="","",IF(ENTRADA!$K118="",T118,ENTRADA!$K118))</f>
      </c>
      <c r="V118" s="37">
        <f>IF(B118="","",U118*INDEX(PRECIOS!$E$6:$E$55,K118))</f>
      </c>
      <c r="W118" s="37">
        <f>IF(B118="","",IF(ENTRADA!$L118="",R118*INDEX(PRECIOS!$G$6:$G$55,K118),ENTRADA!$L118))</f>
      </c>
      <c r="X118" s="37">
        <f>IF(B118="","",R118*Km_Puerto_Viaje*INDEX(PRECIOS!$N$6:$N$55,K118))</f>
      </c>
      <c r="Y118" s="70">
        <f>IF(B118="","",S118+V118+W118+X118)</f>
      </c>
      <c r="Z118" s="71">
        <f>IF(B118="","",IF(J118=0,0,ROUNDUP(J118/Rend_Desagrupe,0)))</f>
      </c>
      <c r="AA118" s="71">
        <f>IF(B118="","",IF(ENTRADA!$M118="",Z118,ENTRADA!$M118))</f>
      </c>
      <c r="AB118" s="37">
        <f>IF(B118="","",AA118*INDEX(PRECIOS!$H$6:$H$55,K118))</f>
      </c>
      <c r="AC118" s="37">
        <f>IF(B118="","",IF(E118="ENCI",INDEX(PRECIOS!$J$6:$J$55,K118),IF(E118="A.V",INDEX(PRECIOS!$K$6:$K$55,K118),0)))</f>
      </c>
      <c r="AD118" s="37">
        <f>IF(B118="","",N(ENTRADA!$N118))</f>
      </c>
      <c r="AE118" s="70">
        <f>IF(B118="","",AB118+AC118+AD118)</f>
      </c>
      <c r="AF118" s="71">
        <f>IF(B118="","",IF(G118=0,0,ROUNDUP(G118/Cap_Camion_OCC,0)))</f>
      </c>
      <c r="AG118" s="71">
        <f>IF(B118="","",AF118*L_Dist_OCC)</f>
      </c>
      <c r="AH118" s="71">
        <f>IF(B118="","",IF(ENTRADA!$O118="",AG118,ENTRADA!$O118))</f>
      </c>
      <c r="AI118" s="37">
        <f>IF(B118="","",AH118*INDEX(PRECIOS!$E$6:$E$55,K118))</f>
      </c>
      <c r="AJ118" s="71">
        <f>IF(B118="","",IF(H118=0,0,ROUNDUP(H118/Cap_Camion_CEN,0)))</f>
      </c>
      <c r="AK118" s="71">
        <f>IF(B118="","",AJ118*L_Tras_CEN)</f>
      </c>
      <c r="AL118" s="71">
        <f>IF(B118="","",IF(ENTRADA!$P118="",AK118,ENTRADA!$P118))</f>
      </c>
      <c r="AM118" s="71">
        <f>IF(B118="","",AJ118*L_Dist_CEN)</f>
      </c>
      <c r="AN118" s="71">
        <f>IF(B118="","",IF(ENTRADA!$Q118="",AM118,ENTRADA!$Q118))</f>
      </c>
      <c r="AO118" s="37">
        <f>IF(B118="","",(AL118+AN118)*INDEX(PRECIOS!$E$6:$E$55,K118))</f>
      </c>
      <c r="AP118" s="71">
        <f>IF(B118="","",IF(H118=0,0,ROUNDUP(H118/Rend_Desagrupe_CT,0)))</f>
      </c>
      <c r="AQ118" s="71">
        <f>IF(B118="","",IF(ENTRADA!$R118="",AP118,ENTRADA!$R118))</f>
      </c>
      <c r="AR118" s="37">
        <f>IF(B118="","",AQ118*INDEX(PRECIOS!$I$6:$I$55,K118))</f>
      </c>
      <c r="AS118" s="37">
        <f>IF(B118="","",AO118+AR118)</f>
      </c>
      <c r="AT118" s="71">
        <f>IF(B118="","",IF(I118=0,0,ROUNDUP(I118/Cap_Camion_ORI,0)))</f>
      </c>
      <c r="AU118" s="71">
        <f>IF(B118="","",AT118*L_Tras_ORI)</f>
      </c>
      <c r="AV118" s="71">
        <f>IF(B118="","",IF(ENTRADA!$S118="",AU118,ENTRADA!$S118))</f>
      </c>
      <c r="AW118" s="71">
        <f>IF(B118="","",AT118*L_Dist_ORI)</f>
      </c>
      <c r="AX118" s="71">
        <f>IF(B118="","",IF(ENTRADA!$T118="",AW118,ENTRADA!$T118))</f>
      </c>
      <c r="AY118" s="37">
        <f>IF(B118="","",(AV118+AX118)*INDEX(PRECIOS!$E$6:$E$55,K118))</f>
      </c>
      <c r="AZ118" s="71">
        <f>IF(B118="","",IF(I118=0,0,ROUNDUP(I118/Rend_Desagrupe_CT,0)))</f>
      </c>
      <c r="BA118" s="71">
        <f>IF(B118="","",IF(ENTRADA!$U118="",AZ118,ENTRADA!$U118))</f>
      </c>
      <c r="BB118" s="37">
        <f>IF(B118="","",BA118*INDEX(PRECIOS!$I$6:$I$55,K118))</f>
      </c>
      <c r="BC118" s="37">
        <f>IF(B118="","",AY118+BB118)</f>
      </c>
      <c r="BD118" s="70">
        <f>IF(B118="","",AI118+AS118+BC118)</f>
      </c>
      <c r="BE118" s="37">
        <f>IF(B118="","",IF(Base_Comision="% DEL INGRESO",M118*INDEX(PRECIOS!$L$6:$L$55,K118),G118*INDEX(PRECIOS!$M$6:$M$55,K118)))</f>
      </c>
      <c r="BF118" s="37">
        <f>IF(B118="","",IF(Base_Comision="% DEL INGRESO",N118*INDEX(PRECIOS!$L$6:$L$55,K118),H118*INDEX(PRECIOS!$M$6:$M$55,K118)))</f>
      </c>
      <c r="BG118" s="37">
        <f>IF(B118="","",IF(Base_Comision="% DEL INGRESO",O118*INDEX(PRECIOS!$L$6:$L$55,K118),I118*INDEX(PRECIOS!$M$6:$M$55,K118)))</f>
      </c>
      <c r="BH118" s="70">
        <f>IF(B118="","",BE118+BF118+BG118)</f>
      </c>
      <c r="BI118" s="37">
        <f>IF(B118="","",Q118*Pct_Reclamaciones)</f>
      </c>
      <c r="BJ118" s="37">
        <f>IF(B118="","",Q118*Pct_Banco)</f>
      </c>
      <c r="BK118" s="37">
        <f>IF(B118="","",N(ENTRADA!$V118))</f>
      </c>
      <c r="BL118" s="70">
        <f>IF(B118="","",Y118+AE118+BD118+BH118+BI118+BJ118+BK118)</f>
      </c>
      <c r="BM118" s="70">
        <f>IF(B118="","",Q118-BL118)</f>
      </c>
      <c r="BN118" s="72">
        <f>IF(B118="","",IF(Q118=0,0,BM118/Q118))</f>
      </c>
      <c r="BO118" s="73">
        <f>IF(B118="","",IF(J118=0,0,BM118/J118))</f>
      </c>
      <c r="BP118" s="60">
        <f>IF(B118="","",IFERROR(MATCH(D118,COSTOS_FIJOS!$G$5:$AD$5,0),0))</f>
      </c>
      <c r="BQ118" s="60">
        <f>IF(B118="","",COUNTIFS($D$6:$D$305,D118))</f>
      </c>
      <c r="BR118" s="67">
        <f>IF(B118="","",SUMIFS($J$6:$J$305,$D$6:$D$305,D118))</f>
      </c>
      <c r="BS118" s="72">
        <f>IF(B118="","",IF(Metodo_Prorrateo="KG",IF(BR118=0,0,J118/BR118),1/BQ118))</f>
      </c>
      <c r="BT118" s="37">
        <f>IF(B118="","",IF(BP118=0,0,INDEX(COSTOS_FIJOS!$G$38:$AD$38,BP118))*BS118)</f>
      </c>
      <c r="BU118" s="72">
        <f>IF(B118="","",IF(Metodo_Prorrateo="KG",IF(SUMIFS($G$6:$G$305,$D$6:$D$305,D118)=0,0,G118/SUMIFS($G$6:$G$305,$D$6:$D$305,D118)),IF(G118&gt;0,1/COUNTIFS($D$6:$D$305,D118,$G$6:$G$305,"&gt;0"),0)))</f>
      </c>
      <c r="BV118" s="37">
        <f>IF(B118="","",IF(BP118=0,0,INDEX(COSTOS_FIJOS!$G$39:$AD$39,BP118))*BU118)</f>
      </c>
      <c r="BW118" s="72">
        <f>IF(B118="","",IF(Metodo_Prorrateo="KG",IF(SUMIFS($H$6:$H$305,$D$6:$D$305,D118)=0,0,H118/SUMIFS($H$6:$H$305,$D$6:$D$305,D118)),IF(H118&gt;0,1/COUNTIFS($D$6:$D$305,D118,$H$6:$H$305,"&gt;0"),0)))</f>
      </c>
      <c r="BX118" s="37">
        <f>IF(B118="","",IF(BP118=0,0,INDEX(COSTOS_FIJOS!$G$40:$AD$40,BP118))*BW118)</f>
      </c>
      <c r="BY118" s="72">
        <f>IF(B118="","",IF(Metodo_Prorrateo="KG",IF(SUMIFS($I$6:$I$305,$D$6:$D$305,D118)=0,0,I118/SUMIFS($I$6:$I$305,$D$6:$D$305,D118)),IF(I118&gt;0,1/COUNTIFS($D$6:$D$305,D118,$I$6:$I$305,"&gt;0"),0)))</f>
      </c>
      <c r="BZ118" s="37">
        <f>IF(B118="","",IF(BP118=0,0,INDEX(COSTOS_FIJOS!$G$41:$AD$41,BP118))*BY118)</f>
      </c>
      <c r="CA118" s="70">
        <f>IF(B118="","",BT118+BV118+BX118+BZ118)</f>
      </c>
      <c r="CB118" s="37">
        <f>IF(B118="","",Q118*Imp_Ventas_Serv)</f>
      </c>
      <c r="CC118" s="37">
        <f>IF(B118="","",Q118*Contrib_Territorial)</f>
      </c>
      <c r="CD118" s="70">
        <f>IF(B118="","",BM118-CA118-CB118-CC118)</f>
      </c>
      <c r="CE118" s="37">
        <f>IF(B118="","",MAX(0,CD118)*Imp_Utilidades)</f>
      </c>
      <c r="CF118" s="70">
        <f>IF(B118="","",CD118-CE118)</f>
      </c>
      <c r="CG118" s="72">
        <f>IF(B118="","",IF(Q118=0,0,CF118/Q118))</f>
      </c>
      <c r="CH118" s="73">
        <f>IF(B118="","",IF(J118=0,0,(BL118+CA118+CB118+CC118)/J118))</f>
      </c>
      <c r="CI118" s="73">
        <f>IF(B118="","",IF(J118=0,0,Q118/J118))</f>
      </c>
      <c r="CJ118" s="73">
        <f>IF(B118="","",IF(J118=0,0,CD118/J118))</f>
      </c>
      <c r="CK118" s="37">
        <f>IF(B118="","",Y118+AE118+BK118+BT118)</f>
      </c>
      <c r="CL118" s="37">
        <f>IF(B118="","",IF(J118=0,0,(M118+P118*G118/J118)*(1-Pct_Reclamaciones-Pct_Banco-Imp_Ventas_Serv-Contrib_Territorial)-AI118-BE118-BV118-CK118*G118/J118))</f>
      </c>
      <c r="CM118" s="37">
        <f>IF(B118="","",IF(J118=0,0,(N118+P118*H118/J118)*(1-Pct_Reclamaciones-Pct_Banco-Imp_Ventas_Serv-Contrib_Territorial)-AS118-BF118-BX118-CK118*H118/J118))</f>
      </c>
      <c r="CN118" s="37">
        <f>IF(B118="","",IF(J118=0,0,(O118+P118*I118/J118)*(1-Pct_Reclamaciones-Pct_Banco-Imp_Ventas_Serv-Contrib_Territorial)-BC118-BG118-BZ118-CK118*I118/J118))</f>
      </c>
      <c r="CO118" s="37">
        <f>IF(B118="","",IF(J118=0,0,ROUND(CD118-CL118-CM118-CN118,4)))</f>
      </c>
      <c r="CP118" s="71">
        <f>IF(B118="","",T118+AG118+AK118+AM118+AU118+AW118)</f>
      </c>
      <c r="CQ118" s="71">
        <f>IF(B118="","",U118+AH118+AL118+AN118+AV118+AX118)</f>
      </c>
      <c r="CR118" s="72">
        <f>IF(B118="","",IF(CP118=0,0,CQ118/CP118-1))</f>
      </c>
      <c r="CS118" s="60">
        <f>IF(B118="","",IF(ENTRADA!$Y118="","",ENTRADA!$Y118-C118))</f>
      </c>
      <c r="CT118" s="66">
        <f>IF(B118="","",IF(ENTRADA!$C118="","Falta fecha. ","")&amp;IF(BP118=0,"Mes fuera del rango de COSTOS_FIJOS. ","")&amp;IF(J118=0,"Sin kg. ","")&amp;IF(E118="","Falta transitaria. ","")&amp;IF(AND(T118&gt;0,U118/T118-1&gt;Tolerancia_Comb),"Combustible al puerto "&amp;TEXT(U118/T118-1,"+0%")&amp;" sobre norma. ","")&amp;IF(AND(AG118&gt;0,AH118/AG118-1&gt;Tolerancia_Comb),"Combustible distribución Occidente "&amp;TEXT(AH118/AG118-1,"+0%")&amp;" sobre norma. ","")&amp;IF(AND(AK118&gt;0,AL118/AK118-1&gt;Tolerancia_Comb),"Combustible traslado Centro "&amp;TEXT(AL118/AK118-1,"+0%")&amp;" sobre norma. ","")&amp;IF(AND(AM118&gt;0,AN118/AM118-1&gt;Tolerancia_Comb),"Combustible distribución Centro "&amp;TEXT(AN118/AM118-1,"+0%")&amp;" sobre norma. ","")&amp;IF(AND(AU118&gt;0,AV118/AU118-1&gt;Tolerancia_Comb),"Combustible traslado Oriente "&amp;TEXT(AV118/AU118-1,"+0%")&amp;" sobre norma. ","")&amp;IF(AND(AW118&gt;0,AX118/AW118-1&gt;Tolerancia_Comb),"Combustible distribución Oriente "&amp;TEXT(AX118/AW118-1,"+0%")&amp;" sobre norma. ","")&amp;IF(AND(ENTRADA!$C118&lt;&gt;"",C118&lt;PRECIOS!$A$6),"Fecha anterior a la 1ª vigencia de precios. ","")&amp;IF(CD118&lt;0,"Contenedor con pérdida. ",""))</f>
      </c>
    </row>
    <row r="119">
      <c r="A119" s="60">
        <f>IF(B119="","",ROW()-5)</f>
      </c>
      <c r="B119" s="63">
        <f>IF(ENTRADA!$B119="","",ENTRADA!$B119)</f>
      </c>
      <c r="C119" s="64">
        <f>IF(B119="","",ENTRADA!$C119)</f>
      </c>
      <c r="D119" s="65">
        <f>IF(B119="","",DATE(YEAR(C119),MONTH(C119),1))</f>
      </c>
      <c r="E119" s="66">
        <f>IF(B119="","",ENTRADA!$D119&amp;"")</f>
      </c>
      <c r="F119" s="66">
        <f>IF(B119="","",ENTRADA!$Z119&amp;"")</f>
      </c>
      <c r="G119" s="67">
        <f>IF(B119="","",N(ENTRADA!$G119))</f>
      </c>
      <c r="H119" s="67">
        <f>IF(B119="","",N(ENTRADA!$H119))</f>
      </c>
      <c r="I119" s="67">
        <f>IF(B119="","",N(ENTRADA!$I119))</f>
      </c>
      <c r="J119" s="68">
        <f>IF(B119="","",G119+H119+I119)</f>
      </c>
      <c r="K119" s="60">
        <f>IF(B119="","",IFERROR(MATCH(SUMPRODUCT(MAX((PRECIOS!$A$6:$A$55&lt;=C119)*PRECIOS!$A$6:$A$55)),PRECIOS!$A$6:$A$55,0),1))</f>
      </c>
      <c r="L119" s="69">
        <f>IF(B119="","",INDEX(PRECIOS!$A$6:$A$55,K119))</f>
      </c>
      <c r="M119" s="37">
        <f>IF(B119="","",G119*INDEX(PRECIOS!$B$6:$B$55,K119))</f>
      </c>
      <c r="N119" s="37">
        <f>IF(B119="","",H119*INDEX(PRECIOS!$C$6:$C$55,K119))</f>
      </c>
      <c r="O119" s="37">
        <f>IF(B119="","",I119*INDEX(PRECIOS!$D$6:$D$55,K119))</f>
      </c>
      <c r="P119" s="37">
        <f>IF(B119="","",N(ENTRADA!$X119))</f>
      </c>
      <c r="Q119" s="70">
        <f>IF(B119="","",M119+N119+O119+P119)</f>
      </c>
      <c r="R119" s="71">
        <f>IF(B119="","",IF(ENTRADA!$J119="",Std_Viajes_Puerto,ENTRADA!$J119))</f>
      </c>
      <c r="S119" s="37">
        <f>IF(B119="","",R119*INDEX(PRECIOS!$F$6:$F$55,K119))</f>
      </c>
      <c r="T119" s="71">
        <f>IF(B119="","",R119*Litros_Puerto_Viaje)</f>
      </c>
      <c r="U119" s="71">
        <f>IF(B119="","",IF(ENTRADA!$K119="",T119,ENTRADA!$K119))</f>
      </c>
      <c r="V119" s="37">
        <f>IF(B119="","",U119*INDEX(PRECIOS!$E$6:$E$55,K119))</f>
      </c>
      <c r="W119" s="37">
        <f>IF(B119="","",IF(ENTRADA!$L119="",R119*INDEX(PRECIOS!$G$6:$G$55,K119),ENTRADA!$L119))</f>
      </c>
      <c r="X119" s="37">
        <f>IF(B119="","",R119*Km_Puerto_Viaje*INDEX(PRECIOS!$N$6:$N$55,K119))</f>
      </c>
      <c r="Y119" s="70">
        <f>IF(B119="","",S119+V119+W119+X119)</f>
      </c>
      <c r="Z119" s="71">
        <f>IF(B119="","",IF(J119=0,0,ROUNDUP(J119/Rend_Desagrupe,0)))</f>
      </c>
      <c r="AA119" s="71">
        <f>IF(B119="","",IF(ENTRADA!$M119="",Z119,ENTRADA!$M119))</f>
      </c>
      <c r="AB119" s="37">
        <f>IF(B119="","",AA119*INDEX(PRECIOS!$H$6:$H$55,K119))</f>
      </c>
      <c r="AC119" s="37">
        <f>IF(B119="","",IF(E119="ENCI",INDEX(PRECIOS!$J$6:$J$55,K119),IF(E119="A.V",INDEX(PRECIOS!$K$6:$K$55,K119),0)))</f>
      </c>
      <c r="AD119" s="37">
        <f>IF(B119="","",N(ENTRADA!$N119))</f>
      </c>
      <c r="AE119" s="70">
        <f>IF(B119="","",AB119+AC119+AD119)</f>
      </c>
      <c r="AF119" s="71">
        <f>IF(B119="","",IF(G119=0,0,ROUNDUP(G119/Cap_Camion_OCC,0)))</f>
      </c>
      <c r="AG119" s="71">
        <f>IF(B119="","",AF119*L_Dist_OCC)</f>
      </c>
      <c r="AH119" s="71">
        <f>IF(B119="","",IF(ENTRADA!$O119="",AG119,ENTRADA!$O119))</f>
      </c>
      <c r="AI119" s="37">
        <f>IF(B119="","",AH119*INDEX(PRECIOS!$E$6:$E$55,K119))</f>
      </c>
      <c r="AJ119" s="71">
        <f>IF(B119="","",IF(H119=0,0,ROUNDUP(H119/Cap_Camion_CEN,0)))</f>
      </c>
      <c r="AK119" s="71">
        <f>IF(B119="","",AJ119*L_Tras_CEN)</f>
      </c>
      <c r="AL119" s="71">
        <f>IF(B119="","",IF(ENTRADA!$P119="",AK119,ENTRADA!$P119))</f>
      </c>
      <c r="AM119" s="71">
        <f>IF(B119="","",AJ119*L_Dist_CEN)</f>
      </c>
      <c r="AN119" s="71">
        <f>IF(B119="","",IF(ENTRADA!$Q119="",AM119,ENTRADA!$Q119))</f>
      </c>
      <c r="AO119" s="37">
        <f>IF(B119="","",(AL119+AN119)*INDEX(PRECIOS!$E$6:$E$55,K119))</f>
      </c>
      <c r="AP119" s="71">
        <f>IF(B119="","",IF(H119=0,0,ROUNDUP(H119/Rend_Desagrupe_CT,0)))</f>
      </c>
      <c r="AQ119" s="71">
        <f>IF(B119="","",IF(ENTRADA!$R119="",AP119,ENTRADA!$R119))</f>
      </c>
      <c r="AR119" s="37">
        <f>IF(B119="","",AQ119*INDEX(PRECIOS!$I$6:$I$55,K119))</f>
      </c>
      <c r="AS119" s="37">
        <f>IF(B119="","",AO119+AR119)</f>
      </c>
      <c r="AT119" s="71">
        <f>IF(B119="","",IF(I119=0,0,ROUNDUP(I119/Cap_Camion_ORI,0)))</f>
      </c>
      <c r="AU119" s="71">
        <f>IF(B119="","",AT119*L_Tras_ORI)</f>
      </c>
      <c r="AV119" s="71">
        <f>IF(B119="","",IF(ENTRADA!$S119="",AU119,ENTRADA!$S119))</f>
      </c>
      <c r="AW119" s="71">
        <f>IF(B119="","",AT119*L_Dist_ORI)</f>
      </c>
      <c r="AX119" s="71">
        <f>IF(B119="","",IF(ENTRADA!$T119="",AW119,ENTRADA!$T119))</f>
      </c>
      <c r="AY119" s="37">
        <f>IF(B119="","",(AV119+AX119)*INDEX(PRECIOS!$E$6:$E$55,K119))</f>
      </c>
      <c r="AZ119" s="71">
        <f>IF(B119="","",IF(I119=0,0,ROUNDUP(I119/Rend_Desagrupe_CT,0)))</f>
      </c>
      <c r="BA119" s="71">
        <f>IF(B119="","",IF(ENTRADA!$U119="",AZ119,ENTRADA!$U119))</f>
      </c>
      <c r="BB119" s="37">
        <f>IF(B119="","",BA119*INDEX(PRECIOS!$I$6:$I$55,K119))</f>
      </c>
      <c r="BC119" s="37">
        <f>IF(B119="","",AY119+BB119)</f>
      </c>
      <c r="BD119" s="70">
        <f>IF(B119="","",AI119+AS119+BC119)</f>
      </c>
      <c r="BE119" s="37">
        <f>IF(B119="","",IF(Base_Comision="% DEL INGRESO",M119*INDEX(PRECIOS!$L$6:$L$55,K119),G119*INDEX(PRECIOS!$M$6:$M$55,K119)))</f>
      </c>
      <c r="BF119" s="37">
        <f>IF(B119="","",IF(Base_Comision="% DEL INGRESO",N119*INDEX(PRECIOS!$L$6:$L$55,K119),H119*INDEX(PRECIOS!$M$6:$M$55,K119)))</f>
      </c>
      <c r="BG119" s="37">
        <f>IF(B119="","",IF(Base_Comision="% DEL INGRESO",O119*INDEX(PRECIOS!$L$6:$L$55,K119),I119*INDEX(PRECIOS!$M$6:$M$55,K119)))</f>
      </c>
      <c r="BH119" s="70">
        <f>IF(B119="","",BE119+BF119+BG119)</f>
      </c>
      <c r="BI119" s="37">
        <f>IF(B119="","",Q119*Pct_Reclamaciones)</f>
      </c>
      <c r="BJ119" s="37">
        <f>IF(B119="","",Q119*Pct_Banco)</f>
      </c>
      <c r="BK119" s="37">
        <f>IF(B119="","",N(ENTRADA!$V119))</f>
      </c>
      <c r="BL119" s="70">
        <f>IF(B119="","",Y119+AE119+BD119+BH119+BI119+BJ119+BK119)</f>
      </c>
      <c r="BM119" s="70">
        <f>IF(B119="","",Q119-BL119)</f>
      </c>
      <c r="BN119" s="72">
        <f>IF(B119="","",IF(Q119=0,0,BM119/Q119))</f>
      </c>
      <c r="BO119" s="73">
        <f>IF(B119="","",IF(J119=0,0,BM119/J119))</f>
      </c>
      <c r="BP119" s="60">
        <f>IF(B119="","",IFERROR(MATCH(D119,COSTOS_FIJOS!$G$5:$AD$5,0),0))</f>
      </c>
      <c r="BQ119" s="60">
        <f>IF(B119="","",COUNTIFS($D$6:$D$305,D119))</f>
      </c>
      <c r="BR119" s="67">
        <f>IF(B119="","",SUMIFS($J$6:$J$305,$D$6:$D$305,D119))</f>
      </c>
      <c r="BS119" s="72">
        <f>IF(B119="","",IF(Metodo_Prorrateo="KG",IF(BR119=0,0,J119/BR119),1/BQ119))</f>
      </c>
      <c r="BT119" s="37">
        <f>IF(B119="","",IF(BP119=0,0,INDEX(COSTOS_FIJOS!$G$38:$AD$38,BP119))*BS119)</f>
      </c>
      <c r="BU119" s="72">
        <f>IF(B119="","",IF(Metodo_Prorrateo="KG",IF(SUMIFS($G$6:$G$305,$D$6:$D$305,D119)=0,0,G119/SUMIFS($G$6:$G$305,$D$6:$D$305,D119)),IF(G119&gt;0,1/COUNTIFS($D$6:$D$305,D119,$G$6:$G$305,"&gt;0"),0)))</f>
      </c>
      <c r="BV119" s="37">
        <f>IF(B119="","",IF(BP119=0,0,INDEX(COSTOS_FIJOS!$G$39:$AD$39,BP119))*BU119)</f>
      </c>
      <c r="BW119" s="72">
        <f>IF(B119="","",IF(Metodo_Prorrateo="KG",IF(SUMIFS($H$6:$H$305,$D$6:$D$305,D119)=0,0,H119/SUMIFS($H$6:$H$305,$D$6:$D$305,D119)),IF(H119&gt;0,1/COUNTIFS($D$6:$D$305,D119,$H$6:$H$305,"&gt;0"),0)))</f>
      </c>
      <c r="BX119" s="37">
        <f>IF(B119="","",IF(BP119=0,0,INDEX(COSTOS_FIJOS!$G$40:$AD$40,BP119))*BW119)</f>
      </c>
      <c r="BY119" s="72">
        <f>IF(B119="","",IF(Metodo_Prorrateo="KG",IF(SUMIFS($I$6:$I$305,$D$6:$D$305,D119)=0,0,I119/SUMIFS($I$6:$I$305,$D$6:$D$305,D119)),IF(I119&gt;0,1/COUNTIFS($D$6:$D$305,D119,$I$6:$I$305,"&gt;0"),0)))</f>
      </c>
      <c r="BZ119" s="37">
        <f>IF(B119="","",IF(BP119=0,0,INDEX(COSTOS_FIJOS!$G$41:$AD$41,BP119))*BY119)</f>
      </c>
      <c r="CA119" s="70">
        <f>IF(B119="","",BT119+BV119+BX119+BZ119)</f>
      </c>
      <c r="CB119" s="37">
        <f>IF(B119="","",Q119*Imp_Ventas_Serv)</f>
      </c>
      <c r="CC119" s="37">
        <f>IF(B119="","",Q119*Contrib_Territorial)</f>
      </c>
      <c r="CD119" s="70">
        <f>IF(B119="","",BM119-CA119-CB119-CC119)</f>
      </c>
      <c r="CE119" s="37">
        <f>IF(B119="","",MAX(0,CD119)*Imp_Utilidades)</f>
      </c>
      <c r="CF119" s="70">
        <f>IF(B119="","",CD119-CE119)</f>
      </c>
      <c r="CG119" s="72">
        <f>IF(B119="","",IF(Q119=0,0,CF119/Q119))</f>
      </c>
      <c r="CH119" s="73">
        <f>IF(B119="","",IF(J119=0,0,(BL119+CA119+CB119+CC119)/J119))</f>
      </c>
      <c r="CI119" s="73">
        <f>IF(B119="","",IF(J119=0,0,Q119/J119))</f>
      </c>
      <c r="CJ119" s="73">
        <f>IF(B119="","",IF(J119=0,0,CD119/J119))</f>
      </c>
      <c r="CK119" s="37">
        <f>IF(B119="","",Y119+AE119+BK119+BT119)</f>
      </c>
      <c r="CL119" s="37">
        <f>IF(B119="","",IF(J119=0,0,(M119+P119*G119/J119)*(1-Pct_Reclamaciones-Pct_Banco-Imp_Ventas_Serv-Contrib_Territorial)-AI119-BE119-BV119-CK119*G119/J119))</f>
      </c>
      <c r="CM119" s="37">
        <f>IF(B119="","",IF(J119=0,0,(N119+P119*H119/J119)*(1-Pct_Reclamaciones-Pct_Banco-Imp_Ventas_Serv-Contrib_Territorial)-AS119-BF119-BX119-CK119*H119/J119))</f>
      </c>
      <c r="CN119" s="37">
        <f>IF(B119="","",IF(J119=0,0,(O119+P119*I119/J119)*(1-Pct_Reclamaciones-Pct_Banco-Imp_Ventas_Serv-Contrib_Territorial)-BC119-BG119-BZ119-CK119*I119/J119))</f>
      </c>
      <c r="CO119" s="37">
        <f>IF(B119="","",IF(J119=0,0,ROUND(CD119-CL119-CM119-CN119,4)))</f>
      </c>
      <c r="CP119" s="71">
        <f>IF(B119="","",T119+AG119+AK119+AM119+AU119+AW119)</f>
      </c>
      <c r="CQ119" s="71">
        <f>IF(B119="","",U119+AH119+AL119+AN119+AV119+AX119)</f>
      </c>
      <c r="CR119" s="72">
        <f>IF(B119="","",IF(CP119=0,0,CQ119/CP119-1))</f>
      </c>
      <c r="CS119" s="60">
        <f>IF(B119="","",IF(ENTRADA!$Y119="","",ENTRADA!$Y119-C119))</f>
      </c>
      <c r="CT119" s="66">
        <f>IF(B119="","",IF(ENTRADA!$C119="","Falta fecha. ","")&amp;IF(BP119=0,"Mes fuera del rango de COSTOS_FIJOS. ","")&amp;IF(J119=0,"Sin kg. ","")&amp;IF(E119="","Falta transitaria. ","")&amp;IF(AND(T119&gt;0,U119/T119-1&gt;Tolerancia_Comb),"Combustible al puerto "&amp;TEXT(U119/T119-1,"+0%")&amp;" sobre norma. ","")&amp;IF(AND(AG119&gt;0,AH119/AG119-1&gt;Tolerancia_Comb),"Combustible distribución Occidente "&amp;TEXT(AH119/AG119-1,"+0%")&amp;" sobre norma. ","")&amp;IF(AND(AK119&gt;0,AL119/AK119-1&gt;Tolerancia_Comb),"Combustible traslado Centro "&amp;TEXT(AL119/AK119-1,"+0%")&amp;" sobre norma. ","")&amp;IF(AND(AM119&gt;0,AN119/AM119-1&gt;Tolerancia_Comb),"Combustible distribución Centro "&amp;TEXT(AN119/AM119-1,"+0%")&amp;" sobre norma. ","")&amp;IF(AND(AU119&gt;0,AV119/AU119-1&gt;Tolerancia_Comb),"Combustible traslado Oriente "&amp;TEXT(AV119/AU119-1,"+0%")&amp;" sobre norma. ","")&amp;IF(AND(AW119&gt;0,AX119/AW119-1&gt;Tolerancia_Comb),"Combustible distribución Oriente "&amp;TEXT(AX119/AW119-1,"+0%")&amp;" sobre norma. ","")&amp;IF(AND(ENTRADA!$C119&lt;&gt;"",C119&lt;PRECIOS!$A$6),"Fecha anterior a la 1ª vigencia de precios. ","")&amp;IF(CD119&lt;0,"Contenedor con pérdida. ",""))</f>
      </c>
    </row>
    <row r="120">
      <c r="A120" s="60">
        <f>IF(B120="","",ROW()-5)</f>
      </c>
      <c r="B120" s="63">
        <f>IF(ENTRADA!$B120="","",ENTRADA!$B120)</f>
      </c>
      <c r="C120" s="64">
        <f>IF(B120="","",ENTRADA!$C120)</f>
      </c>
      <c r="D120" s="65">
        <f>IF(B120="","",DATE(YEAR(C120),MONTH(C120),1))</f>
      </c>
      <c r="E120" s="66">
        <f>IF(B120="","",ENTRADA!$D120&amp;"")</f>
      </c>
      <c r="F120" s="66">
        <f>IF(B120="","",ENTRADA!$Z120&amp;"")</f>
      </c>
      <c r="G120" s="67">
        <f>IF(B120="","",N(ENTRADA!$G120))</f>
      </c>
      <c r="H120" s="67">
        <f>IF(B120="","",N(ENTRADA!$H120))</f>
      </c>
      <c r="I120" s="67">
        <f>IF(B120="","",N(ENTRADA!$I120))</f>
      </c>
      <c r="J120" s="68">
        <f>IF(B120="","",G120+H120+I120)</f>
      </c>
      <c r="K120" s="60">
        <f>IF(B120="","",IFERROR(MATCH(SUMPRODUCT(MAX((PRECIOS!$A$6:$A$55&lt;=C120)*PRECIOS!$A$6:$A$55)),PRECIOS!$A$6:$A$55,0),1))</f>
      </c>
      <c r="L120" s="69">
        <f>IF(B120="","",INDEX(PRECIOS!$A$6:$A$55,K120))</f>
      </c>
      <c r="M120" s="37">
        <f>IF(B120="","",G120*INDEX(PRECIOS!$B$6:$B$55,K120))</f>
      </c>
      <c r="N120" s="37">
        <f>IF(B120="","",H120*INDEX(PRECIOS!$C$6:$C$55,K120))</f>
      </c>
      <c r="O120" s="37">
        <f>IF(B120="","",I120*INDEX(PRECIOS!$D$6:$D$55,K120))</f>
      </c>
      <c r="P120" s="37">
        <f>IF(B120="","",N(ENTRADA!$X120))</f>
      </c>
      <c r="Q120" s="70">
        <f>IF(B120="","",M120+N120+O120+P120)</f>
      </c>
      <c r="R120" s="71">
        <f>IF(B120="","",IF(ENTRADA!$J120="",Std_Viajes_Puerto,ENTRADA!$J120))</f>
      </c>
      <c r="S120" s="37">
        <f>IF(B120="","",R120*INDEX(PRECIOS!$F$6:$F$55,K120))</f>
      </c>
      <c r="T120" s="71">
        <f>IF(B120="","",R120*Litros_Puerto_Viaje)</f>
      </c>
      <c r="U120" s="71">
        <f>IF(B120="","",IF(ENTRADA!$K120="",T120,ENTRADA!$K120))</f>
      </c>
      <c r="V120" s="37">
        <f>IF(B120="","",U120*INDEX(PRECIOS!$E$6:$E$55,K120))</f>
      </c>
      <c r="W120" s="37">
        <f>IF(B120="","",IF(ENTRADA!$L120="",R120*INDEX(PRECIOS!$G$6:$G$55,K120),ENTRADA!$L120))</f>
      </c>
      <c r="X120" s="37">
        <f>IF(B120="","",R120*Km_Puerto_Viaje*INDEX(PRECIOS!$N$6:$N$55,K120))</f>
      </c>
      <c r="Y120" s="70">
        <f>IF(B120="","",S120+V120+W120+X120)</f>
      </c>
      <c r="Z120" s="71">
        <f>IF(B120="","",IF(J120=0,0,ROUNDUP(J120/Rend_Desagrupe,0)))</f>
      </c>
      <c r="AA120" s="71">
        <f>IF(B120="","",IF(ENTRADA!$M120="",Z120,ENTRADA!$M120))</f>
      </c>
      <c r="AB120" s="37">
        <f>IF(B120="","",AA120*INDEX(PRECIOS!$H$6:$H$55,K120))</f>
      </c>
      <c r="AC120" s="37">
        <f>IF(B120="","",IF(E120="ENCI",INDEX(PRECIOS!$J$6:$J$55,K120),IF(E120="A.V",INDEX(PRECIOS!$K$6:$K$55,K120),0)))</f>
      </c>
      <c r="AD120" s="37">
        <f>IF(B120="","",N(ENTRADA!$N120))</f>
      </c>
      <c r="AE120" s="70">
        <f>IF(B120="","",AB120+AC120+AD120)</f>
      </c>
      <c r="AF120" s="71">
        <f>IF(B120="","",IF(G120=0,0,ROUNDUP(G120/Cap_Camion_OCC,0)))</f>
      </c>
      <c r="AG120" s="71">
        <f>IF(B120="","",AF120*L_Dist_OCC)</f>
      </c>
      <c r="AH120" s="71">
        <f>IF(B120="","",IF(ENTRADA!$O120="",AG120,ENTRADA!$O120))</f>
      </c>
      <c r="AI120" s="37">
        <f>IF(B120="","",AH120*INDEX(PRECIOS!$E$6:$E$55,K120))</f>
      </c>
      <c r="AJ120" s="71">
        <f>IF(B120="","",IF(H120=0,0,ROUNDUP(H120/Cap_Camion_CEN,0)))</f>
      </c>
      <c r="AK120" s="71">
        <f>IF(B120="","",AJ120*L_Tras_CEN)</f>
      </c>
      <c r="AL120" s="71">
        <f>IF(B120="","",IF(ENTRADA!$P120="",AK120,ENTRADA!$P120))</f>
      </c>
      <c r="AM120" s="71">
        <f>IF(B120="","",AJ120*L_Dist_CEN)</f>
      </c>
      <c r="AN120" s="71">
        <f>IF(B120="","",IF(ENTRADA!$Q120="",AM120,ENTRADA!$Q120))</f>
      </c>
      <c r="AO120" s="37">
        <f>IF(B120="","",(AL120+AN120)*INDEX(PRECIOS!$E$6:$E$55,K120))</f>
      </c>
      <c r="AP120" s="71">
        <f>IF(B120="","",IF(H120=0,0,ROUNDUP(H120/Rend_Desagrupe_CT,0)))</f>
      </c>
      <c r="AQ120" s="71">
        <f>IF(B120="","",IF(ENTRADA!$R120="",AP120,ENTRADA!$R120))</f>
      </c>
      <c r="AR120" s="37">
        <f>IF(B120="","",AQ120*INDEX(PRECIOS!$I$6:$I$55,K120))</f>
      </c>
      <c r="AS120" s="37">
        <f>IF(B120="","",AO120+AR120)</f>
      </c>
      <c r="AT120" s="71">
        <f>IF(B120="","",IF(I120=0,0,ROUNDUP(I120/Cap_Camion_ORI,0)))</f>
      </c>
      <c r="AU120" s="71">
        <f>IF(B120="","",AT120*L_Tras_ORI)</f>
      </c>
      <c r="AV120" s="71">
        <f>IF(B120="","",IF(ENTRADA!$S120="",AU120,ENTRADA!$S120))</f>
      </c>
      <c r="AW120" s="71">
        <f>IF(B120="","",AT120*L_Dist_ORI)</f>
      </c>
      <c r="AX120" s="71">
        <f>IF(B120="","",IF(ENTRADA!$T120="",AW120,ENTRADA!$T120))</f>
      </c>
      <c r="AY120" s="37">
        <f>IF(B120="","",(AV120+AX120)*INDEX(PRECIOS!$E$6:$E$55,K120))</f>
      </c>
      <c r="AZ120" s="71">
        <f>IF(B120="","",IF(I120=0,0,ROUNDUP(I120/Rend_Desagrupe_CT,0)))</f>
      </c>
      <c r="BA120" s="71">
        <f>IF(B120="","",IF(ENTRADA!$U120="",AZ120,ENTRADA!$U120))</f>
      </c>
      <c r="BB120" s="37">
        <f>IF(B120="","",BA120*INDEX(PRECIOS!$I$6:$I$55,K120))</f>
      </c>
      <c r="BC120" s="37">
        <f>IF(B120="","",AY120+BB120)</f>
      </c>
      <c r="BD120" s="70">
        <f>IF(B120="","",AI120+AS120+BC120)</f>
      </c>
      <c r="BE120" s="37">
        <f>IF(B120="","",IF(Base_Comision="% DEL INGRESO",M120*INDEX(PRECIOS!$L$6:$L$55,K120),G120*INDEX(PRECIOS!$M$6:$M$55,K120)))</f>
      </c>
      <c r="BF120" s="37">
        <f>IF(B120="","",IF(Base_Comision="% DEL INGRESO",N120*INDEX(PRECIOS!$L$6:$L$55,K120),H120*INDEX(PRECIOS!$M$6:$M$55,K120)))</f>
      </c>
      <c r="BG120" s="37">
        <f>IF(B120="","",IF(Base_Comision="% DEL INGRESO",O120*INDEX(PRECIOS!$L$6:$L$55,K120),I120*INDEX(PRECIOS!$M$6:$M$55,K120)))</f>
      </c>
      <c r="BH120" s="70">
        <f>IF(B120="","",BE120+BF120+BG120)</f>
      </c>
      <c r="BI120" s="37">
        <f>IF(B120="","",Q120*Pct_Reclamaciones)</f>
      </c>
      <c r="BJ120" s="37">
        <f>IF(B120="","",Q120*Pct_Banco)</f>
      </c>
      <c r="BK120" s="37">
        <f>IF(B120="","",N(ENTRADA!$V120))</f>
      </c>
      <c r="BL120" s="70">
        <f>IF(B120="","",Y120+AE120+BD120+BH120+BI120+BJ120+BK120)</f>
      </c>
      <c r="BM120" s="70">
        <f>IF(B120="","",Q120-BL120)</f>
      </c>
      <c r="BN120" s="72">
        <f>IF(B120="","",IF(Q120=0,0,BM120/Q120))</f>
      </c>
      <c r="BO120" s="73">
        <f>IF(B120="","",IF(J120=0,0,BM120/J120))</f>
      </c>
      <c r="BP120" s="60">
        <f>IF(B120="","",IFERROR(MATCH(D120,COSTOS_FIJOS!$G$5:$AD$5,0),0))</f>
      </c>
      <c r="BQ120" s="60">
        <f>IF(B120="","",COUNTIFS($D$6:$D$305,D120))</f>
      </c>
      <c r="BR120" s="67">
        <f>IF(B120="","",SUMIFS($J$6:$J$305,$D$6:$D$305,D120))</f>
      </c>
      <c r="BS120" s="72">
        <f>IF(B120="","",IF(Metodo_Prorrateo="KG",IF(BR120=0,0,J120/BR120),1/BQ120))</f>
      </c>
      <c r="BT120" s="37">
        <f>IF(B120="","",IF(BP120=0,0,INDEX(COSTOS_FIJOS!$G$38:$AD$38,BP120))*BS120)</f>
      </c>
      <c r="BU120" s="72">
        <f>IF(B120="","",IF(Metodo_Prorrateo="KG",IF(SUMIFS($G$6:$G$305,$D$6:$D$305,D120)=0,0,G120/SUMIFS($G$6:$G$305,$D$6:$D$305,D120)),IF(G120&gt;0,1/COUNTIFS($D$6:$D$305,D120,$G$6:$G$305,"&gt;0"),0)))</f>
      </c>
      <c r="BV120" s="37">
        <f>IF(B120="","",IF(BP120=0,0,INDEX(COSTOS_FIJOS!$G$39:$AD$39,BP120))*BU120)</f>
      </c>
      <c r="BW120" s="72">
        <f>IF(B120="","",IF(Metodo_Prorrateo="KG",IF(SUMIFS($H$6:$H$305,$D$6:$D$305,D120)=0,0,H120/SUMIFS($H$6:$H$305,$D$6:$D$305,D120)),IF(H120&gt;0,1/COUNTIFS($D$6:$D$305,D120,$H$6:$H$305,"&gt;0"),0)))</f>
      </c>
      <c r="BX120" s="37">
        <f>IF(B120="","",IF(BP120=0,0,INDEX(COSTOS_FIJOS!$G$40:$AD$40,BP120))*BW120)</f>
      </c>
      <c r="BY120" s="72">
        <f>IF(B120="","",IF(Metodo_Prorrateo="KG",IF(SUMIFS($I$6:$I$305,$D$6:$D$305,D120)=0,0,I120/SUMIFS($I$6:$I$305,$D$6:$D$305,D120)),IF(I120&gt;0,1/COUNTIFS($D$6:$D$305,D120,$I$6:$I$305,"&gt;0"),0)))</f>
      </c>
      <c r="BZ120" s="37">
        <f>IF(B120="","",IF(BP120=0,0,INDEX(COSTOS_FIJOS!$G$41:$AD$41,BP120))*BY120)</f>
      </c>
      <c r="CA120" s="70">
        <f>IF(B120="","",BT120+BV120+BX120+BZ120)</f>
      </c>
      <c r="CB120" s="37">
        <f>IF(B120="","",Q120*Imp_Ventas_Serv)</f>
      </c>
      <c r="CC120" s="37">
        <f>IF(B120="","",Q120*Contrib_Territorial)</f>
      </c>
      <c r="CD120" s="70">
        <f>IF(B120="","",BM120-CA120-CB120-CC120)</f>
      </c>
      <c r="CE120" s="37">
        <f>IF(B120="","",MAX(0,CD120)*Imp_Utilidades)</f>
      </c>
      <c r="CF120" s="70">
        <f>IF(B120="","",CD120-CE120)</f>
      </c>
      <c r="CG120" s="72">
        <f>IF(B120="","",IF(Q120=0,0,CF120/Q120))</f>
      </c>
      <c r="CH120" s="73">
        <f>IF(B120="","",IF(J120=0,0,(BL120+CA120+CB120+CC120)/J120))</f>
      </c>
      <c r="CI120" s="73">
        <f>IF(B120="","",IF(J120=0,0,Q120/J120))</f>
      </c>
      <c r="CJ120" s="73">
        <f>IF(B120="","",IF(J120=0,0,CD120/J120))</f>
      </c>
      <c r="CK120" s="37">
        <f>IF(B120="","",Y120+AE120+BK120+BT120)</f>
      </c>
      <c r="CL120" s="37">
        <f>IF(B120="","",IF(J120=0,0,(M120+P120*G120/J120)*(1-Pct_Reclamaciones-Pct_Banco-Imp_Ventas_Serv-Contrib_Territorial)-AI120-BE120-BV120-CK120*G120/J120))</f>
      </c>
      <c r="CM120" s="37">
        <f>IF(B120="","",IF(J120=0,0,(N120+P120*H120/J120)*(1-Pct_Reclamaciones-Pct_Banco-Imp_Ventas_Serv-Contrib_Territorial)-AS120-BF120-BX120-CK120*H120/J120))</f>
      </c>
      <c r="CN120" s="37">
        <f>IF(B120="","",IF(J120=0,0,(O120+P120*I120/J120)*(1-Pct_Reclamaciones-Pct_Banco-Imp_Ventas_Serv-Contrib_Territorial)-BC120-BG120-BZ120-CK120*I120/J120))</f>
      </c>
      <c r="CO120" s="37">
        <f>IF(B120="","",IF(J120=0,0,ROUND(CD120-CL120-CM120-CN120,4)))</f>
      </c>
      <c r="CP120" s="71">
        <f>IF(B120="","",T120+AG120+AK120+AM120+AU120+AW120)</f>
      </c>
      <c r="CQ120" s="71">
        <f>IF(B120="","",U120+AH120+AL120+AN120+AV120+AX120)</f>
      </c>
      <c r="CR120" s="72">
        <f>IF(B120="","",IF(CP120=0,0,CQ120/CP120-1))</f>
      </c>
      <c r="CS120" s="60">
        <f>IF(B120="","",IF(ENTRADA!$Y120="","",ENTRADA!$Y120-C120))</f>
      </c>
      <c r="CT120" s="66">
        <f>IF(B120="","",IF(ENTRADA!$C120="","Falta fecha. ","")&amp;IF(BP120=0,"Mes fuera del rango de COSTOS_FIJOS. ","")&amp;IF(J120=0,"Sin kg. ","")&amp;IF(E120="","Falta transitaria. ","")&amp;IF(AND(T120&gt;0,U120/T120-1&gt;Tolerancia_Comb),"Combustible al puerto "&amp;TEXT(U120/T120-1,"+0%")&amp;" sobre norma. ","")&amp;IF(AND(AG120&gt;0,AH120/AG120-1&gt;Tolerancia_Comb),"Combustible distribución Occidente "&amp;TEXT(AH120/AG120-1,"+0%")&amp;" sobre norma. ","")&amp;IF(AND(AK120&gt;0,AL120/AK120-1&gt;Tolerancia_Comb),"Combustible traslado Centro "&amp;TEXT(AL120/AK120-1,"+0%")&amp;" sobre norma. ","")&amp;IF(AND(AM120&gt;0,AN120/AM120-1&gt;Tolerancia_Comb),"Combustible distribución Centro "&amp;TEXT(AN120/AM120-1,"+0%")&amp;" sobre norma. ","")&amp;IF(AND(AU120&gt;0,AV120/AU120-1&gt;Tolerancia_Comb),"Combustible traslado Oriente "&amp;TEXT(AV120/AU120-1,"+0%")&amp;" sobre norma. ","")&amp;IF(AND(AW120&gt;0,AX120/AW120-1&gt;Tolerancia_Comb),"Combustible distribución Oriente "&amp;TEXT(AX120/AW120-1,"+0%")&amp;" sobre norma. ","")&amp;IF(AND(ENTRADA!$C120&lt;&gt;"",C120&lt;PRECIOS!$A$6),"Fecha anterior a la 1ª vigencia de precios. ","")&amp;IF(CD120&lt;0,"Contenedor con pérdida. ",""))</f>
      </c>
    </row>
    <row r="121">
      <c r="A121" s="60">
        <f>IF(B121="","",ROW()-5)</f>
      </c>
      <c r="B121" s="63">
        <f>IF(ENTRADA!$B121="","",ENTRADA!$B121)</f>
      </c>
      <c r="C121" s="64">
        <f>IF(B121="","",ENTRADA!$C121)</f>
      </c>
      <c r="D121" s="65">
        <f>IF(B121="","",DATE(YEAR(C121),MONTH(C121),1))</f>
      </c>
      <c r="E121" s="66">
        <f>IF(B121="","",ENTRADA!$D121&amp;"")</f>
      </c>
      <c r="F121" s="66">
        <f>IF(B121="","",ENTRADA!$Z121&amp;"")</f>
      </c>
      <c r="G121" s="67">
        <f>IF(B121="","",N(ENTRADA!$G121))</f>
      </c>
      <c r="H121" s="67">
        <f>IF(B121="","",N(ENTRADA!$H121))</f>
      </c>
      <c r="I121" s="67">
        <f>IF(B121="","",N(ENTRADA!$I121))</f>
      </c>
      <c r="J121" s="68">
        <f>IF(B121="","",G121+H121+I121)</f>
      </c>
      <c r="K121" s="60">
        <f>IF(B121="","",IFERROR(MATCH(SUMPRODUCT(MAX((PRECIOS!$A$6:$A$55&lt;=C121)*PRECIOS!$A$6:$A$55)),PRECIOS!$A$6:$A$55,0),1))</f>
      </c>
      <c r="L121" s="69">
        <f>IF(B121="","",INDEX(PRECIOS!$A$6:$A$55,K121))</f>
      </c>
      <c r="M121" s="37">
        <f>IF(B121="","",G121*INDEX(PRECIOS!$B$6:$B$55,K121))</f>
      </c>
      <c r="N121" s="37">
        <f>IF(B121="","",H121*INDEX(PRECIOS!$C$6:$C$55,K121))</f>
      </c>
      <c r="O121" s="37">
        <f>IF(B121="","",I121*INDEX(PRECIOS!$D$6:$D$55,K121))</f>
      </c>
      <c r="P121" s="37">
        <f>IF(B121="","",N(ENTRADA!$X121))</f>
      </c>
      <c r="Q121" s="70">
        <f>IF(B121="","",M121+N121+O121+P121)</f>
      </c>
      <c r="R121" s="71">
        <f>IF(B121="","",IF(ENTRADA!$J121="",Std_Viajes_Puerto,ENTRADA!$J121))</f>
      </c>
      <c r="S121" s="37">
        <f>IF(B121="","",R121*INDEX(PRECIOS!$F$6:$F$55,K121))</f>
      </c>
      <c r="T121" s="71">
        <f>IF(B121="","",R121*Litros_Puerto_Viaje)</f>
      </c>
      <c r="U121" s="71">
        <f>IF(B121="","",IF(ENTRADA!$K121="",T121,ENTRADA!$K121))</f>
      </c>
      <c r="V121" s="37">
        <f>IF(B121="","",U121*INDEX(PRECIOS!$E$6:$E$55,K121))</f>
      </c>
      <c r="W121" s="37">
        <f>IF(B121="","",IF(ENTRADA!$L121="",R121*INDEX(PRECIOS!$G$6:$G$55,K121),ENTRADA!$L121))</f>
      </c>
      <c r="X121" s="37">
        <f>IF(B121="","",R121*Km_Puerto_Viaje*INDEX(PRECIOS!$N$6:$N$55,K121))</f>
      </c>
      <c r="Y121" s="70">
        <f>IF(B121="","",S121+V121+W121+X121)</f>
      </c>
      <c r="Z121" s="71">
        <f>IF(B121="","",IF(J121=0,0,ROUNDUP(J121/Rend_Desagrupe,0)))</f>
      </c>
      <c r="AA121" s="71">
        <f>IF(B121="","",IF(ENTRADA!$M121="",Z121,ENTRADA!$M121))</f>
      </c>
      <c r="AB121" s="37">
        <f>IF(B121="","",AA121*INDEX(PRECIOS!$H$6:$H$55,K121))</f>
      </c>
      <c r="AC121" s="37">
        <f>IF(B121="","",IF(E121="ENCI",INDEX(PRECIOS!$J$6:$J$55,K121),IF(E121="A.V",INDEX(PRECIOS!$K$6:$K$55,K121),0)))</f>
      </c>
      <c r="AD121" s="37">
        <f>IF(B121="","",N(ENTRADA!$N121))</f>
      </c>
      <c r="AE121" s="70">
        <f>IF(B121="","",AB121+AC121+AD121)</f>
      </c>
      <c r="AF121" s="71">
        <f>IF(B121="","",IF(G121=0,0,ROUNDUP(G121/Cap_Camion_OCC,0)))</f>
      </c>
      <c r="AG121" s="71">
        <f>IF(B121="","",AF121*L_Dist_OCC)</f>
      </c>
      <c r="AH121" s="71">
        <f>IF(B121="","",IF(ENTRADA!$O121="",AG121,ENTRADA!$O121))</f>
      </c>
      <c r="AI121" s="37">
        <f>IF(B121="","",AH121*INDEX(PRECIOS!$E$6:$E$55,K121))</f>
      </c>
      <c r="AJ121" s="71">
        <f>IF(B121="","",IF(H121=0,0,ROUNDUP(H121/Cap_Camion_CEN,0)))</f>
      </c>
      <c r="AK121" s="71">
        <f>IF(B121="","",AJ121*L_Tras_CEN)</f>
      </c>
      <c r="AL121" s="71">
        <f>IF(B121="","",IF(ENTRADA!$P121="",AK121,ENTRADA!$P121))</f>
      </c>
      <c r="AM121" s="71">
        <f>IF(B121="","",AJ121*L_Dist_CEN)</f>
      </c>
      <c r="AN121" s="71">
        <f>IF(B121="","",IF(ENTRADA!$Q121="",AM121,ENTRADA!$Q121))</f>
      </c>
      <c r="AO121" s="37">
        <f>IF(B121="","",(AL121+AN121)*INDEX(PRECIOS!$E$6:$E$55,K121))</f>
      </c>
      <c r="AP121" s="71">
        <f>IF(B121="","",IF(H121=0,0,ROUNDUP(H121/Rend_Desagrupe_CT,0)))</f>
      </c>
      <c r="AQ121" s="71">
        <f>IF(B121="","",IF(ENTRADA!$R121="",AP121,ENTRADA!$R121))</f>
      </c>
      <c r="AR121" s="37">
        <f>IF(B121="","",AQ121*INDEX(PRECIOS!$I$6:$I$55,K121))</f>
      </c>
      <c r="AS121" s="37">
        <f>IF(B121="","",AO121+AR121)</f>
      </c>
      <c r="AT121" s="71">
        <f>IF(B121="","",IF(I121=0,0,ROUNDUP(I121/Cap_Camion_ORI,0)))</f>
      </c>
      <c r="AU121" s="71">
        <f>IF(B121="","",AT121*L_Tras_ORI)</f>
      </c>
      <c r="AV121" s="71">
        <f>IF(B121="","",IF(ENTRADA!$S121="",AU121,ENTRADA!$S121))</f>
      </c>
      <c r="AW121" s="71">
        <f>IF(B121="","",AT121*L_Dist_ORI)</f>
      </c>
      <c r="AX121" s="71">
        <f>IF(B121="","",IF(ENTRADA!$T121="",AW121,ENTRADA!$T121))</f>
      </c>
      <c r="AY121" s="37">
        <f>IF(B121="","",(AV121+AX121)*INDEX(PRECIOS!$E$6:$E$55,K121))</f>
      </c>
      <c r="AZ121" s="71">
        <f>IF(B121="","",IF(I121=0,0,ROUNDUP(I121/Rend_Desagrupe_CT,0)))</f>
      </c>
      <c r="BA121" s="71">
        <f>IF(B121="","",IF(ENTRADA!$U121="",AZ121,ENTRADA!$U121))</f>
      </c>
      <c r="BB121" s="37">
        <f>IF(B121="","",BA121*INDEX(PRECIOS!$I$6:$I$55,K121))</f>
      </c>
      <c r="BC121" s="37">
        <f>IF(B121="","",AY121+BB121)</f>
      </c>
      <c r="BD121" s="70">
        <f>IF(B121="","",AI121+AS121+BC121)</f>
      </c>
      <c r="BE121" s="37">
        <f>IF(B121="","",IF(Base_Comision="% DEL INGRESO",M121*INDEX(PRECIOS!$L$6:$L$55,K121),G121*INDEX(PRECIOS!$M$6:$M$55,K121)))</f>
      </c>
      <c r="BF121" s="37">
        <f>IF(B121="","",IF(Base_Comision="% DEL INGRESO",N121*INDEX(PRECIOS!$L$6:$L$55,K121),H121*INDEX(PRECIOS!$M$6:$M$55,K121)))</f>
      </c>
      <c r="BG121" s="37">
        <f>IF(B121="","",IF(Base_Comision="% DEL INGRESO",O121*INDEX(PRECIOS!$L$6:$L$55,K121),I121*INDEX(PRECIOS!$M$6:$M$55,K121)))</f>
      </c>
      <c r="BH121" s="70">
        <f>IF(B121="","",BE121+BF121+BG121)</f>
      </c>
      <c r="BI121" s="37">
        <f>IF(B121="","",Q121*Pct_Reclamaciones)</f>
      </c>
      <c r="BJ121" s="37">
        <f>IF(B121="","",Q121*Pct_Banco)</f>
      </c>
      <c r="BK121" s="37">
        <f>IF(B121="","",N(ENTRADA!$V121))</f>
      </c>
      <c r="BL121" s="70">
        <f>IF(B121="","",Y121+AE121+BD121+BH121+BI121+BJ121+BK121)</f>
      </c>
      <c r="BM121" s="70">
        <f>IF(B121="","",Q121-BL121)</f>
      </c>
      <c r="BN121" s="72">
        <f>IF(B121="","",IF(Q121=0,0,BM121/Q121))</f>
      </c>
      <c r="BO121" s="73">
        <f>IF(B121="","",IF(J121=0,0,BM121/J121))</f>
      </c>
      <c r="BP121" s="60">
        <f>IF(B121="","",IFERROR(MATCH(D121,COSTOS_FIJOS!$G$5:$AD$5,0),0))</f>
      </c>
      <c r="BQ121" s="60">
        <f>IF(B121="","",COUNTIFS($D$6:$D$305,D121))</f>
      </c>
      <c r="BR121" s="67">
        <f>IF(B121="","",SUMIFS($J$6:$J$305,$D$6:$D$305,D121))</f>
      </c>
      <c r="BS121" s="72">
        <f>IF(B121="","",IF(Metodo_Prorrateo="KG",IF(BR121=0,0,J121/BR121),1/BQ121))</f>
      </c>
      <c r="BT121" s="37">
        <f>IF(B121="","",IF(BP121=0,0,INDEX(COSTOS_FIJOS!$G$38:$AD$38,BP121))*BS121)</f>
      </c>
      <c r="BU121" s="72">
        <f>IF(B121="","",IF(Metodo_Prorrateo="KG",IF(SUMIFS($G$6:$G$305,$D$6:$D$305,D121)=0,0,G121/SUMIFS($G$6:$G$305,$D$6:$D$305,D121)),IF(G121&gt;0,1/COUNTIFS($D$6:$D$305,D121,$G$6:$G$305,"&gt;0"),0)))</f>
      </c>
      <c r="BV121" s="37">
        <f>IF(B121="","",IF(BP121=0,0,INDEX(COSTOS_FIJOS!$G$39:$AD$39,BP121))*BU121)</f>
      </c>
      <c r="BW121" s="72">
        <f>IF(B121="","",IF(Metodo_Prorrateo="KG",IF(SUMIFS($H$6:$H$305,$D$6:$D$305,D121)=0,0,H121/SUMIFS($H$6:$H$305,$D$6:$D$305,D121)),IF(H121&gt;0,1/COUNTIFS($D$6:$D$305,D121,$H$6:$H$305,"&gt;0"),0)))</f>
      </c>
      <c r="BX121" s="37">
        <f>IF(B121="","",IF(BP121=0,0,INDEX(COSTOS_FIJOS!$G$40:$AD$40,BP121))*BW121)</f>
      </c>
      <c r="BY121" s="72">
        <f>IF(B121="","",IF(Metodo_Prorrateo="KG",IF(SUMIFS($I$6:$I$305,$D$6:$D$305,D121)=0,0,I121/SUMIFS($I$6:$I$305,$D$6:$D$305,D121)),IF(I121&gt;0,1/COUNTIFS($D$6:$D$305,D121,$I$6:$I$305,"&gt;0"),0)))</f>
      </c>
      <c r="BZ121" s="37">
        <f>IF(B121="","",IF(BP121=0,0,INDEX(COSTOS_FIJOS!$G$41:$AD$41,BP121))*BY121)</f>
      </c>
      <c r="CA121" s="70">
        <f>IF(B121="","",BT121+BV121+BX121+BZ121)</f>
      </c>
      <c r="CB121" s="37">
        <f>IF(B121="","",Q121*Imp_Ventas_Serv)</f>
      </c>
      <c r="CC121" s="37">
        <f>IF(B121="","",Q121*Contrib_Territorial)</f>
      </c>
      <c r="CD121" s="70">
        <f>IF(B121="","",BM121-CA121-CB121-CC121)</f>
      </c>
      <c r="CE121" s="37">
        <f>IF(B121="","",MAX(0,CD121)*Imp_Utilidades)</f>
      </c>
      <c r="CF121" s="70">
        <f>IF(B121="","",CD121-CE121)</f>
      </c>
      <c r="CG121" s="72">
        <f>IF(B121="","",IF(Q121=0,0,CF121/Q121))</f>
      </c>
      <c r="CH121" s="73">
        <f>IF(B121="","",IF(J121=0,0,(BL121+CA121+CB121+CC121)/J121))</f>
      </c>
      <c r="CI121" s="73">
        <f>IF(B121="","",IF(J121=0,0,Q121/J121))</f>
      </c>
      <c r="CJ121" s="73">
        <f>IF(B121="","",IF(J121=0,0,CD121/J121))</f>
      </c>
      <c r="CK121" s="37">
        <f>IF(B121="","",Y121+AE121+BK121+BT121)</f>
      </c>
      <c r="CL121" s="37">
        <f>IF(B121="","",IF(J121=0,0,(M121+P121*G121/J121)*(1-Pct_Reclamaciones-Pct_Banco-Imp_Ventas_Serv-Contrib_Territorial)-AI121-BE121-BV121-CK121*G121/J121))</f>
      </c>
      <c r="CM121" s="37">
        <f>IF(B121="","",IF(J121=0,0,(N121+P121*H121/J121)*(1-Pct_Reclamaciones-Pct_Banco-Imp_Ventas_Serv-Contrib_Territorial)-AS121-BF121-BX121-CK121*H121/J121))</f>
      </c>
      <c r="CN121" s="37">
        <f>IF(B121="","",IF(J121=0,0,(O121+P121*I121/J121)*(1-Pct_Reclamaciones-Pct_Banco-Imp_Ventas_Serv-Contrib_Territorial)-BC121-BG121-BZ121-CK121*I121/J121))</f>
      </c>
      <c r="CO121" s="37">
        <f>IF(B121="","",IF(J121=0,0,ROUND(CD121-CL121-CM121-CN121,4)))</f>
      </c>
      <c r="CP121" s="71">
        <f>IF(B121="","",T121+AG121+AK121+AM121+AU121+AW121)</f>
      </c>
      <c r="CQ121" s="71">
        <f>IF(B121="","",U121+AH121+AL121+AN121+AV121+AX121)</f>
      </c>
      <c r="CR121" s="72">
        <f>IF(B121="","",IF(CP121=0,0,CQ121/CP121-1))</f>
      </c>
      <c r="CS121" s="60">
        <f>IF(B121="","",IF(ENTRADA!$Y121="","",ENTRADA!$Y121-C121))</f>
      </c>
      <c r="CT121" s="66">
        <f>IF(B121="","",IF(ENTRADA!$C121="","Falta fecha. ","")&amp;IF(BP121=0,"Mes fuera del rango de COSTOS_FIJOS. ","")&amp;IF(J121=0,"Sin kg. ","")&amp;IF(E121="","Falta transitaria. ","")&amp;IF(AND(T121&gt;0,U121/T121-1&gt;Tolerancia_Comb),"Combustible al puerto "&amp;TEXT(U121/T121-1,"+0%")&amp;" sobre norma. ","")&amp;IF(AND(AG121&gt;0,AH121/AG121-1&gt;Tolerancia_Comb),"Combustible distribución Occidente "&amp;TEXT(AH121/AG121-1,"+0%")&amp;" sobre norma. ","")&amp;IF(AND(AK121&gt;0,AL121/AK121-1&gt;Tolerancia_Comb),"Combustible traslado Centro "&amp;TEXT(AL121/AK121-1,"+0%")&amp;" sobre norma. ","")&amp;IF(AND(AM121&gt;0,AN121/AM121-1&gt;Tolerancia_Comb),"Combustible distribución Centro "&amp;TEXT(AN121/AM121-1,"+0%")&amp;" sobre norma. ","")&amp;IF(AND(AU121&gt;0,AV121/AU121-1&gt;Tolerancia_Comb),"Combustible traslado Oriente "&amp;TEXT(AV121/AU121-1,"+0%")&amp;" sobre norma. ","")&amp;IF(AND(AW121&gt;0,AX121/AW121-1&gt;Tolerancia_Comb),"Combustible distribución Oriente "&amp;TEXT(AX121/AW121-1,"+0%")&amp;" sobre norma. ","")&amp;IF(AND(ENTRADA!$C121&lt;&gt;"",C121&lt;PRECIOS!$A$6),"Fecha anterior a la 1ª vigencia de precios. ","")&amp;IF(CD121&lt;0,"Contenedor con pérdida. ",""))</f>
      </c>
    </row>
    <row r="122">
      <c r="A122" s="60">
        <f>IF(B122="","",ROW()-5)</f>
      </c>
      <c r="B122" s="63">
        <f>IF(ENTRADA!$B122="","",ENTRADA!$B122)</f>
      </c>
      <c r="C122" s="64">
        <f>IF(B122="","",ENTRADA!$C122)</f>
      </c>
      <c r="D122" s="65">
        <f>IF(B122="","",DATE(YEAR(C122),MONTH(C122),1))</f>
      </c>
      <c r="E122" s="66">
        <f>IF(B122="","",ENTRADA!$D122&amp;"")</f>
      </c>
      <c r="F122" s="66">
        <f>IF(B122="","",ENTRADA!$Z122&amp;"")</f>
      </c>
      <c r="G122" s="67">
        <f>IF(B122="","",N(ENTRADA!$G122))</f>
      </c>
      <c r="H122" s="67">
        <f>IF(B122="","",N(ENTRADA!$H122))</f>
      </c>
      <c r="I122" s="67">
        <f>IF(B122="","",N(ENTRADA!$I122))</f>
      </c>
      <c r="J122" s="68">
        <f>IF(B122="","",G122+H122+I122)</f>
      </c>
      <c r="K122" s="60">
        <f>IF(B122="","",IFERROR(MATCH(SUMPRODUCT(MAX((PRECIOS!$A$6:$A$55&lt;=C122)*PRECIOS!$A$6:$A$55)),PRECIOS!$A$6:$A$55,0),1))</f>
      </c>
      <c r="L122" s="69">
        <f>IF(B122="","",INDEX(PRECIOS!$A$6:$A$55,K122))</f>
      </c>
      <c r="M122" s="37">
        <f>IF(B122="","",G122*INDEX(PRECIOS!$B$6:$B$55,K122))</f>
      </c>
      <c r="N122" s="37">
        <f>IF(B122="","",H122*INDEX(PRECIOS!$C$6:$C$55,K122))</f>
      </c>
      <c r="O122" s="37">
        <f>IF(B122="","",I122*INDEX(PRECIOS!$D$6:$D$55,K122))</f>
      </c>
      <c r="P122" s="37">
        <f>IF(B122="","",N(ENTRADA!$X122))</f>
      </c>
      <c r="Q122" s="70">
        <f>IF(B122="","",M122+N122+O122+P122)</f>
      </c>
      <c r="R122" s="71">
        <f>IF(B122="","",IF(ENTRADA!$J122="",Std_Viajes_Puerto,ENTRADA!$J122))</f>
      </c>
      <c r="S122" s="37">
        <f>IF(B122="","",R122*INDEX(PRECIOS!$F$6:$F$55,K122))</f>
      </c>
      <c r="T122" s="71">
        <f>IF(B122="","",R122*Litros_Puerto_Viaje)</f>
      </c>
      <c r="U122" s="71">
        <f>IF(B122="","",IF(ENTRADA!$K122="",T122,ENTRADA!$K122))</f>
      </c>
      <c r="V122" s="37">
        <f>IF(B122="","",U122*INDEX(PRECIOS!$E$6:$E$55,K122))</f>
      </c>
      <c r="W122" s="37">
        <f>IF(B122="","",IF(ENTRADA!$L122="",R122*INDEX(PRECIOS!$G$6:$G$55,K122),ENTRADA!$L122))</f>
      </c>
      <c r="X122" s="37">
        <f>IF(B122="","",R122*Km_Puerto_Viaje*INDEX(PRECIOS!$N$6:$N$55,K122))</f>
      </c>
      <c r="Y122" s="70">
        <f>IF(B122="","",S122+V122+W122+X122)</f>
      </c>
      <c r="Z122" s="71">
        <f>IF(B122="","",IF(J122=0,0,ROUNDUP(J122/Rend_Desagrupe,0)))</f>
      </c>
      <c r="AA122" s="71">
        <f>IF(B122="","",IF(ENTRADA!$M122="",Z122,ENTRADA!$M122))</f>
      </c>
      <c r="AB122" s="37">
        <f>IF(B122="","",AA122*INDEX(PRECIOS!$H$6:$H$55,K122))</f>
      </c>
      <c r="AC122" s="37">
        <f>IF(B122="","",IF(E122="ENCI",INDEX(PRECIOS!$J$6:$J$55,K122),IF(E122="A.V",INDEX(PRECIOS!$K$6:$K$55,K122),0)))</f>
      </c>
      <c r="AD122" s="37">
        <f>IF(B122="","",N(ENTRADA!$N122))</f>
      </c>
      <c r="AE122" s="70">
        <f>IF(B122="","",AB122+AC122+AD122)</f>
      </c>
      <c r="AF122" s="71">
        <f>IF(B122="","",IF(G122=0,0,ROUNDUP(G122/Cap_Camion_OCC,0)))</f>
      </c>
      <c r="AG122" s="71">
        <f>IF(B122="","",AF122*L_Dist_OCC)</f>
      </c>
      <c r="AH122" s="71">
        <f>IF(B122="","",IF(ENTRADA!$O122="",AG122,ENTRADA!$O122))</f>
      </c>
      <c r="AI122" s="37">
        <f>IF(B122="","",AH122*INDEX(PRECIOS!$E$6:$E$55,K122))</f>
      </c>
      <c r="AJ122" s="71">
        <f>IF(B122="","",IF(H122=0,0,ROUNDUP(H122/Cap_Camion_CEN,0)))</f>
      </c>
      <c r="AK122" s="71">
        <f>IF(B122="","",AJ122*L_Tras_CEN)</f>
      </c>
      <c r="AL122" s="71">
        <f>IF(B122="","",IF(ENTRADA!$P122="",AK122,ENTRADA!$P122))</f>
      </c>
      <c r="AM122" s="71">
        <f>IF(B122="","",AJ122*L_Dist_CEN)</f>
      </c>
      <c r="AN122" s="71">
        <f>IF(B122="","",IF(ENTRADA!$Q122="",AM122,ENTRADA!$Q122))</f>
      </c>
      <c r="AO122" s="37">
        <f>IF(B122="","",(AL122+AN122)*INDEX(PRECIOS!$E$6:$E$55,K122))</f>
      </c>
      <c r="AP122" s="71">
        <f>IF(B122="","",IF(H122=0,0,ROUNDUP(H122/Rend_Desagrupe_CT,0)))</f>
      </c>
      <c r="AQ122" s="71">
        <f>IF(B122="","",IF(ENTRADA!$R122="",AP122,ENTRADA!$R122))</f>
      </c>
      <c r="AR122" s="37">
        <f>IF(B122="","",AQ122*INDEX(PRECIOS!$I$6:$I$55,K122))</f>
      </c>
      <c r="AS122" s="37">
        <f>IF(B122="","",AO122+AR122)</f>
      </c>
      <c r="AT122" s="71">
        <f>IF(B122="","",IF(I122=0,0,ROUNDUP(I122/Cap_Camion_ORI,0)))</f>
      </c>
      <c r="AU122" s="71">
        <f>IF(B122="","",AT122*L_Tras_ORI)</f>
      </c>
      <c r="AV122" s="71">
        <f>IF(B122="","",IF(ENTRADA!$S122="",AU122,ENTRADA!$S122))</f>
      </c>
      <c r="AW122" s="71">
        <f>IF(B122="","",AT122*L_Dist_ORI)</f>
      </c>
      <c r="AX122" s="71">
        <f>IF(B122="","",IF(ENTRADA!$T122="",AW122,ENTRADA!$T122))</f>
      </c>
      <c r="AY122" s="37">
        <f>IF(B122="","",(AV122+AX122)*INDEX(PRECIOS!$E$6:$E$55,K122))</f>
      </c>
      <c r="AZ122" s="71">
        <f>IF(B122="","",IF(I122=0,0,ROUNDUP(I122/Rend_Desagrupe_CT,0)))</f>
      </c>
      <c r="BA122" s="71">
        <f>IF(B122="","",IF(ENTRADA!$U122="",AZ122,ENTRADA!$U122))</f>
      </c>
      <c r="BB122" s="37">
        <f>IF(B122="","",BA122*INDEX(PRECIOS!$I$6:$I$55,K122))</f>
      </c>
      <c r="BC122" s="37">
        <f>IF(B122="","",AY122+BB122)</f>
      </c>
      <c r="BD122" s="70">
        <f>IF(B122="","",AI122+AS122+BC122)</f>
      </c>
      <c r="BE122" s="37">
        <f>IF(B122="","",IF(Base_Comision="% DEL INGRESO",M122*INDEX(PRECIOS!$L$6:$L$55,K122),G122*INDEX(PRECIOS!$M$6:$M$55,K122)))</f>
      </c>
      <c r="BF122" s="37">
        <f>IF(B122="","",IF(Base_Comision="% DEL INGRESO",N122*INDEX(PRECIOS!$L$6:$L$55,K122),H122*INDEX(PRECIOS!$M$6:$M$55,K122)))</f>
      </c>
      <c r="BG122" s="37">
        <f>IF(B122="","",IF(Base_Comision="% DEL INGRESO",O122*INDEX(PRECIOS!$L$6:$L$55,K122),I122*INDEX(PRECIOS!$M$6:$M$55,K122)))</f>
      </c>
      <c r="BH122" s="70">
        <f>IF(B122="","",BE122+BF122+BG122)</f>
      </c>
      <c r="BI122" s="37">
        <f>IF(B122="","",Q122*Pct_Reclamaciones)</f>
      </c>
      <c r="BJ122" s="37">
        <f>IF(B122="","",Q122*Pct_Banco)</f>
      </c>
      <c r="BK122" s="37">
        <f>IF(B122="","",N(ENTRADA!$V122))</f>
      </c>
      <c r="BL122" s="70">
        <f>IF(B122="","",Y122+AE122+BD122+BH122+BI122+BJ122+BK122)</f>
      </c>
      <c r="BM122" s="70">
        <f>IF(B122="","",Q122-BL122)</f>
      </c>
      <c r="BN122" s="72">
        <f>IF(B122="","",IF(Q122=0,0,BM122/Q122))</f>
      </c>
      <c r="BO122" s="73">
        <f>IF(B122="","",IF(J122=0,0,BM122/J122))</f>
      </c>
      <c r="BP122" s="60">
        <f>IF(B122="","",IFERROR(MATCH(D122,COSTOS_FIJOS!$G$5:$AD$5,0),0))</f>
      </c>
      <c r="BQ122" s="60">
        <f>IF(B122="","",COUNTIFS($D$6:$D$305,D122))</f>
      </c>
      <c r="BR122" s="67">
        <f>IF(B122="","",SUMIFS($J$6:$J$305,$D$6:$D$305,D122))</f>
      </c>
      <c r="BS122" s="72">
        <f>IF(B122="","",IF(Metodo_Prorrateo="KG",IF(BR122=0,0,J122/BR122),1/BQ122))</f>
      </c>
      <c r="BT122" s="37">
        <f>IF(B122="","",IF(BP122=0,0,INDEX(COSTOS_FIJOS!$G$38:$AD$38,BP122))*BS122)</f>
      </c>
      <c r="BU122" s="72">
        <f>IF(B122="","",IF(Metodo_Prorrateo="KG",IF(SUMIFS($G$6:$G$305,$D$6:$D$305,D122)=0,0,G122/SUMIFS($G$6:$G$305,$D$6:$D$305,D122)),IF(G122&gt;0,1/COUNTIFS($D$6:$D$305,D122,$G$6:$G$305,"&gt;0"),0)))</f>
      </c>
      <c r="BV122" s="37">
        <f>IF(B122="","",IF(BP122=0,0,INDEX(COSTOS_FIJOS!$G$39:$AD$39,BP122))*BU122)</f>
      </c>
      <c r="BW122" s="72">
        <f>IF(B122="","",IF(Metodo_Prorrateo="KG",IF(SUMIFS($H$6:$H$305,$D$6:$D$305,D122)=0,0,H122/SUMIFS($H$6:$H$305,$D$6:$D$305,D122)),IF(H122&gt;0,1/COUNTIFS($D$6:$D$305,D122,$H$6:$H$305,"&gt;0"),0)))</f>
      </c>
      <c r="BX122" s="37">
        <f>IF(B122="","",IF(BP122=0,0,INDEX(COSTOS_FIJOS!$G$40:$AD$40,BP122))*BW122)</f>
      </c>
      <c r="BY122" s="72">
        <f>IF(B122="","",IF(Metodo_Prorrateo="KG",IF(SUMIFS($I$6:$I$305,$D$6:$D$305,D122)=0,0,I122/SUMIFS($I$6:$I$305,$D$6:$D$305,D122)),IF(I122&gt;0,1/COUNTIFS($D$6:$D$305,D122,$I$6:$I$305,"&gt;0"),0)))</f>
      </c>
      <c r="BZ122" s="37">
        <f>IF(B122="","",IF(BP122=0,0,INDEX(COSTOS_FIJOS!$G$41:$AD$41,BP122))*BY122)</f>
      </c>
      <c r="CA122" s="70">
        <f>IF(B122="","",BT122+BV122+BX122+BZ122)</f>
      </c>
      <c r="CB122" s="37">
        <f>IF(B122="","",Q122*Imp_Ventas_Serv)</f>
      </c>
      <c r="CC122" s="37">
        <f>IF(B122="","",Q122*Contrib_Territorial)</f>
      </c>
      <c r="CD122" s="70">
        <f>IF(B122="","",BM122-CA122-CB122-CC122)</f>
      </c>
      <c r="CE122" s="37">
        <f>IF(B122="","",MAX(0,CD122)*Imp_Utilidades)</f>
      </c>
      <c r="CF122" s="70">
        <f>IF(B122="","",CD122-CE122)</f>
      </c>
      <c r="CG122" s="72">
        <f>IF(B122="","",IF(Q122=0,0,CF122/Q122))</f>
      </c>
      <c r="CH122" s="73">
        <f>IF(B122="","",IF(J122=0,0,(BL122+CA122+CB122+CC122)/J122))</f>
      </c>
      <c r="CI122" s="73">
        <f>IF(B122="","",IF(J122=0,0,Q122/J122))</f>
      </c>
      <c r="CJ122" s="73">
        <f>IF(B122="","",IF(J122=0,0,CD122/J122))</f>
      </c>
      <c r="CK122" s="37">
        <f>IF(B122="","",Y122+AE122+BK122+BT122)</f>
      </c>
      <c r="CL122" s="37">
        <f>IF(B122="","",IF(J122=0,0,(M122+P122*G122/J122)*(1-Pct_Reclamaciones-Pct_Banco-Imp_Ventas_Serv-Contrib_Territorial)-AI122-BE122-BV122-CK122*G122/J122))</f>
      </c>
      <c r="CM122" s="37">
        <f>IF(B122="","",IF(J122=0,0,(N122+P122*H122/J122)*(1-Pct_Reclamaciones-Pct_Banco-Imp_Ventas_Serv-Contrib_Territorial)-AS122-BF122-BX122-CK122*H122/J122))</f>
      </c>
      <c r="CN122" s="37">
        <f>IF(B122="","",IF(J122=0,0,(O122+P122*I122/J122)*(1-Pct_Reclamaciones-Pct_Banco-Imp_Ventas_Serv-Contrib_Territorial)-BC122-BG122-BZ122-CK122*I122/J122))</f>
      </c>
      <c r="CO122" s="37">
        <f>IF(B122="","",IF(J122=0,0,ROUND(CD122-CL122-CM122-CN122,4)))</f>
      </c>
      <c r="CP122" s="71">
        <f>IF(B122="","",T122+AG122+AK122+AM122+AU122+AW122)</f>
      </c>
      <c r="CQ122" s="71">
        <f>IF(B122="","",U122+AH122+AL122+AN122+AV122+AX122)</f>
      </c>
      <c r="CR122" s="72">
        <f>IF(B122="","",IF(CP122=0,0,CQ122/CP122-1))</f>
      </c>
      <c r="CS122" s="60">
        <f>IF(B122="","",IF(ENTRADA!$Y122="","",ENTRADA!$Y122-C122))</f>
      </c>
      <c r="CT122" s="66">
        <f>IF(B122="","",IF(ENTRADA!$C122="","Falta fecha. ","")&amp;IF(BP122=0,"Mes fuera del rango de COSTOS_FIJOS. ","")&amp;IF(J122=0,"Sin kg. ","")&amp;IF(E122="","Falta transitaria. ","")&amp;IF(AND(T122&gt;0,U122/T122-1&gt;Tolerancia_Comb),"Combustible al puerto "&amp;TEXT(U122/T122-1,"+0%")&amp;" sobre norma. ","")&amp;IF(AND(AG122&gt;0,AH122/AG122-1&gt;Tolerancia_Comb),"Combustible distribución Occidente "&amp;TEXT(AH122/AG122-1,"+0%")&amp;" sobre norma. ","")&amp;IF(AND(AK122&gt;0,AL122/AK122-1&gt;Tolerancia_Comb),"Combustible traslado Centro "&amp;TEXT(AL122/AK122-1,"+0%")&amp;" sobre norma. ","")&amp;IF(AND(AM122&gt;0,AN122/AM122-1&gt;Tolerancia_Comb),"Combustible distribución Centro "&amp;TEXT(AN122/AM122-1,"+0%")&amp;" sobre norma. ","")&amp;IF(AND(AU122&gt;0,AV122/AU122-1&gt;Tolerancia_Comb),"Combustible traslado Oriente "&amp;TEXT(AV122/AU122-1,"+0%")&amp;" sobre norma. ","")&amp;IF(AND(AW122&gt;0,AX122/AW122-1&gt;Tolerancia_Comb),"Combustible distribución Oriente "&amp;TEXT(AX122/AW122-1,"+0%")&amp;" sobre norma. ","")&amp;IF(AND(ENTRADA!$C122&lt;&gt;"",C122&lt;PRECIOS!$A$6),"Fecha anterior a la 1ª vigencia de precios. ","")&amp;IF(CD122&lt;0,"Contenedor con pérdida. ",""))</f>
      </c>
    </row>
    <row r="123">
      <c r="A123" s="60">
        <f>IF(B123="","",ROW()-5)</f>
      </c>
      <c r="B123" s="63">
        <f>IF(ENTRADA!$B123="","",ENTRADA!$B123)</f>
      </c>
      <c r="C123" s="64">
        <f>IF(B123="","",ENTRADA!$C123)</f>
      </c>
      <c r="D123" s="65">
        <f>IF(B123="","",DATE(YEAR(C123),MONTH(C123),1))</f>
      </c>
      <c r="E123" s="66">
        <f>IF(B123="","",ENTRADA!$D123&amp;"")</f>
      </c>
      <c r="F123" s="66">
        <f>IF(B123="","",ENTRADA!$Z123&amp;"")</f>
      </c>
      <c r="G123" s="67">
        <f>IF(B123="","",N(ENTRADA!$G123))</f>
      </c>
      <c r="H123" s="67">
        <f>IF(B123="","",N(ENTRADA!$H123))</f>
      </c>
      <c r="I123" s="67">
        <f>IF(B123="","",N(ENTRADA!$I123))</f>
      </c>
      <c r="J123" s="68">
        <f>IF(B123="","",G123+H123+I123)</f>
      </c>
      <c r="K123" s="60">
        <f>IF(B123="","",IFERROR(MATCH(SUMPRODUCT(MAX((PRECIOS!$A$6:$A$55&lt;=C123)*PRECIOS!$A$6:$A$55)),PRECIOS!$A$6:$A$55,0),1))</f>
      </c>
      <c r="L123" s="69">
        <f>IF(B123="","",INDEX(PRECIOS!$A$6:$A$55,K123))</f>
      </c>
      <c r="M123" s="37">
        <f>IF(B123="","",G123*INDEX(PRECIOS!$B$6:$B$55,K123))</f>
      </c>
      <c r="N123" s="37">
        <f>IF(B123="","",H123*INDEX(PRECIOS!$C$6:$C$55,K123))</f>
      </c>
      <c r="O123" s="37">
        <f>IF(B123="","",I123*INDEX(PRECIOS!$D$6:$D$55,K123))</f>
      </c>
      <c r="P123" s="37">
        <f>IF(B123="","",N(ENTRADA!$X123))</f>
      </c>
      <c r="Q123" s="70">
        <f>IF(B123="","",M123+N123+O123+P123)</f>
      </c>
      <c r="R123" s="71">
        <f>IF(B123="","",IF(ENTRADA!$J123="",Std_Viajes_Puerto,ENTRADA!$J123))</f>
      </c>
      <c r="S123" s="37">
        <f>IF(B123="","",R123*INDEX(PRECIOS!$F$6:$F$55,K123))</f>
      </c>
      <c r="T123" s="71">
        <f>IF(B123="","",R123*Litros_Puerto_Viaje)</f>
      </c>
      <c r="U123" s="71">
        <f>IF(B123="","",IF(ENTRADA!$K123="",T123,ENTRADA!$K123))</f>
      </c>
      <c r="V123" s="37">
        <f>IF(B123="","",U123*INDEX(PRECIOS!$E$6:$E$55,K123))</f>
      </c>
      <c r="W123" s="37">
        <f>IF(B123="","",IF(ENTRADA!$L123="",R123*INDEX(PRECIOS!$G$6:$G$55,K123),ENTRADA!$L123))</f>
      </c>
      <c r="X123" s="37">
        <f>IF(B123="","",R123*Km_Puerto_Viaje*INDEX(PRECIOS!$N$6:$N$55,K123))</f>
      </c>
      <c r="Y123" s="70">
        <f>IF(B123="","",S123+V123+W123+X123)</f>
      </c>
      <c r="Z123" s="71">
        <f>IF(B123="","",IF(J123=0,0,ROUNDUP(J123/Rend_Desagrupe,0)))</f>
      </c>
      <c r="AA123" s="71">
        <f>IF(B123="","",IF(ENTRADA!$M123="",Z123,ENTRADA!$M123))</f>
      </c>
      <c r="AB123" s="37">
        <f>IF(B123="","",AA123*INDEX(PRECIOS!$H$6:$H$55,K123))</f>
      </c>
      <c r="AC123" s="37">
        <f>IF(B123="","",IF(E123="ENCI",INDEX(PRECIOS!$J$6:$J$55,K123),IF(E123="A.V",INDEX(PRECIOS!$K$6:$K$55,K123),0)))</f>
      </c>
      <c r="AD123" s="37">
        <f>IF(B123="","",N(ENTRADA!$N123))</f>
      </c>
      <c r="AE123" s="70">
        <f>IF(B123="","",AB123+AC123+AD123)</f>
      </c>
      <c r="AF123" s="71">
        <f>IF(B123="","",IF(G123=0,0,ROUNDUP(G123/Cap_Camion_OCC,0)))</f>
      </c>
      <c r="AG123" s="71">
        <f>IF(B123="","",AF123*L_Dist_OCC)</f>
      </c>
      <c r="AH123" s="71">
        <f>IF(B123="","",IF(ENTRADA!$O123="",AG123,ENTRADA!$O123))</f>
      </c>
      <c r="AI123" s="37">
        <f>IF(B123="","",AH123*INDEX(PRECIOS!$E$6:$E$55,K123))</f>
      </c>
      <c r="AJ123" s="71">
        <f>IF(B123="","",IF(H123=0,0,ROUNDUP(H123/Cap_Camion_CEN,0)))</f>
      </c>
      <c r="AK123" s="71">
        <f>IF(B123="","",AJ123*L_Tras_CEN)</f>
      </c>
      <c r="AL123" s="71">
        <f>IF(B123="","",IF(ENTRADA!$P123="",AK123,ENTRADA!$P123))</f>
      </c>
      <c r="AM123" s="71">
        <f>IF(B123="","",AJ123*L_Dist_CEN)</f>
      </c>
      <c r="AN123" s="71">
        <f>IF(B123="","",IF(ENTRADA!$Q123="",AM123,ENTRADA!$Q123))</f>
      </c>
      <c r="AO123" s="37">
        <f>IF(B123="","",(AL123+AN123)*INDEX(PRECIOS!$E$6:$E$55,K123))</f>
      </c>
      <c r="AP123" s="71">
        <f>IF(B123="","",IF(H123=0,0,ROUNDUP(H123/Rend_Desagrupe_CT,0)))</f>
      </c>
      <c r="AQ123" s="71">
        <f>IF(B123="","",IF(ENTRADA!$R123="",AP123,ENTRADA!$R123))</f>
      </c>
      <c r="AR123" s="37">
        <f>IF(B123="","",AQ123*INDEX(PRECIOS!$I$6:$I$55,K123))</f>
      </c>
      <c r="AS123" s="37">
        <f>IF(B123="","",AO123+AR123)</f>
      </c>
      <c r="AT123" s="71">
        <f>IF(B123="","",IF(I123=0,0,ROUNDUP(I123/Cap_Camion_ORI,0)))</f>
      </c>
      <c r="AU123" s="71">
        <f>IF(B123="","",AT123*L_Tras_ORI)</f>
      </c>
      <c r="AV123" s="71">
        <f>IF(B123="","",IF(ENTRADA!$S123="",AU123,ENTRADA!$S123))</f>
      </c>
      <c r="AW123" s="71">
        <f>IF(B123="","",AT123*L_Dist_ORI)</f>
      </c>
      <c r="AX123" s="71">
        <f>IF(B123="","",IF(ENTRADA!$T123="",AW123,ENTRADA!$T123))</f>
      </c>
      <c r="AY123" s="37">
        <f>IF(B123="","",(AV123+AX123)*INDEX(PRECIOS!$E$6:$E$55,K123))</f>
      </c>
      <c r="AZ123" s="71">
        <f>IF(B123="","",IF(I123=0,0,ROUNDUP(I123/Rend_Desagrupe_CT,0)))</f>
      </c>
      <c r="BA123" s="71">
        <f>IF(B123="","",IF(ENTRADA!$U123="",AZ123,ENTRADA!$U123))</f>
      </c>
      <c r="BB123" s="37">
        <f>IF(B123="","",BA123*INDEX(PRECIOS!$I$6:$I$55,K123))</f>
      </c>
      <c r="BC123" s="37">
        <f>IF(B123="","",AY123+BB123)</f>
      </c>
      <c r="BD123" s="70">
        <f>IF(B123="","",AI123+AS123+BC123)</f>
      </c>
      <c r="BE123" s="37">
        <f>IF(B123="","",IF(Base_Comision="% DEL INGRESO",M123*INDEX(PRECIOS!$L$6:$L$55,K123),G123*INDEX(PRECIOS!$M$6:$M$55,K123)))</f>
      </c>
      <c r="BF123" s="37">
        <f>IF(B123="","",IF(Base_Comision="% DEL INGRESO",N123*INDEX(PRECIOS!$L$6:$L$55,K123),H123*INDEX(PRECIOS!$M$6:$M$55,K123)))</f>
      </c>
      <c r="BG123" s="37">
        <f>IF(B123="","",IF(Base_Comision="% DEL INGRESO",O123*INDEX(PRECIOS!$L$6:$L$55,K123),I123*INDEX(PRECIOS!$M$6:$M$55,K123)))</f>
      </c>
      <c r="BH123" s="70">
        <f>IF(B123="","",BE123+BF123+BG123)</f>
      </c>
      <c r="BI123" s="37">
        <f>IF(B123="","",Q123*Pct_Reclamaciones)</f>
      </c>
      <c r="BJ123" s="37">
        <f>IF(B123="","",Q123*Pct_Banco)</f>
      </c>
      <c r="BK123" s="37">
        <f>IF(B123="","",N(ENTRADA!$V123))</f>
      </c>
      <c r="BL123" s="70">
        <f>IF(B123="","",Y123+AE123+BD123+BH123+BI123+BJ123+BK123)</f>
      </c>
      <c r="BM123" s="70">
        <f>IF(B123="","",Q123-BL123)</f>
      </c>
      <c r="BN123" s="72">
        <f>IF(B123="","",IF(Q123=0,0,BM123/Q123))</f>
      </c>
      <c r="BO123" s="73">
        <f>IF(B123="","",IF(J123=0,0,BM123/J123))</f>
      </c>
      <c r="BP123" s="60">
        <f>IF(B123="","",IFERROR(MATCH(D123,COSTOS_FIJOS!$G$5:$AD$5,0),0))</f>
      </c>
      <c r="BQ123" s="60">
        <f>IF(B123="","",COUNTIFS($D$6:$D$305,D123))</f>
      </c>
      <c r="BR123" s="67">
        <f>IF(B123="","",SUMIFS($J$6:$J$305,$D$6:$D$305,D123))</f>
      </c>
      <c r="BS123" s="72">
        <f>IF(B123="","",IF(Metodo_Prorrateo="KG",IF(BR123=0,0,J123/BR123),1/BQ123))</f>
      </c>
      <c r="BT123" s="37">
        <f>IF(B123="","",IF(BP123=0,0,INDEX(COSTOS_FIJOS!$G$38:$AD$38,BP123))*BS123)</f>
      </c>
      <c r="BU123" s="72">
        <f>IF(B123="","",IF(Metodo_Prorrateo="KG",IF(SUMIFS($G$6:$G$305,$D$6:$D$305,D123)=0,0,G123/SUMIFS($G$6:$G$305,$D$6:$D$305,D123)),IF(G123&gt;0,1/COUNTIFS($D$6:$D$305,D123,$G$6:$G$305,"&gt;0"),0)))</f>
      </c>
      <c r="BV123" s="37">
        <f>IF(B123="","",IF(BP123=0,0,INDEX(COSTOS_FIJOS!$G$39:$AD$39,BP123))*BU123)</f>
      </c>
      <c r="BW123" s="72">
        <f>IF(B123="","",IF(Metodo_Prorrateo="KG",IF(SUMIFS($H$6:$H$305,$D$6:$D$305,D123)=0,0,H123/SUMIFS($H$6:$H$305,$D$6:$D$305,D123)),IF(H123&gt;0,1/COUNTIFS($D$6:$D$305,D123,$H$6:$H$305,"&gt;0"),0)))</f>
      </c>
      <c r="BX123" s="37">
        <f>IF(B123="","",IF(BP123=0,0,INDEX(COSTOS_FIJOS!$G$40:$AD$40,BP123))*BW123)</f>
      </c>
      <c r="BY123" s="72">
        <f>IF(B123="","",IF(Metodo_Prorrateo="KG",IF(SUMIFS($I$6:$I$305,$D$6:$D$305,D123)=0,0,I123/SUMIFS($I$6:$I$305,$D$6:$D$305,D123)),IF(I123&gt;0,1/COUNTIFS($D$6:$D$305,D123,$I$6:$I$305,"&gt;0"),0)))</f>
      </c>
      <c r="BZ123" s="37">
        <f>IF(B123="","",IF(BP123=0,0,INDEX(COSTOS_FIJOS!$G$41:$AD$41,BP123))*BY123)</f>
      </c>
      <c r="CA123" s="70">
        <f>IF(B123="","",BT123+BV123+BX123+BZ123)</f>
      </c>
      <c r="CB123" s="37">
        <f>IF(B123="","",Q123*Imp_Ventas_Serv)</f>
      </c>
      <c r="CC123" s="37">
        <f>IF(B123="","",Q123*Contrib_Territorial)</f>
      </c>
      <c r="CD123" s="70">
        <f>IF(B123="","",BM123-CA123-CB123-CC123)</f>
      </c>
      <c r="CE123" s="37">
        <f>IF(B123="","",MAX(0,CD123)*Imp_Utilidades)</f>
      </c>
      <c r="CF123" s="70">
        <f>IF(B123="","",CD123-CE123)</f>
      </c>
      <c r="CG123" s="72">
        <f>IF(B123="","",IF(Q123=0,0,CF123/Q123))</f>
      </c>
      <c r="CH123" s="73">
        <f>IF(B123="","",IF(J123=0,0,(BL123+CA123+CB123+CC123)/J123))</f>
      </c>
      <c r="CI123" s="73">
        <f>IF(B123="","",IF(J123=0,0,Q123/J123))</f>
      </c>
      <c r="CJ123" s="73">
        <f>IF(B123="","",IF(J123=0,0,CD123/J123))</f>
      </c>
      <c r="CK123" s="37">
        <f>IF(B123="","",Y123+AE123+BK123+BT123)</f>
      </c>
      <c r="CL123" s="37">
        <f>IF(B123="","",IF(J123=0,0,(M123+P123*G123/J123)*(1-Pct_Reclamaciones-Pct_Banco-Imp_Ventas_Serv-Contrib_Territorial)-AI123-BE123-BV123-CK123*G123/J123))</f>
      </c>
      <c r="CM123" s="37">
        <f>IF(B123="","",IF(J123=0,0,(N123+P123*H123/J123)*(1-Pct_Reclamaciones-Pct_Banco-Imp_Ventas_Serv-Contrib_Territorial)-AS123-BF123-BX123-CK123*H123/J123))</f>
      </c>
      <c r="CN123" s="37">
        <f>IF(B123="","",IF(J123=0,0,(O123+P123*I123/J123)*(1-Pct_Reclamaciones-Pct_Banco-Imp_Ventas_Serv-Contrib_Territorial)-BC123-BG123-BZ123-CK123*I123/J123))</f>
      </c>
      <c r="CO123" s="37">
        <f>IF(B123="","",IF(J123=0,0,ROUND(CD123-CL123-CM123-CN123,4)))</f>
      </c>
      <c r="CP123" s="71">
        <f>IF(B123="","",T123+AG123+AK123+AM123+AU123+AW123)</f>
      </c>
      <c r="CQ123" s="71">
        <f>IF(B123="","",U123+AH123+AL123+AN123+AV123+AX123)</f>
      </c>
      <c r="CR123" s="72">
        <f>IF(B123="","",IF(CP123=0,0,CQ123/CP123-1))</f>
      </c>
      <c r="CS123" s="60">
        <f>IF(B123="","",IF(ENTRADA!$Y123="","",ENTRADA!$Y123-C123))</f>
      </c>
      <c r="CT123" s="66">
        <f>IF(B123="","",IF(ENTRADA!$C123="","Falta fecha. ","")&amp;IF(BP123=0,"Mes fuera del rango de COSTOS_FIJOS. ","")&amp;IF(J123=0,"Sin kg. ","")&amp;IF(E123="","Falta transitaria. ","")&amp;IF(AND(T123&gt;0,U123/T123-1&gt;Tolerancia_Comb),"Combustible al puerto "&amp;TEXT(U123/T123-1,"+0%")&amp;" sobre norma. ","")&amp;IF(AND(AG123&gt;0,AH123/AG123-1&gt;Tolerancia_Comb),"Combustible distribución Occidente "&amp;TEXT(AH123/AG123-1,"+0%")&amp;" sobre norma. ","")&amp;IF(AND(AK123&gt;0,AL123/AK123-1&gt;Tolerancia_Comb),"Combustible traslado Centro "&amp;TEXT(AL123/AK123-1,"+0%")&amp;" sobre norma. ","")&amp;IF(AND(AM123&gt;0,AN123/AM123-1&gt;Tolerancia_Comb),"Combustible distribución Centro "&amp;TEXT(AN123/AM123-1,"+0%")&amp;" sobre norma. ","")&amp;IF(AND(AU123&gt;0,AV123/AU123-1&gt;Tolerancia_Comb),"Combustible traslado Oriente "&amp;TEXT(AV123/AU123-1,"+0%")&amp;" sobre norma. ","")&amp;IF(AND(AW123&gt;0,AX123/AW123-1&gt;Tolerancia_Comb),"Combustible distribución Oriente "&amp;TEXT(AX123/AW123-1,"+0%")&amp;" sobre norma. ","")&amp;IF(AND(ENTRADA!$C123&lt;&gt;"",C123&lt;PRECIOS!$A$6),"Fecha anterior a la 1ª vigencia de precios. ","")&amp;IF(CD123&lt;0,"Contenedor con pérdida. ",""))</f>
      </c>
    </row>
    <row r="124">
      <c r="A124" s="60">
        <f>IF(B124="","",ROW()-5)</f>
      </c>
      <c r="B124" s="63">
        <f>IF(ENTRADA!$B124="","",ENTRADA!$B124)</f>
      </c>
      <c r="C124" s="64">
        <f>IF(B124="","",ENTRADA!$C124)</f>
      </c>
      <c r="D124" s="65">
        <f>IF(B124="","",DATE(YEAR(C124),MONTH(C124),1))</f>
      </c>
      <c r="E124" s="66">
        <f>IF(B124="","",ENTRADA!$D124&amp;"")</f>
      </c>
      <c r="F124" s="66">
        <f>IF(B124="","",ENTRADA!$Z124&amp;"")</f>
      </c>
      <c r="G124" s="67">
        <f>IF(B124="","",N(ENTRADA!$G124))</f>
      </c>
      <c r="H124" s="67">
        <f>IF(B124="","",N(ENTRADA!$H124))</f>
      </c>
      <c r="I124" s="67">
        <f>IF(B124="","",N(ENTRADA!$I124))</f>
      </c>
      <c r="J124" s="68">
        <f>IF(B124="","",G124+H124+I124)</f>
      </c>
      <c r="K124" s="60">
        <f>IF(B124="","",IFERROR(MATCH(SUMPRODUCT(MAX((PRECIOS!$A$6:$A$55&lt;=C124)*PRECIOS!$A$6:$A$55)),PRECIOS!$A$6:$A$55,0),1))</f>
      </c>
      <c r="L124" s="69">
        <f>IF(B124="","",INDEX(PRECIOS!$A$6:$A$55,K124))</f>
      </c>
      <c r="M124" s="37">
        <f>IF(B124="","",G124*INDEX(PRECIOS!$B$6:$B$55,K124))</f>
      </c>
      <c r="N124" s="37">
        <f>IF(B124="","",H124*INDEX(PRECIOS!$C$6:$C$55,K124))</f>
      </c>
      <c r="O124" s="37">
        <f>IF(B124="","",I124*INDEX(PRECIOS!$D$6:$D$55,K124))</f>
      </c>
      <c r="P124" s="37">
        <f>IF(B124="","",N(ENTRADA!$X124))</f>
      </c>
      <c r="Q124" s="70">
        <f>IF(B124="","",M124+N124+O124+P124)</f>
      </c>
      <c r="R124" s="71">
        <f>IF(B124="","",IF(ENTRADA!$J124="",Std_Viajes_Puerto,ENTRADA!$J124))</f>
      </c>
      <c r="S124" s="37">
        <f>IF(B124="","",R124*INDEX(PRECIOS!$F$6:$F$55,K124))</f>
      </c>
      <c r="T124" s="71">
        <f>IF(B124="","",R124*Litros_Puerto_Viaje)</f>
      </c>
      <c r="U124" s="71">
        <f>IF(B124="","",IF(ENTRADA!$K124="",T124,ENTRADA!$K124))</f>
      </c>
      <c r="V124" s="37">
        <f>IF(B124="","",U124*INDEX(PRECIOS!$E$6:$E$55,K124))</f>
      </c>
      <c r="W124" s="37">
        <f>IF(B124="","",IF(ENTRADA!$L124="",R124*INDEX(PRECIOS!$G$6:$G$55,K124),ENTRADA!$L124))</f>
      </c>
      <c r="X124" s="37">
        <f>IF(B124="","",R124*Km_Puerto_Viaje*INDEX(PRECIOS!$N$6:$N$55,K124))</f>
      </c>
      <c r="Y124" s="70">
        <f>IF(B124="","",S124+V124+W124+X124)</f>
      </c>
      <c r="Z124" s="71">
        <f>IF(B124="","",IF(J124=0,0,ROUNDUP(J124/Rend_Desagrupe,0)))</f>
      </c>
      <c r="AA124" s="71">
        <f>IF(B124="","",IF(ENTRADA!$M124="",Z124,ENTRADA!$M124))</f>
      </c>
      <c r="AB124" s="37">
        <f>IF(B124="","",AA124*INDEX(PRECIOS!$H$6:$H$55,K124))</f>
      </c>
      <c r="AC124" s="37">
        <f>IF(B124="","",IF(E124="ENCI",INDEX(PRECIOS!$J$6:$J$55,K124),IF(E124="A.V",INDEX(PRECIOS!$K$6:$K$55,K124),0)))</f>
      </c>
      <c r="AD124" s="37">
        <f>IF(B124="","",N(ENTRADA!$N124))</f>
      </c>
      <c r="AE124" s="70">
        <f>IF(B124="","",AB124+AC124+AD124)</f>
      </c>
      <c r="AF124" s="71">
        <f>IF(B124="","",IF(G124=0,0,ROUNDUP(G124/Cap_Camion_OCC,0)))</f>
      </c>
      <c r="AG124" s="71">
        <f>IF(B124="","",AF124*L_Dist_OCC)</f>
      </c>
      <c r="AH124" s="71">
        <f>IF(B124="","",IF(ENTRADA!$O124="",AG124,ENTRADA!$O124))</f>
      </c>
      <c r="AI124" s="37">
        <f>IF(B124="","",AH124*INDEX(PRECIOS!$E$6:$E$55,K124))</f>
      </c>
      <c r="AJ124" s="71">
        <f>IF(B124="","",IF(H124=0,0,ROUNDUP(H124/Cap_Camion_CEN,0)))</f>
      </c>
      <c r="AK124" s="71">
        <f>IF(B124="","",AJ124*L_Tras_CEN)</f>
      </c>
      <c r="AL124" s="71">
        <f>IF(B124="","",IF(ENTRADA!$P124="",AK124,ENTRADA!$P124))</f>
      </c>
      <c r="AM124" s="71">
        <f>IF(B124="","",AJ124*L_Dist_CEN)</f>
      </c>
      <c r="AN124" s="71">
        <f>IF(B124="","",IF(ENTRADA!$Q124="",AM124,ENTRADA!$Q124))</f>
      </c>
      <c r="AO124" s="37">
        <f>IF(B124="","",(AL124+AN124)*INDEX(PRECIOS!$E$6:$E$55,K124))</f>
      </c>
      <c r="AP124" s="71">
        <f>IF(B124="","",IF(H124=0,0,ROUNDUP(H124/Rend_Desagrupe_CT,0)))</f>
      </c>
      <c r="AQ124" s="71">
        <f>IF(B124="","",IF(ENTRADA!$R124="",AP124,ENTRADA!$R124))</f>
      </c>
      <c r="AR124" s="37">
        <f>IF(B124="","",AQ124*INDEX(PRECIOS!$I$6:$I$55,K124))</f>
      </c>
      <c r="AS124" s="37">
        <f>IF(B124="","",AO124+AR124)</f>
      </c>
      <c r="AT124" s="71">
        <f>IF(B124="","",IF(I124=0,0,ROUNDUP(I124/Cap_Camion_ORI,0)))</f>
      </c>
      <c r="AU124" s="71">
        <f>IF(B124="","",AT124*L_Tras_ORI)</f>
      </c>
      <c r="AV124" s="71">
        <f>IF(B124="","",IF(ENTRADA!$S124="",AU124,ENTRADA!$S124))</f>
      </c>
      <c r="AW124" s="71">
        <f>IF(B124="","",AT124*L_Dist_ORI)</f>
      </c>
      <c r="AX124" s="71">
        <f>IF(B124="","",IF(ENTRADA!$T124="",AW124,ENTRADA!$T124))</f>
      </c>
      <c r="AY124" s="37">
        <f>IF(B124="","",(AV124+AX124)*INDEX(PRECIOS!$E$6:$E$55,K124))</f>
      </c>
      <c r="AZ124" s="71">
        <f>IF(B124="","",IF(I124=0,0,ROUNDUP(I124/Rend_Desagrupe_CT,0)))</f>
      </c>
      <c r="BA124" s="71">
        <f>IF(B124="","",IF(ENTRADA!$U124="",AZ124,ENTRADA!$U124))</f>
      </c>
      <c r="BB124" s="37">
        <f>IF(B124="","",BA124*INDEX(PRECIOS!$I$6:$I$55,K124))</f>
      </c>
      <c r="BC124" s="37">
        <f>IF(B124="","",AY124+BB124)</f>
      </c>
      <c r="BD124" s="70">
        <f>IF(B124="","",AI124+AS124+BC124)</f>
      </c>
      <c r="BE124" s="37">
        <f>IF(B124="","",IF(Base_Comision="% DEL INGRESO",M124*INDEX(PRECIOS!$L$6:$L$55,K124),G124*INDEX(PRECIOS!$M$6:$M$55,K124)))</f>
      </c>
      <c r="BF124" s="37">
        <f>IF(B124="","",IF(Base_Comision="% DEL INGRESO",N124*INDEX(PRECIOS!$L$6:$L$55,K124),H124*INDEX(PRECIOS!$M$6:$M$55,K124)))</f>
      </c>
      <c r="BG124" s="37">
        <f>IF(B124="","",IF(Base_Comision="% DEL INGRESO",O124*INDEX(PRECIOS!$L$6:$L$55,K124),I124*INDEX(PRECIOS!$M$6:$M$55,K124)))</f>
      </c>
      <c r="BH124" s="70">
        <f>IF(B124="","",BE124+BF124+BG124)</f>
      </c>
      <c r="BI124" s="37">
        <f>IF(B124="","",Q124*Pct_Reclamaciones)</f>
      </c>
      <c r="BJ124" s="37">
        <f>IF(B124="","",Q124*Pct_Banco)</f>
      </c>
      <c r="BK124" s="37">
        <f>IF(B124="","",N(ENTRADA!$V124))</f>
      </c>
      <c r="BL124" s="70">
        <f>IF(B124="","",Y124+AE124+BD124+BH124+BI124+BJ124+BK124)</f>
      </c>
      <c r="BM124" s="70">
        <f>IF(B124="","",Q124-BL124)</f>
      </c>
      <c r="BN124" s="72">
        <f>IF(B124="","",IF(Q124=0,0,BM124/Q124))</f>
      </c>
      <c r="BO124" s="73">
        <f>IF(B124="","",IF(J124=0,0,BM124/J124))</f>
      </c>
      <c r="BP124" s="60">
        <f>IF(B124="","",IFERROR(MATCH(D124,COSTOS_FIJOS!$G$5:$AD$5,0),0))</f>
      </c>
      <c r="BQ124" s="60">
        <f>IF(B124="","",COUNTIFS($D$6:$D$305,D124))</f>
      </c>
      <c r="BR124" s="67">
        <f>IF(B124="","",SUMIFS($J$6:$J$305,$D$6:$D$305,D124))</f>
      </c>
      <c r="BS124" s="72">
        <f>IF(B124="","",IF(Metodo_Prorrateo="KG",IF(BR124=0,0,J124/BR124),1/BQ124))</f>
      </c>
      <c r="BT124" s="37">
        <f>IF(B124="","",IF(BP124=0,0,INDEX(COSTOS_FIJOS!$G$38:$AD$38,BP124))*BS124)</f>
      </c>
      <c r="BU124" s="72">
        <f>IF(B124="","",IF(Metodo_Prorrateo="KG",IF(SUMIFS($G$6:$G$305,$D$6:$D$305,D124)=0,0,G124/SUMIFS($G$6:$G$305,$D$6:$D$305,D124)),IF(G124&gt;0,1/COUNTIFS($D$6:$D$305,D124,$G$6:$G$305,"&gt;0"),0)))</f>
      </c>
      <c r="BV124" s="37">
        <f>IF(B124="","",IF(BP124=0,0,INDEX(COSTOS_FIJOS!$G$39:$AD$39,BP124))*BU124)</f>
      </c>
      <c r="BW124" s="72">
        <f>IF(B124="","",IF(Metodo_Prorrateo="KG",IF(SUMIFS($H$6:$H$305,$D$6:$D$305,D124)=0,0,H124/SUMIFS($H$6:$H$305,$D$6:$D$305,D124)),IF(H124&gt;0,1/COUNTIFS($D$6:$D$305,D124,$H$6:$H$305,"&gt;0"),0)))</f>
      </c>
      <c r="BX124" s="37">
        <f>IF(B124="","",IF(BP124=0,0,INDEX(COSTOS_FIJOS!$G$40:$AD$40,BP124))*BW124)</f>
      </c>
      <c r="BY124" s="72">
        <f>IF(B124="","",IF(Metodo_Prorrateo="KG",IF(SUMIFS($I$6:$I$305,$D$6:$D$305,D124)=0,0,I124/SUMIFS($I$6:$I$305,$D$6:$D$305,D124)),IF(I124&gt;0,1/COUNTIFS($D$6:$D$305,D124,$I$6:$I$305,"&gt;0"),0)))</f>
      </c>
      <c r="BZ124" s="37">
        <f>IF(B124="","",IF(BP124=0,0,INDEX(COSTOS_FIJOS!$G$41:$AD$41,BP124))*BY124)</f>
      </c>
      <c r="CA124" s="70">
        <f>IF(B124="","",BT124+BV124+BX124+BZ124)</f>
      </c>
      <c r="CB124" s="37">
        <f>IF(B124="","",Q124*Imp_Ventas_Serv)</f>
      </c>
      <c r="CC124" s="37">
        <f>IF(B124="","",Q124*Contrib_Territorial)</f>
      </c>
      <c r="CD124" s="70">
        <f>IF(B124="","",BM124-CA124-CB124-CC124)</f>
      </c>
      <c r="CE124" s="37">
        <f>IF(B124="","",MAX(0,CD124)*Imp_Utilidades)</f>
      </c>
      <c r="CF124" s="70">
        <f>IF(B124="","",CD124-CE124)</f>
      </c>
      <c r="CG124" s="72">
        <f>IF(B124="","",IF(Q124=0,0,CF124/Q124))</f>
      </c>
      <c r="CH124" s="73">
        <f>IF(B124="","",IF(J124=0,0,(BL124+CA124+CB124+CC124)/J124))</f>
      </c>
      <c r="CI124" s="73">
        <f>IF(B124="","",IF(J124=0,0,Q124/J124))</f>
      </c>
      <c r="CJ124" s="73">
        <f>IF(B124="","",IF(J124=0,0,CD124/J124))</f>
      </c>
      <c r="CK124" s="37">
        <f>IF(B124="","",Y124+AE124+BK124+BT124)</f>
      </c>
      <c r="CL124" s="37">
        <f>IF(B124="","",IF(J124=0,0,(M124+P124*G124/J124)*(1-Pct_Reclamaciones-Pct_Banco-Imp_Ventas_Serv-Contrib_Territorial)-AI124-BE124-BV124-CK124*G124/J124))</f>
      </c>
      <c r="CM124" s="37">
        <f>IF(B124="","",IF(J124=0,0,(N124+P124*H124/J124)*(1-Pct_Reclamaciones-Pct_Banco-Imp_Ventas_Serv-Contrib_Territorial)-AS124-BF124-BX124-CK124*H124/J124))</f>
      </c>
      <c r="CN124" s="37">
        <f>IF(B124="","",IF(J124=0,0,(O124+P124*I124/J124)*(1-Pct_Reclamaciones-Pct_Banco-Imp_Ventas_Serv-Contrib_Territorial)-BC124-BG124-BZ124-CK124*I124/J124))</f>
      </c>
      <c r="CO124" s="37">
        <f>IF(B124="","",IF(J124=0,0,ROUND(CD124-CL124-CM124-CN124,4)))</f>
      </c>
      <c r="CP124" s="71">
        <f>IF(B124="","",T124+AG124+AK124+AM124+AU124+AW124)</f>
      </c>
      <c r="CQ124" s="71">
        <f>IF(B124="","",U124+AH124+AL124+AN124+AV124+AX124)</f>
      </c>
      <c r="CR124" s="72">
        <f>IF(B124="","",IF(CP124=0,0,CQ124/CP124-1))</f>
      </c>
      <c r="CS124" s="60">
        <f>IF(B124="","",IF(ENTRADA!$Y124="","",ENTRADA!$Y124-C124))</f>
      </c>
      <c r="CT124" s="66">
        <f>IF(B124="","",IF(ENTRADA!$C124="","Falta fecha. ","")&amp;IF(BP124=0,"Mes fuera del rango de COSTOS_FIJOS. ","")&amp;IF(J124=0,"Sin kg. ","")&amp;IF(E124="","Falta transitaria. ","")&amp;IF(AND(T124&gt;0,U124/T124-1&gt;Tolerancia_Comb),"Combustible al puerto "&amp;TEXT(U124/T124-1,"+0%")&amp;" sobre norma. ","")&amp;IF(AND(AG124&gt;0,AH124/AG124-1&gt;Tolerancia_Comb),"Combustible distribución Occidente "&amp;TEXT(AH124/AG124-1,"+0%")&amp;" sobre norma. ","")&amp;IF(AND(AK124&gt;0,AL124/AK124-1&gt;Tolerancia_Comb),"Combustible traslado Centro "&amp;TEXT(AL124/AK124-1,"+0%")&amp;" sobre norma. ","")&amp;IF(AND(AM124&gt;0,AN124/AM124-1&gt;Tolerancia_Comb),"Combustible distribución Centro "&amp;TEXT(AN124/AM124-1,"+0%")&amp;" sobre norma. ","")&amp;IF(AND(AU124&gt;0,AV124/AU124-1&gt;Tolerancia_Comb),"Combustible traslado Oriente "&amp;TEXT(AV124/AU124-1,"+0%")&amp;" sobre norma. ","")&amp;IF(AND(AW124&gt;0,AX124/AW124-1&gt;Tolerancia_Comb),"Combustible distribución Oriente "&amp;TEXT(AX124/AW124-1,"+0%")&amp;" sobre norma. ","")&amp;IF(AND(ENTRADA!$C124&lt;&gt;"",C124&lt;PRECIOS!$A$6),"Fecha anterior a la 1ª vigencia de precios. ","")&amp;IF(CD124&lt;0,"Contenedor con pérdida. ",""))</f>
      </c>
    </row>
    <row r="125">
      <c r="A125" s="60">
        <f>IF(B125="","",ROW()-5)</f>
      </c>
      <c r="B125" s="63">
        <f>IF(ENTRADA!$B125="","",ENTRADA!$B125)</f>
      </c>
      <c r="C125" s="64">
        <f>IF(B125="","",ENTRADA!$C125)</f>
      </c>
      <c r="D125" s="65">
        <f>IF(B125="","",DATE(YEAR(C125),MONTH(C125),1))</f>
      </c>
      <c r="E125" s="66">
        <f>IF(B125="","",ENTRADA!$D125&amp;"")</f>
      </c>
      <c r="F125" s="66">
        <f>IF(B125="","",ENTRADA!$Z125&amp;"")</f>
      </c>
      <c r="G125" s="67">
        <f>IF(B125="","",N(ENTRADA!$G125))</f>
      </c>
      <c r="H125" s="67">
        <f>IF(B125="","",N(ENTRADA!$H125))</f>
      </c>
      <c r="I125" s="67">
        <f>IF(B125="","",N(ENTRADA!$I125))</f>
      </c>
      <c r="J125" s="68">
        <f>IF(B125="","",G125+H125+I125)</f>
      </c>
      <c r="K125" s="60">
        <f>IF(B125="","",IFERROR(MATCH(SUMPRODUCT(MAX((PRECIOS!$A$6:$A$55&lt;=C125)*PRECIOS!$A$6:$A$55)),PRECIOS!$A$6:$A$55,0),1))</f>
      </c>
      <c r="L125" s="69">
        <f>IF(B125="","",INDEX(PRECIOS!$A$6:$A$55,K125))</f>
      </c>
      <c r="M125" s="37">
        <f>IF(B125="","",G125*INDEX(PRECIOS!$B$6:$B$55,K125))</f>
      </c>
      <c r="N125" s="37">
        <f>IF(B125="","",H125*INDEX(PRECIOS!$C$6:$C$55,K125))</f>
      </c>
      <c r="O125" s="37">
        <f>IF(B125="","",I125*INDEX(PRECIOS!$D$6:$D$55,K125))</f>
      </c>
      <c r="P125" s="37">
        <f>IF(B125="","",N(ENTRADA!$X125))</f>
      </c>
      <c r="Q125" s="70">
        <f>IF(B125="","",M125+N125+O125+P125)</f>
      </c>
      <c r="R125" s="71">
        <f>IF(B125="","",IF(ENTRADA!$J125="",Std_Viajes_Puerto,ENTRADA!$J125))</f>
      </c>
      <c r="S125" s="37">
        <f>IF(B125="","",R125*INDEX(PRECIOS!$F$6:$F$55,K125))</f>
      </c>
      <c r="T125" s="71">
        <f>IF(B125="","",R125*Litros_Puerto_Viaje)</f>
      </c>
      <c r="U125" s="71">
        <f>IF(B125="","",IF(ENTRADA!$K125="",T125,ENTRADA!$K125))</f>
      </c>
      <c r="V125" s="37">
        <f>IF(B125="","",U125*INDEX(PRECIOS!$E$6:$E$55,K125))</f>
      </c>
      <c r="W125" s="37">
        <f>IF(B125="","",IF(ENTRADA!$L125="",R125*INDEX(PRECIOS!$G$6:$G$55,K125),ENTRADA!$L125))</f>
      </c>
      <c r="X125" s="37">
        <f>IF(B125="","",R125*Km_Puerto_Viaje*INDEX(PRECIOS!$N$6:$N$55,K125))</f>
      </c>
      <c r="Y125" s="70">
        <f>IF(B125="","",S125+V125+W125+X125)</f>
      </c>
      <c r="Z125" s="71">
        <f>IF(B125="","",IF(J125=0,0,ROUNDUP(J125/Rend_Desagrupe,0)))</f>
      </c>
      <c r="AA125" s="71">
        <f>IF(B125="","",IF(ENTRADA!$M125="",Z125,ENTRADA!$M125))</f>
      </c>
      <c r="AB125" s="37">
        <f>IF(B125="","",AA125*INDEX(PRECIOS!$H$6:$H$55,K125))</f>
      </c>
      <c r="AC125" s="37">
        <f>IF(B125="","",IF(E125="ENCI",INDEX(PRECIOS!$J$6:$J$55,K125),IF(E125="A.V",INDEX(PRECIOS!$K$6:$K$55,K125),0)))</f>
      </c>
      <c r="AD125" s="37">
        <f>IF(B125="","",N(ENTRADA!$N125))</f>
      </c>
      <c r="AE125" s="70">
        <f>IF(B125="","",AB125+AC125+AD125)</f>
      </c>
      <c r="AF125" s="71">
        <f>IF(B125="","",IF(G125=0,0,ROUNDUP(G125/Cap_Camion_OCC,0)))</f>
      </c>
      <c r="AG125" s="71">
        <f>IF(B125="","",AF125*L_Dist_OCC)</f>
      </c>
      <c r="AH125" s="71">
        <f>IF(B125="","",IF(ENTRADA!$O125="",AG125,ENTRADA!$O125))</f>
      </c>
      <c r="AI125" s="37">
        <f>IF(B125="","",AH125*INDEX(PRECIOS!$E$6:$E$55,K125))</f>
      </c>
      <c r="AJ125" s="71">
        <f>IF(B125="","",IF(H125=0,0,ROUNDUP(H125/Cap_Camion_CEN,0)))</f>
      </c>
      <c r="AK125" s="71">
        <f>IF(B125="","",AJ125*L_Tras_CEN)</f>
      </c>
      <c r="AL125" s="71">
        <f>IF(B125="","",IF(ENTRADA!$P125="",AK125,ENTRADA!$P125))</f>
      </c>
      <c r="AM125" s="71">
        <f>IF(B125="","",AJ125*L_Dist_CEN)</f>
      </c>
      <c r="AN125" s="71">
        <f>IF(B125="","",IF(ENTRADA!$Q125="",AM125,ENTRADA!$Q125))</f>
      </c>
      <c r="AO125" s="37">
        <f>IF(B125="","",(AL125+AN125)*INDEX(PRECIOS!$E$6:$E$55,K125))</f>
      </c>
      <c r="AP125" s="71">
        <f>IF(B125="","",IF(H125=0,0,ROUNDUP(H125/Rend_Desagrupe_CT,0)))</f>
      </c>
      <c r="AQ125" s="71">
        <f>IF(B125="","",IF(ENTRADA!$R125="",AP125,ENTRADA!$R125))</f>
      </c>
      <c r="AR125" s="37">
        <f>IF(B125="","",AQ125*INDEX(PRECIOS!$I$6:$I$55,K125))</f>
      </c>
      <c r="AS125" s="37">
        <f>IF(B125="","",AO125+AR125)</f>
      </c>
      <c r="AT125" s="71">
        <f>IF(B125="","",IF(I125=0,0,ROUNDUP(I125/Cap_Camion_ORI,0)))</f>
      </c>
      <c r="AU125" s="71">
        <f>IF(B125="","",AT125*L_Tras_ORI)</f>
      </c>
      <c r="AV125" s="71">
        <f>IF(B125="","",IF(ENTRADA!$S125="",AU125,ENTRADA!$S125))</f>
      </c>
      <c r="AW125" s="71">
        <f>IF(B125="","",AT125*L_Dist_ORI)</f>
      </c>
      <c r="AX125" s="71">
        <f>IF(B125="","",IF(ENTRADA!$T125="",AW125,ENTRADA!$T125))</f>
      </c>
      <c r="AY125" s="37">
        <f>IF(B125="","",(AV125+AX125)*INDEX(PRECIOS!$E$6:$E$55,K125))</f>
      </c>
      <c r="AZ125" s="71">
        <f>IF(B125="","",IF(I125=0,0,ROUNDUP(I125/Rend_Desagrupe_CT,0)))</f>
      </c>
      <c r="BA125" s="71">
        <f>IF(B125="","",IF(ENTRADA!$U125="",AZ125,ENTRADA!$U125))</f>
      </c>
      <c r="BB125" s="37">
        <f>IF(B125="","",BA125*INDEX(PRECIOS!$I$6:$I$55,K125))</f>
      </c>
      <c r="BC125" s="37">
        <f>IF(B125="","",AY125+BB125)</f>
      </c>
      <c r="BD125" s="70">
        <f>IF(B125="","",AI125+AS125+BC125)</f>
      </c>
      <c r="BE125" s="37">
        <f>IF(B125="","",IF(Base_Comision="% DEL INGRESO",M125*INDEX(PRECIOS!$L$6:$L$55,K125),G125*INDEX(PRECIOS!$M$6:$M$55,K125)))</f>
      </c>
      <c r="BF125" s="37">
        <f>IF(B125="","",IF(Base_Comision="% DEL INGRESO",N125*INDEX(PRECIOS!$L$6:$L$55,K125),H125*INDEX(PRECIOS!$M$6:$M$55,K125)))</f>
      </c>
      <c r="BG125" s="37">
        <f>IF(B125="","",IF(Base_Comision="% DEL INGRESO",O125*INDEX(PRECIOS!$L$6:$L$55,K125),I125*INDEX(PRECIOS!$M$6:$M$55,K125)))</f>
      </c>
      <c r="BH125" s="70">
        <f>IF(B125="","",BE125+BF125+BG125)</f>
      </c>
      <c r="BI125" s="37">
        <f>IF(B125="","",Q125*Pct_Reclamaciones)</f>
      </c>
      <c r="BJ125" s="37">
        <f>IF(B125="","",Q125*Pct_Banco)</f>
      </c>
      <c r="BK125" s="37">
        <f>IF(B125="","",N(ENTRADA!$V125))</f>
      </c>
      <c r="BL125" s="70">
        <f>IF(B125="","",Y125+AE125+BD125+BH125+BI125+BJ125+BK125)</f>
      </c>
      <c r="BM125" s="70">
        <f>IF(B125="","",Q125-BL125)</f>
      </c>
      <c r="BN125" s="72">
        <f>IF(B125="","",IF(Q125=0,0,BM125/Q125))</f>
      </c>
      <c r="BO125" s="73">
        <f>IF(B125="","",IF(J125=0,0,BM125/J125))</f>
      </c>
      <c r="BP125" s="60">
        <f>IF(B125="","",IFERROR(MATCH(D125,COSTOS_FIJOS!$G$5:$AD$5,0),0))</f>
      </c>
      <c r="BQ125" s="60">
        <f>IF(B125="","",COUNTIFS($D$6:$D$305,D125))</f>
      </c>
      <c r="BR125" s="67">
        <f>IF(B125="","",SUMIFS($J$6:$J$305,$D$6:$D$305,D125))</f>
      </c>
      <c r="BS125" s="72">
        <f>IF(B125="","",IF(Metodo_Prorrateo="KG",IF(BR125=0,0,J125/BR125),1/BQ125))</f>
      </c>
      <c r="BT125" s="37">
        <f>IF(B125="","",IF(BP125=0,0,INDEX(COSTOS_FIJOS!$G$38:$AD$38,BP125))*BS125)</f>
      </c>
      <c r="BU125" s="72">
        <f>IF(B125="","",IF(Metodo_Prorrateo="KG",IF(SUMIFS($G$6:$G$305,$D$6:$D$305,D125)=0,0,G125/SUMIFS($G$6:$G$305,$D$6:$D$305,D125)),IF(G125&gt;0,1/COUNTIFS($D$6:$D$305,D125,$G$6:$G$305,"&gt;0"),0)))</f>
      </c>
      <c r="BV125" s="37">
        <f>IF(B125="","",IF(BP125=0,0,INDEX(COSTOS_FIJOS!$G$39:$AD$39,BP125))*BU125)</f>
      </c>
      <c r="BW125" s="72">
        <f>IF(B125="","",IF(Metodo_Prorrateo="KG",IF(SUMIFS($H$6:$H$305,$D$6:$D$305,D125)=0,0,H125/SUMIFS($H$6:$H$305,$D$6:$D$305,D125)),IF(H125&gt;0,1/COUNTIFS($D$6:$D$305,D125,$H$6:$H$305,"&gt;0"),0)))</f>
      </c>
      <c r="BX125" s="37">
        <f>IF(B125="","",IF(BP125=0,0,INDEX(COSTOS_FIJOS!$G$40:$AD$40,BP125))*BW125)</f>
      </c>
      <c r="BY125" s="72">
        <f>IF(B125="","",IF(Metodo_Prorrateo="KG",IF(SUMIFS($I$6:$I$305,$D$6:$D$305,D125)=0,0,I125/SUMIFS($I$6:$I$305,$D$6:$D$305,D125)),IF(I125&gt;0,1/COUNTIFS($D$6:$D$305,D125,$I$6:$I$305,"&gt;0"),0)))</f>
      </c>
      <c r="BZ125" s="37">
        <f>IF(B125="","",IF(BP125=0,0,INDEX(COSTOS_FIJOS!$G$41:$AD$41,BP125))*BY125)</f>
      </c>
      <c r="CA125" s="70">
        <f>IF(B125="","",BT125+BV125+BX125+BZ125)</f>
      </c>
      <c r="CB125" s="37">
        <f>IF(B125="","",Q125*Imp_Ventas_Serv)</f>
      </c>
      <c r="CC125" s="37">
        <f>IF(B125="","",Q125*Contrib_Territorial)</f>
      </c>
      <c r="CD125" s="70">
        <f>IF(B125="","",BM125-CA125-CB125-CC125)</f>
      </c>
      <c r="CE125" s="37">
        <f>IF(B125="","",MAX(0,CD125)*Imp_Utilidades)</f>
      </c>
      <c r="CF125" s="70">
        <f>IF(B125="","",CD125-CE125)</f>
      </c>
      <c r="CG125" s="72">
        <f>IF(B125="","",IF(Q125=0,0,CF125/Q125))</f>
      </c>
      <c r="CH125" s="73">
        <f>IF(B125="","",IF(J125=0,0,(BL125+CA125+CB125+CC125)/J125))</f>
      </c>
      <c r="CI125" s="73">
        <f>IF(B125="","",IF(J125=0,0,Q125/J125))</f>
      </c>
      <c r="CJ125" s="73">
        <f>IF(B125="","",IF(J125=0,0,CD125/J125))</f>
      </c>
      <c r="CK125" s="37">
        <f>IF(B125="","",Y125+AE125+BK125+BT125)</f>
      </c>
      <c r="CL125" s="37">
        <f>IF(B125="","",IF(J125=0,0,(M125+P125*G125/J125)*(1-Pct_Reclamaciones-Pct_Banco-Imp_Ventas_Serv-Contrib_Territorial)-AI125-BE125-BV125-CK125*G125/J125))</f>
      </c>
      <c r="CM125" s="37">
        <f>IF(B125="","",IF(J125=0,0,(N125+P125*H125/J125)*(1-Pct_Reclamaciones-Pct_Banco-Imp_Ventas_Serv-Contrib_Territorial)-AS125-BF125-BX125-CK125*H125/J125))</f>
      </c>
      <c r="CN125" s="37">
        <f>IF(B125="","",IF(J125=0,0,(O125+P125*I125/J125)*(1-Pct_Reclamaciones-Pct_Banco-Imp_Ventas_Serv-Contrib_Territorial)-BC125-BG125-BZ125-CK125*I125/J125))</f>
      </c>
      <c r="CO125" s="37">
        <f>IF(B125="","",IF(J125=0,0,ROUND(CD125-CL125-CM125-CN125,4)))</f>
      </c>
      <c r="CP125" s="71">
        <f>IF(B125="","",T125+AG125+AK125+AM125+AU125+AW125)</f>
      </c>
      <c r="CQ125" s="71">
        <f>IF(B125="","",U125+AH125+AL125+AN125+AV125+AX125)</f>
      </c>
      <c r="CR125" s="72">
        <f>IF(B125="","",IF(CP125=0,0,CQ125/CP125-1))</f>
      </c>
      <c r="CS125" s="60">
        <f>IF(B125="","",IF(ENTRADA!$Y125="","",ENTRADA!$Y125-C125))</f>
      </c>
      <c r="CT125" s="66">
        <f>IF(B125="","",IF(ENTRADA!$C125="","Falta fecha. ","")&amp;IF(BP125=0,"Mes fuera del rango de COSTOS_FIJOS. ","")&amp;IF(J125=0,"Sin kg. ","")&amp;IF(E125="","Falta transitaria. ","")&amp;IF(AND(T125&gt;0,U125/T125-1&gt;Tolerancia_Comb),"Combustible al puerto "&amp;TEXT(U125/T125-1,"+0%")&amp;" sobre norma. ","")&amp;IF(AND(AG125&gt;0,AH125/AG125-1&gt;Tolerancia_Comb),"Combustible distribución Occidente "&amp;TEXT(AH125/AG125-1,"+0%")&amp;" sobre norma. ","")&amp;IF(AND(AK125&gt;0,AL125/AK125-1&gt;Tolerancia_Comb),"Combustible traslado Centro "&amp;TEXT(AL125/AK125-1,"+0%")&amp;" sobre norma. ","")&amp;IF(AND(AM125&gt;0,AN125/AM125-1&gt;Tolerancia_Comb),"Combustible distribución Centro "&amp;TEXT(AN125/AM125-1,"+0%")&amp;" sobre norma. ","")&amp;IF(AND(AU125&gt;0,AV125/AU125-1&gt;Tolerancia_Comb),"Combustible traslado Oriente "&amp;TEXT(AV125/AU125-1,"+0%")&amp;" sobre norma. ","")&amp;IF(AND(AW125&gt;0,AX125/AW125-1&gt;Tolerancia_Comb),"Combustible distribución Oriente "&amp;TEXT(AX125/AW125-1,"+0%")&amp;" sobre norma. ","")&amp;IF(AND(ENTRADA!$C125&lt;&gt;"",C125&lt;PRECIOS!$A$6),"Fecha anterior a la 1ª vigencia de precios. ","")&amp;IF(CD125&lt;0,"Contenedor con pérdida. ",""))</f>
      </c>
    </row>
    <row r="126">
      <c r="A126" s="60">
        <f>IF(B126="","",ROW()-5)</f>
      </c>
      <c r="B126" s="63">
        <f>IF(ENTRADA!$B126="","",ENTRADA!$B126)</f>
      </c>
      <c r="C126" s="64">
        <f>IF(B126="","",ENTRADA!$C126)</f>
      </c>
      <c r="D126" s="65">
        <f>IF(B126="","",DATE(YEAR(C126),MONTH(C126),1))</f>
      </c>
      <c r="E126" s="66">
        <f>IF(B126="","",ENTRADA!$D126&amp;"")</f>
      </c>
      <c r="F126" s="66">
        <f>IF(B126="","",ENTRADA!$Z126&amp;"")</f>
      </c>
      <c r="G126" s="67">
        <f>IF(B126="","",N(ENTRADA!$G126))</f>
      </c>
      <c r="H126" s="67">
        <f>IF(B126="","",N(ENTRADA!$H126))</f>
      </c>
      <c r="I126" s="67">
        <f>IF(B126="","",N(ENTRADA!$I126))</f>
      </c>
      <c r="J126" s="68">
        <f>IF(B126="","",G126+H126+I126)</f>
      </c>
      <c r="K126" s="60">
        <f>IF(B126="","",IFERROR(MATCH(SUMPRODUCT(MAX((PRECIOS!$A$6:$A$55&lt;=C126)*PRECIOS!$A$6:$A$55)),PRECIOS!$A$6:$A$55,0),1))</f>
      </c>
      <c r="L126" s="69">
        <f>IF(B126="","",INDEX(PRECIOS!$A$6:$A$55,K126))</f>
      </c>
      <c r="M126" s="37">
        <f>IF(B126="","",G126*INDEX(PRECIOS!$B$6:$B$55,K126))</f>
      </c>
      <c r="N126" s="37">
        <f>IF(B126="","",H126*INDEX(PRECIOS!$C$6:$C$55,K126))</f>
      </c>
      <c r="O126" s="37">
        <f>IF(B126="","",I126*INDEX(PRECIOS!$D$6:$D$55,K126))</f>
      </c>
      <c r="P126" s="37">
        <f>IF(B126="","",N(ENTRADA!$X126))</f>
      </c>
      <c r="Q126" s="70">
        <f>IF(B126="","",M126+N126+O126+P126)</f>
      </c>
      <c r="R126" s="71">
        <f>IF(B126="","",IF(ENTRADA!$J126="",Std_Viajes_Puerto,ENTRADA!$J126))</f>
      </c>
      <c r="S126" s="37">
        <f>IF(B126="","",R126*INDEX(PRECIOS!$F$6:$F$55,K126))</f>
      </c>
      <c r="T126" s="71">
        <f>IF(B126="","",R126*Litros_Puerto_Viaje)</f>
      </c>
      <c r="U126" s="71">
        <f>IF(B126="","",IF(ENTRADA!$K126="",T126,ENTRADA!$K126))</f>
      </c>
      <c r="V126" s="37">
        <f>IF(B126="","",U126*INDEX(PRECIOS!$E$6:$E$55,K126))</f>
      </c>
      <c r="W126" s="37">
        <f>IF(B126="","",IF(ENTRADA!$L126="",R126*INDEX(PRECIOS!$G$6:$G$55,K126),ENTRADA!$L126))</f>
      </c>
      <c r="X126" s="37">
        <f>IF(B126="","",R126*Km_Puerto_Viaje*INDEX(PRECIOS!$N$6:$N$55,K126))</f>
      </c>
      <c r="Y126" s="70">
        <f>IF(B126="","",S126+V126+W126+X126)</f>
      </c>
      <c r="Z126" s="71">
        <f>IF(B126="","",IF(J126=0,0,ROUNDUP(J126/Rend_Desagrupe,0)))</f>
      </c>
      <c r="AA126" s="71">
        <f>IF(B126="","",IF(ENTRADA!$M126="",Z126,ENTRADA!$M126))</f>
      </c>
      <c r="AB126" s="37">
        <f>IF(B126="","",AA126*INDEX(PRECIOS!$H$6:$H$55,K126))</f>
      </c>
      <c r="AC126" s="37">
        <f>IF(B126="","",IF(E126="ENCI",INDEX(PRECIOS!$J$6:$J$55,K126),IF(E126="A.V",INDEX(PRECIOS!$K$6:$K$55,K126),0)))</f>
      </c>
      <c r="AD126" s="37">
        <f>IF(B126="","",N(ENTRADA!$N126))</f>
      </c>
      <c r="AE126" s="70">
        <f>IF(B126="","",AB126+AC126+AD126)</f>
      </c>
      <c r="AF126" s="71">
        <f>IF(B126="","",IF(G126=0,0,ROUNDUP(G126/Cap_Camion_OCC,0)))</f>
      </c>
      <c r="AG126" s="71">
        <f>IF(B126="","",AF126*L_Dist_OCC)</f>
      </c>
      <c r="AH126" s="71">
        <f>IF(B126="","",IF(ENTRADA!$O126="",AG126,ENTRADA!$O126))</f>
      </c>
      <c r="AI126" s="37">
        <f>IF(B126="","",AH126*INDEX(PRECIOS!$E$6:$E$55,K126))</f>
      </c>
      <c r="AJ126" s="71">
        <f>IF(B126="","",IF(H126=0,0,ROUNDUP(H126/Cap_Camion_CEN,0)))</f>
      </c>
      <c r="AK126" s="71">
        <f>IF(B126="","",AJ126*L_Tras_CEN)</f>
      </c>
      <c r="AL126" s="71">
        <f>IF(B126="","",IF(ENTRADA!$P126="",AK126,ENTRADA!$P126))</f>
      </c>
      <c r="AM126" s="71">
        <f>IF(B126="","",AJ126*L_Dist_CEN)</f>
      </c>
      <c r="AN126" s="71">
        <f>IF(B126="","",IF(ENTRADA!$Q126="",AM126,ENTRADA!$Q126))</f>
      </c>
      <c r="AO126" s="37">
        <f>IF(B126="","",(AL126+AN126)*INDEX(PRECIOS!$E$6:$E$55,K126))</f>
      </c>
      <c r="AP126" s="71">
        <f>IF(B126="","",IF(H126=0,0,ROUNDUP(H126/Rend_Desagrupe_CT,0)))</f>
      </c>
      <c r="AQ126" s="71">
        <f>IF(B126="","",IF(ENTRADA!$R126="",AP126,ENTRADA!$R126))</f>
      </c>
      <c r="AR126" s="37">
        <f>IF(B126="","",AQ126*INDEX(PRECIOS!$I$6:$I$55,K126))</f>
      </c>
      <c r="AS126" s="37">
        <f>IF(B126="","",AO126+AR126)</f>
      </c>
      <c r="AT126" s="71">
        <f>IF(B126="","",IF(I126=0,0,ROUNDUP(I126/Cap_Camion_ORI,0)))</f>
      </c>
      <c r="AU126" s="71">
        <f>IF(B126="","",AT126*L_Tras_ORI)</f>
      </c>
      <c r="AV126" s="71">
        <f>IF(B126="","",IF(ENTRADA!$S126="",AU126,ENTRADA!$S126))</f>
      </c>
      <c r="AW126" s="71">
        <f>IF(B126="","",AT126*L_Dist_ORI)</f>
      </c>
      <c r="AX126" s="71">
        <f>IF(B126="","",IF(ENTRADA!$T126="",AW126,ENTRADA!$T126))</f>
      </c>
      <c r="AY126" s="37">
        <f>IF(B126="","",(AV126+AX126)*INDEX(PRECIOS!$E$6:$E$55,K126))</f>
      </c>
      <c r="AZ126" s="71">
        <f>IF(B126="","",IF(I126=0,0,ROUNDUP(I126/Rend_Desagrupe_CT,0)))</f>
      </c>
      <c r="BA126" s="71">
        <f>IF(B126="","",IF(ENTRADA!$U126="",AZ126,ENTRADA!$U126))</f>
      </c>
      <c r="BB126" s="37">
        <f>IF(B126="","",BA126*INDEX(PRECIOS!$I$6:$I$55,K126))</f>
      </c>
      <c r="BC126" s="37">
        <f>IF(B126="","",AY126+BB126)</f>
      </c>
      <c r="BD126" s="70">
        <f>IF(B126="","",AI126+AS126+BC126)</f>
      </c>
      <c r="BE126" s="37">
        <f>IF(B126="","",IF(Base_Comision="% DEL INGRESO",M126*INDEX(PRECIOS!$L$6:$L$55,K126),G126*INDEX(PRECIOS!$M$6:$M$55,K126)))</f>
      </c>
      <c r="BF126" s="37">
        <f>IF(B126="","",IF(Base_Comision="% DEL INGRESO",N126*INDEX(PRECIOS!$L$6:$L$55,K126),H126*INDEX(PRECIOS!$M$6:$M$55,K126)))</f>
      </c>
      <c r="BG126" s="37">
        <f>IF(B126="","",IF(Base_Comision="% DEL INGRESO",O126*INDEX(PRECIOS!$L$6:$L$55,K126),I126*INDEX(PRECIOS!$M$6:$M$55,K126)))</f>
      </c>
      <c r="BH126" s="70">
        <f>IF(B126="","",BE126+BF126+BG126)</f>
      </c>
      <c r="BI126" s="37">
        <f>IF(B126="","",Q126*Pct_Reclamaciones)</f>
      </c>
      <c r="BJ126" s="37">
        <f>IF(B126="","",Q126*Pct_Banco)</f>
      </c>
      <c r="BK126" s="37">
        <f>IF(B126="","",N(ENTRADA!$V126))</f>
      </c>
      <c r="BL126" s="70">
        <f>IF(B126="","",Y126+AE126+BD126+BH126+BI126+BJ126+BK126)</f>
      </c>
      <c r="BM126" s="70">
        <f>IF(B126="","",Q126-BL126)</f>
      </c>
      <c r="BN126" s="72">
        <f>IF(B126="","",IF(Q126=0,0,BM126/Q126))</f>
      </c>
      <c r="BO126" s="73">
        <f>IF(B126="","",IF(J126=0,0,BM126/J126))</f>
      </c>
      <c r="BP126" s="60">
        <f>IF(B126="","",IFERROR(MATCH(D126,COSTOS_FIJOS!$G$5:$AD$5,0),0))</f>
      </c>
      <c r="BQ126" s="60">
        <f>IF(B126="","",COUNTIFS($D$6:$D$305,D126))</f>
      </c>
      <c r="BR126" s="67">
        <f>IF(B126="","",SUMIFS($J$6:$J$305,$D$6:$D$305,D126))</f>
      </c>
      <c r="BS126" s="72">
        <f>IF(B126="","",IF(Metodo_Prorrateo="KG",IF(BR126=0,0,J126/BR126),1/BQ126))</f>
      </c>
      <c r="BT126" s="37">
        <f>IF(B126="","",IF(BP126=0,0,INDEX(COSTOS_FIJOS!$G$38:$AD$38,BP126))*BS126)</f>
      </c>
      <c r="BU126" s="72">
        <f>IF(B126="","",IF(Metodo_Prorrateo="KG",IF(SUMIFS($G$6:$G$305,$D$6:$D$305,D126)=0,0,G126/SUMIFS($G$6:$G$305,$D$6:$D$305,D126)),IF(G126&gt;0,1/COUNTIFS($D$6:$D$305,D126,$G$6:$G$305,"&gt;0"),0)))</f>
      </c>
      <c r="BV126" s="37">
        <f>IF(B126="","",IF(BP126=0,0,INDEX(COSTOS_FIJOS!$G$39:$AD$39,BP126))*BU126)</f>
      </c>
      <c r="BW126" s="72">
        <f>IF(B126="","",IF(Metodo_Prorrateo="KG",IF(SUMIFS($H$6:$H$305,$D$6:$D$305,D126)=0,0,H126/SUMIFS($H$6:$H$305,$D$6:$D$305,D126)),IF(H126&gt;0,1/COUNTIFS($D$6:$D$305,D126,$H$6:$H$305,"&gt;0"),0)))</f>
      </c>
      <c r="BX126" s="37">
        <f>IF(B126="","",IF(BP126=0,0,INDEX(COSTOS_FIJOS!$G$40:$AD$40,BP126))*BW126)</f>
      </c>
      <c r="BY126" s="72">
        <f>IF(B126="","",IF(Metodo_Prorrateo="KG",IF(SUMIFS($I$6:$I$305,$D$6:$D$305,D126)=0,0,I126/SUMIFS($I$6:$I$305,$D$6:$D$305,D126)),IF(I126&gt;0,1/COUNTIFS($D$6:$D$305,D126,$I$6:$I$305,"&gt;0"),0)))</f>
      </c>
      <c r="BZ126" s="37">
        <f>IF(B126="","",IF(BP126=0,0,INDEX(COSTOS_FIJOS!$G$41:$AD$41,BP126))*BY126)</f>
      </c>
      <c r="CA126" s="70">
        <f>IF(B126="","",BT126+BV126+BX126+BZ126)</f>
      </c>
      <c r="CB126" s="37">
        <f>IF(B126="","",Q126*Imp_Ventas_Serv)</f>
      </c>
      <c r="CC126" s="37">
        <f>IF(B126="","",Q126*Contrib_Territorial)</f>
      </c>
      <c r="CD126" s="70">
        <f>IF(B126="","",BM126-CA126-CB126-CC126)</f>
      </c>
      <c r="CE126" s="37">
        <f>IF(B126="","",MAX(0,CD126)*Imp_Utilidades)</f>
      </c>
      <c r="CF126" s="70">
        <f>IF(B126="","",CD126-CE126)</f>
      </c>
      <c r="CG126" s="72">
        <f>IF(B126="","",IF(Q126=0,0,CF126/Q126))</f>
      </c>
      <c r="CH126" s="73">
        <f>IF(B126="","",IF(J126=0,0,(BL126+CA126+CB126+CC126)/J126))</f>
      </c>
      <c r="CI126" s="73">
        <f>IF(B126="","",IF(J126=0,0,Q126/J126))</f>
      </c>
      <c r="CJ126" s="73">
        <f>IF(B126="","",IF(J126=0,0,CD126/J126))</f>
      </c>
      <c r="CK126" s="37">
        <f>IF(B126="","",Y126+AE126+BK126+BT126)</f>
      </c>
      <c r="CL126" s="37">
        <f>IF(B126="","",IF(J126=0,0,(M126+P126*G126/J126)*(1-Pct_Reclamaciones-Pct_Banco-Imp_Ventas_Serv-Contrib_Territorial)-AI126-BE126-BV126-CK126*G126/J126))</f>
      </c>
      <c r="CM126" s="37">
        <f>IF(B126="","",IF(J126=0,0,(N126+P126*H126/J126)*(1-Pct_Reclamaciones-Pct_Banco-Imp_Ventas_Serv-Contrib_Territorial)-AS126-BF126-BX126-CK126*H126/J126))</f>
      </c>
      <c r="CN126" s="37">
        <f>IF(B126="","",IF(J126=0,0,(O126+P126*I126/J126)*(1-Pct_Reclamaciones-Pct_Banco-Imp_Ventas_Serv-Contrib_Territorial)-BC126-BG126-BZ126-CK126*I126/J126))</f>
      </c>
      <c r="CO126" s="37">
        <f>IF(B126="","",IF(J126=0,0,ROUND(CD126-CL126-CM126-CN126,4)))</f>
      </c>
      <c r="CP126" s="71">
        <f>IF(B126="","",T126+AG126+AK126+AM126+AU126+AW126)</f>
      </c>
      <c r="CQ126" s="71">
        <f>IF(B126="","",U126+AH126+AL126+AN126+AV126+AX126)</f>
      </c>
      <c r="CR126" s="72">
        <f>IF(B126="","",IF(CP126=0,0,CQ126/CP126-1))</f>
      </c>
      <c r="CS126" s="60">
        <f>IF(B126="","",IF(ENTRADA!$Y126="","",ENTRADA!$Y126-C126))</f>
      </c>
      <c r="CT126" s="66">
        <f>IF(B126="","",IF(ENTRADA!$C126="","Falta fecha. ","")&amp;IF(BP126=0,"Mes fuera del rango de COSTOS_FIJOS. ","")&amp;IF(J126=0,"Sin kg. ","")&amp;IF(E126="","Falta transitaria. ","")&amp;IF(AND(T126&gt;0,U126/T126-1&gt;Tolerancia_Comb),"Combustible al puerto "&amp;TEXT(U126/T126-1,"+0%")&amp;" sobre norma. ","")&amp;IF(AND(AG126&gt;0,AH126/AG126-1&gt;Tolerancia_Comb),"Combustible distribución Occidente "&amp;TEXT(AH126/AG126-1,"+0%")&amp;" sobre norma. ","")&amp;IF(AND(AK126&gt;0,AL126/AK126-1&gt;Tolerancia_Comb),"Combustible traslado Centro "&amp;TEXT(AL126/AK126-1,"+0%")&amp;" sobre norma. ","")&amp;IF(AND(AM126&gt;0,AN126/AM126-1&gt;Tolerancia_Comb),"Combustible distribución Centro "&amp;TEXT(AN126/AM126-1,"+0%")&amp;" sobre norma. ","")&amp;IF(AND(AU126&gt;0,AV126/AU126-1&gt;Tolerancia_Comb),"Combustible traslado Oriente "&amp;TEXT(AV126/AU126-1,"+0%")&amp;" sobre norma. ","")&amp;IF(AND(AW126&gt;0,AX126/AW126-1&gt;Tolerancia_Comb),"Combustible distribución Oriente "&amp;TEXT(AX126/AW126-1,"+0%")&amp;" sobre norma. ","")&amp;IF(AND(ENTRADA!$C126&lt;&gt;"",C126&lt;PRECIOS!$A$6),"Fecha anterior a la 1ª vigencia de precios. ","")&amp;IF(CD126&lt;0,"Contenedor con pérdida. ",""))</f>
      </c>
    </row>
    <row r="127">
      <c r="A127" s="60">
        <f>IF(B127="","",ROW()-5)</f>
      </c>
      <c r="B127" s="63">
        <f>IF(ENTRADA!$B127="","",ENTRADA!$B127)</f>
      </c>
      <c r="C127" s="64">
        <f>IF(B127="","",ENTRADA!$C127)</f>
      </c>
      <c r="D127" s="65">
        <f>IF(B127="","",DATE(YEAR(C127),MONTH(C127),1))</f>
      </c>
      <c r="E127" s="66">
        <f>IF(B127="","",ENTRADA!$D127&amp;"")</f>
      </c>
      <c r="F127" s="66">
        <f>IF(B127="","",ENTRADA!$Z127&amp;"")</f>
      </c>
      <c r="G127" s="67">
        <f>IF(B127="","",N(ENTRADA!$G127))</f>
      </c>
      <c r="H127" s="67">
        <f>IF(B127="","",N(ENTRADA!$H127))</f>
      </c>
      <c r="I127" s="67">
        <f>IF(B127="","",N(ENTRADA!$I127))</f>
      </c>
      <c r="J127" s="68">
        <f>IF(B127="","",G127+H127+I127)</f>
      </c>
      <c r="K127" s="60">
        <f>IF(B127="","",IFERROR(MATCH(SUMPRODUCT(MAX((PRECIOS!$A$6:$A$55&lt;=C127)*PRECIOS!$A$6:$A$55)),PRECIOS!$A$6:$A$55,0),1))</f>
      </c>
      <c r="L127" s="69">
        <f>IF(B127="","",INDEX(PRECIOS!$A$6:$A$55,K127))</f>
      </c>
      <c r="M127" s="37">
        <f>IF(B127="","",G127*INDEX(PRECIOS!$B$6:$B$55,K127))</f>
      </c>
      <c r="N127" s="37">
        <f>IF(B127="","",H127*INDEX(PRECIOS!$C$6:$C$55,K127))</f>
      </c>
      <c r="O127" s="37">
        <f>IF(B127="","",I127*INDEX(PRECIOS!$D$6:$D$55,K127))</f>
      </c>
      <c r="P127" s="37">
        <f>IF(B127="","",N(ENTRADA!$X127))</f>
      </c>
      <c r="Q127" s="70">
        <f>IF(B127="","",M127+N127+O127+P127)</f>
      </c>
      <c r="R127" s="71">
        <f>IF(B127="","",IF(ENTRADA!$J127="",Std_Viajes_Puerto,ENTRADA!$J127))</f>
      </c>
      <c r="S127" s="37">
        <f>IF(B127="","",R127*INDEX(PRECIOS!$F$6:$F$55,K127))</f>
      </c>
      <c r="T127" s="71">
        <f>IF(B127="","",R127*Litros_Puerto_Viaje)</f>
      </c>
      <c r="U127" s="71">
        <f>IF(B127="","",IF(ENTRADA!$K127="",T127,ENTRADA!$K127))</f>
      </c>
      <c r="V127" s="37">
        <f>IF(B127="","",U127*INDEX(PRECIOS!$E$6:$E$55,K127))</f>
      </c>
      <c r="W127" s="37">
        <f>IF(B127="","",IF(ENTRADA!$L127="",R127*INDEX(PRECIOS!$G$6:$G$55,K127),ENTRADA!$L127))</f>
      </c>
      <c r="X127" s="37">
        <f>IF(B127="","",R127*Km_Puerto_Viaje*INDEX(PRECIOS!$N$6:$N$55,K127))</f>
      </c>
      <c r="Y127" s="70">
        <f>IF(B127="","",S127+V127+W127+X127)</f>
      </c>
      <c r="Z127" s="71">
        <f>IF(B127="","",IF(J127=0,0,ROUNDUP(J127/Rend_Desagrupe,0)))</f>
      </c>
      <c r="AA127" s="71">
        <f>IF(B127="","",IF(ENTRADA!$M127="",Z127,ENTRADA!$M127))</f>
      </c>
      <c r="AB127" s="37">
        <f>IF(B127="","",AA127*INDEX(PRECIOS!$H$6:$H$55,K127))</f>
      </c>
      <c r="AC127" s="37">
        <f>IF(B127="","",IF(E127="ENCI",INDEX(PRECIOS!$J$6:$J$55,K127),IF(E127="A.V",INDEX(PRECIOS!$K$6:$K$55,K127),0)))</f>
      </c>
      <c r="AD127" s="37">
        <f>IF(B127="","",N(ENTRADA!$N127))</f>
      </c>
      <c r="AE127" s="70">
        <f>IF(B127="","",AB127+AC127+AD127)</f>
      </c>
      <c r="AF127" s="71">
        <f>IF(B127="","",IF(G127=0,0,ROUNDUP(G127/Cap_Camion_OCC,0)))</f>
      </c>
      <c r="AG127" s="71">
        <f>IF(B127="","",AF127*L_Dist_OCC)</f>
      </c>
      <c r="AH127" s="71">
        <f>IF(B127="","",IF(ENTRADA!$O127="",AG127,ENTRADA!$O127))</f>
      </c>
      <c r="AI127" s="37">
        <f>IF(B127="","",AH127*INDEX(PRECIOS!$E$6:$E$55,K127))</f>
      </c>
      <c r="AJ127" s="71">
        <f>IF(B127="","",IF(H127=0,0,ROUNDUP(H127/Cap_Camion_CEN,0)))</f>
      </c>
      <c r="AK127" s="71">
        <f>IF(B127="","",AJ127*L_Tras_CEN)</f>
      </c>
      <c r="AL127" s="71">
        <f>IF(B127="","",IF(ENTRADA!$P127="",AK127,ENTRADA!$P127))</f>
      </c>
      <c r="AM127" s="71">
        <f>IF(B127="","",AJ127*L_Dist_CEN)</f>
      </c>
      <c r="AN127" s="71">
        <f>IF(B127="","",IF(ENTRADA!$Q127="",AM127,ENTRADA!$Q127))</f>
      </c>
      <c r="AO127" s="37">
        <f>IF(B127="","",(AL127+AN127)*INDEX(PRECIOS!$E$6:$E$55,K127))</f>
      </c>
      <c r="AP127" s="71">
        <f>IF(B127="","",IF(H127=0,0,ROUNDUP(H127/Rend_Desagrupe_CT,0)))</f>
      </c>
      <c r="AQ127" s="71">
        <f>IF(B127="","",IF(ENTRADA!$R127="",AP127,ENTRADA!$R127))</f>
      </c>
      <c r="AR127" s="37">
        <f>IF(B127="","",AQ127*INDEX(PRECIOS!$I$6:$I$55,K127))</f>
      </c>
      <c r="AS127" s="37">
        <f>IF(B127="","",AO127+AR127)</f>
      </c>
      <c r="AT127" s="71">
        <f>IF(B127="","",IF(I127=0,0,ROUNDUP(I127/Cap_Camion_ORI,0)))</f>
      </c>
      <c r="AU127" s="71">
        <f>IF(B127="","",AT127*L_Tras_ORI)</f>
      </c>
      <c r="AV127" s="71">
        <f>IF(B127="","",IF(ENTRADA!$S127="",AU127,ENTRADA!$S127))</f>
      </c>
      <c r="AW127" s="71">
        <f>IF(B127="","",AT127*L_Dist_ORI)</f>
      </c>
      <c r="AX127" s="71">
        <f>IF(B127="","",IF(ENTRADA!$T127="",AW127,ENTRADA!$T127))</f>
      </c>
      <c r="AY127" s="37">
        <f>IF(B127="","",(AV127+AX127)*INDEX(PRECIOS!$E$6:$E$55,K127))</f>
      </c>
      <c r="AZ127" s="71">
        <f>IF(B127="","",IF(I127=0,0,ROUNDUP(I127/Rend_Desagrupe_CT,0)))</f>
      </c>
      <c r="BA127" s="71">
        <f>IF(B127="","",IF(ENTRADA!$U127="",AZ127,ENTRADA!$U127))</f>
      </c>
      <c r="BB127" s="37">
        <f>IF(B127="","",BA127*INDEX(PRECIOS!$I$6:$I$55,K127))</f>
      </c>
      <c r="BC127" s="37">
        <f>IF(B127="","",AY127+BB127)</f>
      </c>
      <c r="BD127" s="70">
        <f>IF(B127="","",AI127+AS127+BC127)</f>
      </c>
      <c r="BE127" s="37">
        <f>IF(B127="","",IF(Base_Comision="% DEL INGRESO",M127*INDEX(PRECIOS!$L$6:$L$55,K127),G127*INDEX(PRECIOS!$M$6:$M$55,K127)))</f>
      </c>
      <c r="BF127" s="37">
        <f>IF(B127="","",IF(Base_Comision="% DEL INGRESO",N127*INDEX(PRECIOS!$L$6:$L$55,K127),H127*INDEX(PRECIOS!$M$6:$M$55,K127)))</f>
      </c>
      <c r="BG127" s="37">
        <f>IF(B127="","",IF(Base_Comision="% DEL INGRESO",O127*INDEX(PRECIOS!$L$6:$L$55,K127),I127*INDEX(PRECIOS!$M$6:$M$55,K127)))</f>
      </c>
      <c r="BH127" s="70">
        <f>IF(B127="","",BE127+BF127+BG127)</f>
      </c>
      <c r="BI127" s="37">
        <f>IF(B127="","",Q127*Pct_Reclamaciones)</f>
      </c>
      <c r="BJ127" s="37">
        <f>IF(B127="","",Q127*Pct_Banco)</f>
      </c>
      <c r="BK127" s="37">
        <f>IF(B127="","",N(ENTRADA!$V127))</f>
      </c>
      <c r="BL127" s="70">
        <f>IF(B127="","",Y127+AE127+BD127+BH127+BI127+BJ127+BK127)</f>
      </c>
      <c r="BM127" s="70">
        <f>IF(B127="","",Q127-BL127)</f>
      </c>
      <c r="BN127" s="72">
        <f>IF(B127="","",IF(Q127=0,0,BM127/Q127))</f>
      </c>
      <c r="BO127" s="73">
        <f>IF(B127="","",IF(J127=0,0,BM127/J127))</f>
      </c>
      <c r="BP127" s="60">
        <f>IF(B127="","",IFERROR(MATCH(D127,COSTOS_FIJOS!$G$5:$AD$5,0),0))</f>
      </c>
      <c r="BQ127" s="60">
        <f>IF(B127="","",COUNTIFS($D$6:$D$305,D127))</f>
      </c>
      <c r="BR127" s="67">
        <f>IF(B127="","",SUMIFS($J$6:$J$305,$D$6:$D$305,D127))</f>
      </c>
      <c r="BS127" s="72">
        <f>IF(B127="","",IF(Metodo_Prorrateo="KG",IF(BR127=0,0,J127/BR127),1/BQ127))</f>
      </c>
      <c r="BT127" s="37">
        <f>IF(B127="","",IF(BP127=0,0,INDEX(COSTOS_FIJOS!$G$38:$AD$38,BP127))*BS127)</f>
      </c>
      <c r="BU127" s="72">
        <f>IF(B127="","",IF(Metodo_Prorrateo="KG",IF(SUMIFS($G$6:$G$305,$D$6:$D$305,D127)=0,0,G127/SUMIFS($G$6:$G$305,$D$6:$D$305,D127)),IF(G127&gt;0,1/COUNTIFS($D$6:$D$305,D127,$G$6:$G$305,"&gt;0"),0)))</f>
      </c>
      <c r="BV127" s="37">
        <f>IF(B127="","",IF(BP127=0,0,INDEX(COSTOS_FIJOS!$G$39:$AD$39,BP127))*BU127)</f>
      </c>
      <c r="BW127" s="72">
        <f>IF(B127="","",IF(Metodo_Prorrateo="KG",IF(SUMIFS($H$6:$H$305,$D$6:$D$305,D127)=0,0,H127/SUMIFS($H$6:$H$305,$D$6:$D$305,D127)),IF(H127&gt;0,1/COUNTIFS($D$6:$D$305,D127,$H$6:$H$305,"&gt;0"),0)))</f>
      </c>
      <c r="BX127" s="37">
        <f>IF(B127="","",IF(BP127=0,0,INDEX(COSTOS_FIJOS!$G$40:$AD$40,BP127))*BW127)</f>
      </c>
      <c r="BY127" s="72">
        <f>IF(B127="","",IF(Metodo_Prorrateo="KG",IF(SUMIFS($I$6:$I$305,$D$6:$D$305,D127)=0,0,I127/SUMIFS($I$6:$I$305,$D$6:$D$305,D127)),IF(I127&gt;0,1/COUNTIFS($D$6:$D$305,D127,$I$6:$I$305,"&gt;0"),0)))</f>
      </c>
      <c r="BZ127" s="37">
        <f>IF(B127="","",IF(BP127=0,0,INDEX(COSTOS_FIJOS!$G$41:$AD$41,BP127))*BY127)</f>
      </c>
      <c r="CA127" s="70">
        <f>IF(B127="","",BT127+BV127+BX127+BZ127)</f>
      </c>
      <c r="CB127" s="37">
        <f>IF(B127="","",Q127*Imp_Ventas_Serv)</f>
      </c>
      <c r="CC127" s="37">
        <f>IF(B127="","",Q127*Contrib_Territorial)</f>
      </c>
      <c r="CD127" s="70">
        <f>IF(B127="","",BM127-CA127-CB127-CC127)</f>
      </c>
      <c r="CE127" s="37">
        <f>IF(B127="","",MAX(0,CD127)*Imp_Utilidades)</f>
      </c>
      <c r="CF127" s="70">
        <f>IF(B127="","",CD127-CE127)</f>
      </c>
      <c r="CG127" s="72">
        <f>IF(B127="","",IF(Q127=0,0,CF127/Q127))</f>
      </c>
      <c r="CH127" s="73">
        <f>IF(B127="","",IF(J127=0,0,(BL127+CA127+CB127+CC127)/J127))</f>
      </c>
      <c r="CI127" s="73">
        <f>IF(B127="","",IF(J127=0,0,Q127/J127))</f>
      </c>
      <c r="CJ127" s="73">
        <f>IF(B127="","",IF(J127=0,0,CD127/J127))</f>
      </c>
      <c r="CK127" s="37">
        <f>IF(B127="","",Y127+AE127+BK127+BT127)</f>
      </c>
      <c r="CL127" s="37">
        <f>IF(B127="","",IF(J127=0,0,(M127+P127*G127/J127)*(1-Pct_Reclamaciones-Pct_Banco-Imp_Ventas_Serv-Contrib_Territorial)-AI127-BE127-BV127-CK127*G127/J127))</f>
      </c>
      <c r="CM127" s="37">
        <f>IF(B127="","",IF(J127=0,0,(N127+P127*H127/J127)*(1-Pct_Reclamaciones-Pct_Banco-Imp_Ventas_Serv-Contrib_Territorial)-AS127-BF127-BX127-CK127*H127/J127))</f>
      </c>
      <c r="CN127" s="37">
        <f>IF(B127="","",IF(J127=0,0,(O127+P127*I127/J127)*(1-Pct_Reclamaciones-Pct_Banco-Imp_Ventas_Serv-Contrib_Territorial)-BC127-BG127-BZ127-CK127*I127/J127))</f>
      </c>
      <c r="CO127" s="37">
        <f>IF(B127="","",IF(J127=0,0,ROUND(CD127-CL127-CM127-CN127,4)))</f>
      </c>
      <c r="CP127" s="71">
        <f>IF(B127="","",T127+AG127+AK127+AM127+AU127+AW127)</f>
      </c>
      <c r="CQ127" s="71">
        <f>IF(B127="","",U127+AH127+AL127+AN127+AV127+AX127)</f>
      </c>
      <c r="CR127" s="72">
        <f>IF(B127="","",IF(CP127=0,0,CQ127/CP127-1))</f>
      </c>
      <c r="CS127" s="60">
        <f>IF(B127="","",IF(ENTRADA!$Y127="","",ENTRADA!$Y127-C127))</f>
      </c>
      <c r="CT127" s="66">
        <f>IF(B127="","",IF(ENTRADA!$C127="","Falta fecha. ","")&amp;IF(BP127=0,"Mes fuera del rango de COSTOS_FIJOS. ","")&amp;IF(J127=0,"Sin kg. ","")&amp;IF(E127="","Falta transitaria. ","")&amp;IF(AND(T127&gt;0,U127/T127-1&gt;Tolerancia_Comb),"Combustible al puerto "&amp;TEXT(U127/T127-1,"+0%")&amp;" sobre norma. ","")&amp;IF(AND(AG127&gt;0,AH127/AG127-1&gt;Tolerancia_Comb),"Combustible distribución Occidente "&amp;TEXT(AH127/AG127-1,"+0%")&amp;" sobre norma. ","")&amp;IF(AND(AK127&gt;0,AL127/AK127-1&gt;Tolerancia_Comb),"Combustible traslado Centro "&amp;TEXT(AL127/AK127-1,"+0%")&amp;" sobre norma. ","")&amp;IF(AND(AM127&gt;0,AN127/AM127-1&gt;Tolerancia_Comb),"Combustible distribución Centro "&amp;TEXT(AN127/AM127-1,"+0%")&amp;" sobre norma. ","")&amp;IF(AND(AU127&gt;0,AV127/AU127-1&gt;Tolerancia_Comb),"Combustible traslado Oriente "&amp;TEXT(AV127/AU127-1,"+0%")&amp;" sobre norma. ","")&amp;IF(AND(AW127&gt;0,AX127/AW127-1&gt;Tolerancia_Comb),"Combustible distribución Oriente "&amp;TEXT(AX127/AW127-1,"+0%")&amp;" sobre norma. ","")&amp;IF(AND(ENTRADA!$C127&lt;&gt;"",C127&lt;PRECIOS!$A$6),"Fecha anterior a la 1ª vigencia de precios. ","")&amp;IF(CD127&lt;0,"Contenedor con pérdida. ",""))</f>
      </c>
    </row>
    <row r="128">
      <c r="A128" s="60">
        <f>IF(B128="","",ROW()-5)</f>
      </c>
      <c r="B128" s="63">
        <f>IF(ENTRADA!$B128="","",ENTRADA!$B128)</f>
      </c>
      <c r="C128" s="64">
        <f>IF(B128="","",ENTRADA!$C128)</f>
      </c>
      <c r="D128" s="65">
        <f>IF(B128="","",DATE(YEAR(C128),MONTH(C128),1))</f>
      </c>
      <c r="E128" s="66">
        <f>IF(B128="","",ENTRADA!$D128&amp;"")</f>
      </c>
      <c r="F128" s="66">
        <f>IF(B128="","",ENTRADA!$Z128&amp;"")</f>
      </c>
      <c r="G128" s="67">
        <f>IF(B128="","",N(ENTRADA!$G128))</f>
      </c>
      <c r="H128" s="67">
        <f>IF(B128="","",N(ENTRADA!$H128))</f>
      </c>
      <c r="I128" s="67">
        <f>IF(B128="","",N(ENTRADA!$I128))</f>
      </c>
      <c r="J128" s="68">
        <f>IF(B128="","",G128+H128+I128)</f>
      </c>
      <c r="K128" s="60">
        <f>IF(B128="","",IFERROR(MATCH(SUMPRODUCT(MAX((PRECIOS!$A$6:$A$55&lt;=C128)*PRECIOS!$A$6:$A$55)),PRECIOS!$A$6:$A$55,0),1))</f>
      </c>
      <c r="L128" s="69">
        <f>IF(B128="","",INDEX(PRECIOS!$A$6:$A$55,K128))</f>
      </c>
      <c r="M128" s="37">
        <f>IF(B128="","",G128*INDEX(PRECIOS!$B$6:$B$55,K128))</f>
      </c>
      <c r="N128" s="37">
        <f>IF(B128="","",H128*INDEX(PRECIOS!$C$6:$C$55,K128))</f>
      </c>
      <c r="O128" s="37">
        <f>IF(B128="","",I128*INDEX(PRECIOS!$D$6:$D$55,K128))</f>
      </c>
      <c r="P128" s="37">
        <f>IF(B128="","",N(ENTRADA!$X128))</f>
      </c>
      <c r="Q128" s="70">
        <f>IF(B128="","",M128+N128+O128+P128)</f>
      </c>
      <c r="R128" s="71">
        <f>IF(B128="","",IF(ENTRADA!$J128="",Std_Viajes_Puerto,ENTRADA!$J128))</f>
      </c>
      <c r="S128" s="37">
        <f>IF(B128="","",R128*INDEX(PRECIOS!$F$6:$F$55,K128))</f>
      </c>
      <c r="T128" s="71">
        <f>IF(B128="","",R128*Litros_Puerto_Viaje)</f>
      </c>
      <c r="U128" s="71">
        <f>IF(B128="","",IF(ENTRADA!$K128="",T128,ENTRADA!$K128))</f>
      </c>
      <c r="V128" s="37">
        <f>IF(B128="","",U128*INDEX(PRECIOS!$E$6:$E$55,K128))</f>
      </c>
      <c r="W128" s="37">
        <f>IF(B128="","",IF(ENTRADA!$L128="",R128*INDEX(PRECIOS!$G$6:$G$55,K128),ENTRADA!$L128))</f>
      </c>
      <c r="X128" s="37">
        <f>IF(B128="","",R128*Km_Puerto_Viaje*INDEX(PRECIOS!$N$6:$N$55,K128))</f>
      </c>
      <c r="Y128" s="70">
        <f>IF(B128="","",S128+V128+W128+X128)</f>
      </c>
      <c r="Z128" s="71">
        <f>IF(B128="","",IF(J128=0,0,ROUNDUP(J128/Rend_Desagrupe,0)))</f>
      </c>
      <c r="AA128" s="71">
        <f>IF(B128="","",IF(ENTRADA!$M128="",Z128,ENTRADA!$M128))</f>
      </c>
      <c r="AB128" s="37">
        <f>IF(B128="","",AA128*INDEX(PRECIOS!$H$6:$H$55,K128))</f>
      </c>
      <c r="AC128" s="37">
        <f>IF(B128="","",IF(E128="ENCI",INDEX(PRECIOS!$J$6:$J$55,K128),IF(E128="A.V",INDEX(PRECIOS!$K$6:$K$55,K128),0)))</f>
      </c>
      <c r="AD128" s="37">
        <f>IF(B128="","",N(ENTRADA!$N128))</f>
      </c>
      <c r="AE128" s="70">
        <f>IF(B128="","",AB128+AC128+AD128)</f>
      </c>
      <c r="AF128" s="71">
        <f>IF(B128="","",IF(G128=0,0,ROUNDUP(G128/Cap_Camion_OCC,0)))</f>
      </c>
      <c r="AG128" s="71">
        <f>IF(B128="","",AF128*L_Dist_OCC)</f>
      </c>
      <c r="AH128" s="71">
        <f>IF(B128="","",IF(ENTRADA!$O128="",AG128,ENTRADA!$O128))</f>
      </c>
      <c r="AI128" s="37">
        <f>IF(B128="","",AH128*INDEX(PRECIOS!$E$6:$E$55,K128))</f>
      </c>
      <c r="AJ128" s="71">
        <f>IF(B128="","",IF(H128=0,0,ROUNDUP(H128/Cap_Camion_CEN,0)))</f>
      </c>
      <c r="AK128" s="71">
        <f>IF(B128="","",AJ128*L_Tras_CEN)</f>
      </c>
      <c r="AL128" s="71">
        <f>IF(B128="","",IF(ENTRADA!$P128="",AK128,ENTRADA!$P128))</f>
      </c>
      <c r="AM128" s="71">
        <f>IF(B128="","",AJ128*L_Dist_CEN)</f>
      </c>
      <c r="AN128" s="71">
        <f>IF(B128="","",IF(ENTRADA!$Q128="",AM128,ENTRADA!$Q128))</f>
      </c>
      <c r="AO128" s="37">
        <f>IF(B128="","",(AL128+AN128)*INDEX(PRECIOS!$E$6:$E$55,K128))</f>
      </c>
      <c r="AP128" s="71">
        <f>IF(B128="","",IF(H128=0,0,ROUNDUP(H128/Rend_Desagrupe_CT,0)))</f>
      </c>
      <c r="AQ128" s="71">
        <f>IF(B128="","",IF(ENTRADA!$R128="",AP128,ENTRADA!$R128))</f>
      </c>
      <c r="AR128" s="37">
        <f>IF(B128="","",AQ128*INDEX(PRECIOS!$I$6:$I$55,K128))</f>
      </c>
      <c r="AS128" s="37">
        <f>IF(B128="","",AO128+AR128)</f>
      </c>
      <c r="AT128" s="71">
        <f>IF(B128="","",IF(I128=0,0,ROUNDUP(I128/Cap_Camion_ORI,0)))</f>
      </c>
      <c r="AU128" s="71">
        <f>IF(B128="","",AT128*L_Tras_ORI)</f>
      </c>
      <c r="AV128" s="71">
        <f>IF(B128="","",IF(ENTRADA!$S128="",AU128,ENTRADA!$S128))</f>
      </c>
      <c r="AW128" s="71">
        <f>IF(B128="","",AT128*L_Dist_ORI)</f>
      </c>
      <c r="AX128" s="71">
        <f>IF(B128="","",IF(ENTRADA!$T128="",AW128,ENTRADA!$T128))</f>
      </c>
      <c r="AY128" s="37">
        <f>IF(B128="","",(AV128+AX128)*INDEX(PRECIOS!$E$6:$E$55,K128))</f>
      </c>
      <c r="AZ128" s="71">
        <f>IF(B128="","",IF(I128=0,0,ROUNDUP(I128/Rend_Desagrupe_CT,0)))</f>
      </c>
      <c r="BA128" s="71">
        <f>IF(B128="","",IF(ENTRADA!$U128="",AZ128,ENTRADA!$U128))</f>
      </c>
      <c r="BB128" s="37">
        <f>IF(B128="","",BA128*INDEX(PRECIOS!$I$6:$I$55,K128))</f>
      </c>
      <c r="BC128" s="37">
        <f>IF(B128="","",AY128+BB128)</f>
      </c>
      <c r="BD128" s="70">
        <f>IF(B128="","",AI128+AS128+BC128)</f>
      </c>
      <c r="BE128" s="37">
        <f>IF(B128="","",IF(Base_Comision="% DEL INGRESO",M128*INDEX(PRECIOS!$L$6:$L$55,K128),G128*INDEX(PRECIOS!$M$6:$M$55,K128)))</f>
      </c>
      <c r="BF128" s="37">
        <f>IF(B128="","",IF(Base_Comision="% DEL INGRESO",N128*INDEX(PRECIOS!$L$6:$L$55,K128),H128*INDEX(PRECIOS!$M$6:$M$55,K128)))</f>
      </c>
      <c r="BG128" s="37">
        <f>IF(B128="","",IF(Base_Comision="% DEL INGRESO",O128*INDEX(PRECIOS!$L$6:$L$55,K128),I128*INDEX(PRECIOS!$M$6:$M$55,K128)))</f>
      </c>
      <c r="BH128" s="70">
        <f>IF(B128="","",BE128+BF128+BG128)</f>
      </c>
      <c r="BI128" s="37">
        <f>IF(B128="","",Q128*Pct_Reclamaciones)</f>
      </c>
      <c r="BJ128" s="37">
        <f>IF(B128="","",Q128*Pct_Banco)</f>
      </c>
      <c r="BK128" s="37">
        <f>IF(B128="","",N(ENTRADA!$V128))</f>
      </c>
      <c r="BL128" s="70">
        <f>IF(B128="","",Y128+AE128+BD128+BH128+BI128+BJ128+BK128)</f>
      </c>
      <c r="BM128" s="70">
        <f>IF(B128="","",Q128-BL128)</f>
      </c>
      <c r="BN128" s="72">
        <f>IF(B128="","",IF(Q128=0,0,BM128/Q128))</f>
      </c>
      <c r="BO128" s="73">
        <f>IF(B128="","",IF(J128=0,0,BM128/J128))</f>
      </c>
      <c r="BP128" s="60">
        <f>IF(B128="","",IFERROR(MATCH(D128,COSTOS_FIJOS!$G$5:$AD$5,0),0))</f>
      </c>
      <c r="BQ128" s="60">
        <f>IF(B128="","",COUNTIFS($D$6:$D$305,D128))</f>
      </c>
      <c r="BR128" s="67">
        <f>IF(B128="","",SUMIFS($J$6:$J$305,$D$6:$D$305,D128))</f>
      </c>
      <c r="BS128" s="72">
        <f>IF(B128="","",IF(Metodo_Prorrateo="KG",IF(BR128=0,0,J128/BR128),1/BQ128))</f>
      </c>
      <c r="BT128" s="37">
        <f>IF(B128="","",IF(BP128=0,0,INDEX(COSTOS_FIJOS!$G$38:$AD$38,BP128))*BS128)</f>
      </c>
      <c r="BU128" s="72">
        <f>IF(B128="","",IF(Metodo_Prorrateo="KG",IF(SUMIFS($G$6:$G$305,$D$6:$D$305,D128)=0,0,G128/SUMIFS($G$6:$G$305,$D$6:$D$305,D128)),IF(G128&gt;0,1/COUNTIFS($D$6:$D$305,D128,$G$6:$G$305,"&gt;0"),0)))</f>
      </c>
      <c r="BV128" s="37">
        <f>IF(B128="","",IF(BP128=0,0,INDEX(COSTOS_FIJOS!$G$39:$AD$39,BP128))*BU128)</f>
      </c>
      <c r="BW128" s="72">
        <f>IF(B128="","",IF(Metodo_Prorrateo="KG",IF(SUMIFS($H$6:$H$305,$D$6:$D$305,D128)=0,0,H128/SUMIFS($H$6:$H$305,$D$6:$D$305,D128)),IF(H128&gt;0,1/COUNTIFS($D$6:$D$305,D128,$H$6:$H$305,"&gt;0"),0)))</f>
      </c>
      <c r="BX128" s="37">
        <f>IF(B128="","",IF(BP128=0,0,INDEX(COSTOS_FIJOS!$G$40:$AD$40,BP128))*BW128)</f>
      </c>
      <c r="BY128" s="72">
        <f>IF(B128="","",IF(Metodo_Prorrateo="KG",IF(SUMIFS($I$6:$I$305,$D$6:$D$305,D128)=0,0,I128/SUMIFS($I$6:$I$305,$D$6:$D$305,D128)),IF(I128&gt;0,1/COUNTIFS($D$6:$D$305,D128,$I$6:$I$305,"&gt;0"),0)))</f>
      </c>
      <c r="BZ128" s="37">
        <f>IF(B128="","",IF(BP128=0,0,INDEX(COSTOS_FIJOS!$G$41:$AD$41,BP128))*BY128)</f>
      </c>
      <c r="CA128" s="70">
        <f>IF(B128="","",BT128+BV128+BX128+BZ128)</f>
      </c>
      <c r="CB128" s="37">
        <f>IF(B128="","",Q128*Imp_Ventas_Serv)</f>
      </c>
      <c r="CC128" s="37">
        <f>IF(B128="","",Q128*Contrib_Territorial)</f>
      </c>
      <c r="CD128" s="70">
        <f>IF(B128="","",BM128-CA128-CB128-CC128)</f>
      </c>
      <c r="CE128" s="37">
        <f>IF(B128="","",MAX(0,CD128)*Imp_Utilidades)</f>
      </c>
      <c r="CF128" s="70">
        <f>IF(B128="","",CD128-CE128)</f>
      </c>
      <c r="CG128" s="72">
        <f>IF(B128="","",IF(Q128=0,0,CF128/Q128))</f>
      </c>
      <c r="CH128" s="73">
        <f>IF(B128="","",IF(J128=0,0,(BL128+CA128+CB128+CC128)/J128))</f>
      </c>
      <c r="CI128" s="73">
        <f>IF(B128="","",IF(J128=0,0,Q128/J128))</f>
      </c>
      <c r="CJ128" s="73">
        <f>IF(B128="","",IF(J128=0,0,CD128/J128))</f>
      </c>
      <c r="CK128" s="37">
        <f>IF(B128="","",Y128+AE128+BK128+BT128)</f>
      </c>
      <c r="CL128" s="37">
        <f>IF(B128="","",IF(J128=0,0,(M128+P128*G128/J128)*(1-Pct_Reclamaciones-Pct_Banco-Imp_Ventas_Serv-Contrib_Territorial)-AI128-BE128-BV128-CK128*G128/J128))</f>
      </c>
      <c r="CM128" s="37">
        <f>IF(B128="","",IF(J128=0,0,(N128+P128*H128/J128)*(1-Pct_Reclamaciones-Pct_Banco-Imp_Ventas_Serv-Contrib_Territorial)-AS128-BF128-BX128-CK128*H128/J128))</f>
      </c>
      <c r="CN128" s="37">
        <f>IF(B128="","",IF(J128=0,0,(O128+P128*I128/J128)*(1-Pct_Reclamaciones-Pct_Banco-Imp_Ventas_Serv-Contrib_Territorial)-BC128-BG128-BZ128-CK128*I128/J128))</f>
      </c>
      <c r="CO128" s="37">
        <f>IF(B128="","",IF(J128=0,0,ROUND(CD128-CL128-CM128-CN128,4)))</f>
      </c>
      <c r="CP128" s="71">
        <f>IF(B128="","",T128+AG128+AK128+AM128+AU128+AW128)</f>
      </c>
      <c r="CQ128" s="71">
        <f>IF(B128="","",U128+AH128+AL128+AN128+AV128+AX128)</f>
      </c>
      <c r="CR128" s="72">
        <f>IF(B128="","",IF(CP128=0,0,CQ128/CP128-1))</f>
      </c>
      <c r="CS128" s="60">
        <f>IF(B128="","",IF(ENTRADA!$Y128="","",ENTRADA!$Y128-C128))</f>
      </c>
      <c r="CT128" s="66">
        <f>IF(B128="","",IF(ENTRADA!$C128="","Falta fecha. ","")&amp;IF(BP128=0,"Mes fuera del rango de COSTOS_FIJOS. ","")&amp;IF(J128=0,"Sin kg. ","")&amp;IF(E128="","Falta transitaria. ","")&amp;IF(AND(T128&gt;0,U128/T128-1&gt;Tolerancia_Comb),"Combustible al puerto "&amp;TEXT(U128/T128-1,"+0%")&amp;" sobre norma. ","")&amp;IF(AND(AG128&gt;0,AH128/AG128-1&gt;Tolerancia_Comb),"Combustible distribución Occidente "&amp;TEXT(AH128/AG128-1,"+0%")&amp;" sobre norma. ","")&amp;IF(AND(AK128&gt;0,AL128/AK128-1&gt;Tolerancia_Comb),"Combustible traslado Centro "&amp;TEXT(AL128/AK128-1,"+0%")&amp;" sobre norma. ","")&amp;IF(AND(AM128&gt;0,AN128/AM128-1&gt;Tolerancia_Comb),"Combustible distribución Centro "&amp;TEXT(AN128/AM128-1,"+0%")&amp;" sobre norma. ","")&amp;IF(AND(AU128&gt;0,AV128/AU128-1&gt;Tolerancia_Comb),"Combustible traslado Oriente "&amp;TEXT(AV128/AU128-1,"+0%")&amp;" sobre norma. ","")&amp;IF(AND(AW128&gt;0,AX128/AW128-1&gt;Tolerancia_Comb),"Combustible distribución Oriente "&amp;TEXT(AX128/AW128-1,"+0%")&amp;" sobre norma. ","")&amp;IF(AND(ENTRADA!$C128&lt;&gt;"",C128&lt;PRECIOS!$A$6),"Fecha anterior a la 1ª vigencia de precios. ","")&amp;IF(CD128&lt;0,"Contenedor con pérdida. ",""))</f>
      </c>
    </row>
    <row r="129">
      <c r="A129" s="60">
        <f>IF(B129="","",ROW()-5)</f>
      </c>
      <c r="B129" s="63">
        <f>IF(ENTRADA!$B129="","",ENTRADA!$B129)</f>
      </c>
      <c r="C129" s="64">
        <f>IF(B129="","",ENTRADA!$C129)</f>
      </c>
      <c r="D129" s="65">
        <f>IF(B129="","",DATE(YEAR(C129),MONTH(C129),1))</f>
      </c>
      <c r="E129" s="66">
        <f>IF(B129="","",ENTRADA!$D129&amp;"")</f>
      </c>
      <c r="F129" s="66">
        <f>IF(B129="","",ENTRADA!$Z129&amp;"")</f>
      </c>
      <c r="G129" s="67">
        <f>IF(B129="","",N(ENTRADA!$G129))</f>
      </c>
      <c r="H129" s="67">
        <f>IF(B129="","",N(ENTRADA!$H129))</f>
      </c>
      <c r="I129" s="67">
        <f>IF(B129="","",N(ENTRADA!$I129))</f>
      </c>
      <c r="J129" s="68">
        <f>IF(B129="","",G129+H129+I129)</f>
      </c>
      <c r="K129" s="60">
        <f>IF(B129="","",IFERROR(MATCH(SUMPRODUCT(MAX((PRECIOS!$A$6:$A$55&lt;=C129)*PRECIOS!$A$6:$A$55)),PRECIOS!$A$6:$A$55,0),1))</f>
      </c>
      <c r="L129" s="69">
        <f>IF(B129="","",INDEX(PRECIOS!$A$6:$A$55,K129))</f>
      </c>
      <c r="M129" s="37">
        <f>IF(B129="","",G129*INDEX(PRECIOS!$B$6:$B$55,K129))</f>
      </c>
      <c r="N129" s="37">
        <f>IF(B129="","",H129*INDEX(PRECIOS!$C$6:$C$55,K129))</f>
      </c>
      <c r="O129" s="37">
        <f>IF(B129="","",I129*INDEX(PRECIOS!$D$6:$D$55,K129))</f>
      </c>
      <c r="P129" s="37">
        <f>IF(B129="","",N(ENTRADA!$X129))</f>
      </c>
      <c r="Q129" s="70">
        <f>IF(B129="","",M129+N129+O129+P129)</f>
      </c>
      <c r="R129" s="71">
        <f>IF(B129="","",IF(ENTRADA!$J129="",Std_Viajes_Puerto,ENTRADA!$J129))</f>
      </c>
      <c r="S129" s="37">
        <f>IF(B129="","",R129*INDEX(PRECIOS!$F$6:$F$55,K129))</f>
      </c>
      <c r="T129" s="71">
        <f>IF(B129="","",R129*Litros_Puerto_Viaje)</f>
      </c>
      <c r="U129" s="71">
        <f>IF(B129="","",IF(ENTRADA!$K129="",T129,ENTRADA!$K129))</f>
      </c>
      <c r="V129" s="37">
        <f>IF(B129="","",U129*INDEX(PRECIOS!$E$6:$E$55,K129))</f>
      </c>
      <c r="W129" s="37">
        <f>IF(B129="","",IF(ENTRADA!$L129="",R129*INDEX(PRECIOS!$G$6:$G$55,K129),ENTRADA!$L129))</f>
      </c>
      <c r="X129" s="37">
        <f>IF(B129="","",R129*Km_Puerto_Viaje*INDEX(PRECIOS!$N$6:$N$55,K129))</f>
      </c>
      <c r="Y129" s="70">
        <f>IF(B129="","",S129+V129+W129+X129)</f>
      </c>
      <c r="Z129" s="71">
        <f>IF(B129="","",IF(J129=0,0,ROUNDUP(J129/Rend_Desagrupe,0)))</f>
      </c>
      <c r="AA129" s="71">
        <f>IF(B129="","",IF(ENTRADA!$M129="",Z129,ENTRADA!$M129))</f>
      </c>
      <c r="AB129" s="37">
        <f>IF(B129="","",AA129*INDEX(PRECIOS!$H$6:$H$55,K129))</f>
      </c>
      <c r="AC129" s="37">
        <f>IF(B129="","",IF(E129="ENCI",INDEX(PRECIOS!$J$6:$J$55,K129),IF(E129="A.V",INDEX(PRECIOS!$K$6:$K$55,K129),0)))</f>
      </c>
      <c r="AD129" s="37">
        <f>IF(B129="","",N(ENTRADA!$N129))</f>
      </c>
      <c r="AE129" s="70">
        <f>IF(B129="","",AB129+AC129+AD129)</f>
      </c>
      <c r="AF129" s="71">
        <f>IF(B129="","",IF(G129=0,0,ROUNDUP(G129/Cap_Camion_OCC,0)))</f>
      </c>
      <c r="AG129" s="71">
        <f>IF(B129="","",AF129*L_Dist_OCC)</f>
      </c>
      <c r="AH129" s="71">
        <f>IF(B129="","",IF(ENTRADA!$O129="",AG129,ENTRADA!$O129))</f>
      </c>
      <c r="AI129" s="37">
        <f>IF(B129="","",AH129*INDEX(PRECIOS!$E$6:$E$55,K129))</f>
      </c>
      <c r="AJ129" s="71">
        <f>IF(B129="","",IF(H129=0,0,ROUNDUP(H129/Cap_Camion_CEN,0)))</f>
      </c>
      <c r="AK129" s="71">
        <f>IF(B129="","",AJ129*L_Tras_CEN)</f>
      </c>
      <c r="AL129" s="71">
        <f>IF(B129="","",IF(ENTRADA!$P129="",AK129,ENTRADA!$P129))</f>
      </c>
      <c r="AM129" s="71">
        <f>IF(B129="","",AJ129*L_Dist_CEN)</f>
      </c>
      <c r="AN129" s="71">
        <f>IF(B129="","",IF(ENTRADA!$Q129="",AM129,ENTRADA!$Q129))</f>
      </c>
      <c r="AO129" s="37">
        <f>IF(B129="","",(AL129+AN129)*INDEX(PRECIOS!$E$6:$E$55,K129))</f>
      </c>
      <c r="AP129" s="71">
        <f>IF(B129="","",IF(H129=0,0,ROUNDUP(H129/Rend_Desagrupe_CT,0)))</f>
      </c>
      <c r="AQ129" s="71">
        <f>IF(B129="","",IF(ENTRADA!$R129="",AP129,ENTRADA!$R129))</f>
      </c>
      <c r="AR129" s="37">
        <f>IF(B129="","",AQ129*INDEX(PRECIOS!$I$6:$I$55,K129))</f>
      </c>
      <c r="AS129" s="37">
        <f>IF(B129="","",AO129+AR129)</f>
      </c>
      <c r="AT129" s="71">
        <f>IF(B129="","",IF(I129=0,0,ROUNDUP(I129/Cap_Camion_ORI,0)))</f>
      </c>
      <c r="AU129" s="71">
        <f>IF(B129="","",AT129*L_Tras_ORI)</f>
      </c>
      <c r="AV129" s="71">
        <f>IF(B129="","",IF(ENTRADA!$S129="",AU129,ENTRADA!$S129))</f>
      </c>
      <c r="AW129" s="71">
        <f>IF(B129="","",AT129*L_Dist_ORI)</f>
      </c>
      <c r="AX129" s="71">
        <f>IF(B129="","",IF(ENTRADA!$T129="",AW129,ENTRADA!$T129))</f>
      </c>
      <c r="AY129" s="37">
        <f>IF(B129="","",(AV129+AX129)*INDEX(PRECIOS!$E$6:$E$55,K129))</f>
      </c>
      <c r="AZ129" s="71">
        <f>IF(B129="","",IF(I129=0,0,ROUNDUP(I129/Rend_Desagrupe_CT,0)))</f>
      </c>
      <c r="BA129" s="71">
        <f>IF(B129="","",IF(ENTRADA!$U129="",AZ129,ENTRADA!$U129))</f>
      </c>
      <c r="BB129" s="37">
        <f>IF(B129="","",BA129*INDEX(PRECIOS!$I$6:$I$55,K129))</f>
      </c>
      <c r="BC129" s="37">
        <f>IF(B129="","",AY129+BB129)</f>
      </c>
      <c r="BD129" s="70">
        <f>IF(B129="","",AI129+AS129+BC129)</f>
      </c>
      <c r="BE129" s="37">
        <f>IF(B129="","",IF(Base_Comision="% DEL INGRESO",M129*INDEX(PRECIOS!$L$6:$L$55,K129),G129*INDEX(PRECIOS!$M$6:$M$55,K129)))</f>
      </c>
      <c r="BF129" s="37">
        <f>IF(B129="","",IF(Base_Comision="% DEL INGRESO",N129*INDEX(PRECIOS!$L$6:$L$55,K129),H129*INDEX(PRECIOS!$M$6:$M$55,K129)))</f>
      </c>
      <c r="BG129" s="37">
        <f>IF(B129="","",IF(Base_Comision="% DEL INGRESO",O129*INDEX(PRECIOS!$L$6:$L$55,K129),I129*INDEX(PRECIOS!$M$6:$M$55,K129)))</f>
      </c>
      <c r="BH129" s="70">
        <f>IF(B129="","",BE129+BF129+BG129)</f>
      </c>
      <c r="BI129" s="37">
        <f>IF(B129="","",Q129*Pct_Reclamaciones)</f>
      </c>
      <c r="BJ129" s="37">
        <f>IF(B129="","",Q129*Pct_Banco)</f>
      </c>
      <c r="BK129" s="37">
        <f>IF(B129="","",N(ENTRADA!$V129))</f>
      </c>
      <c r="BL129" s="70">
        <f>IF(B129="","",Y129+AE129+BD129+BH129+BI129+BJ129+BK129)</f>
      </c>
      <c r="BM129" s="70">
        <f>IF(B129="","",Q129-BL129)</f>
      </c>
      <c r="BN129" s="72">
        <f>IF(B129="","",IF(Q129=0,0,BM129/Q129))</f>
      </c>
      <c r="BO129" s="73">
        <f>IF(B129="","",IF(J129=0,0,BM129/J129))</f>
      </c>
      <c r="BP129" s="60">
        <f>IF(B129="","",IFERROR(MATCH(D129,COSTOS_FIJOS!$G$5:$AD$5,0),0))</f>
      </c>
      <c r="BQ129" s="60">
        <f>IF(B129="","",COUNTIFS($D$6:$D$305,D129))</f>
      </c>
      <c r="BR129" s="67">
        <f>IF(B129="","",SUMIFS($J$6:$J$305,$D$6:$D$305,D129))</f>
      </c>
      <c r="BS129" s="72">
        <f>IF(B129="","",IF(Metodo_Prorrateo="KG",IF(BR129=0,0,J129/BR129),1/BQ129))</f>
      </c>
      <c r="BT129" s="37">
        <f>IF(B129="","",IF(BP129=0,0,INDEX(COSTOS_FIJOS!$G$38:$AD$38,BP129))*BS129)</f>
      </c>
      <c r="BU129" s="72">
        <f>IF(B129="","",IF(Metodo_Prorrateo="KG",IF(SUMIFS($G$6:$G$305,$D$6:$D$305,D129)=0,0,G129/SUMIFS($G$6:$G$305,$D$6:$D$305,D129)),IF(G129&gt;0,1/COUNTIFS($D$6:$D$305,D129,$G$6:$G$305,"&gt;0"),0)))</f>
      </c>
      <c r="BV129" s="37">
        <f>IF(B129="","",IF(BP129=0,0,INDEX(COSTOS_FIJOS!$G$39:$AD$39,BP129))*BU129)</f>
      </c>
      <c r="BW129" s="72">
        <f>IF(B129="","",IF(Metodo_Prorrateo="KG",IF(SUMIFS($H$6:$H$305,$D$6:$D$305,D129)=0,0,H129/SUMIFS($H$6:$H$305,$D$6:$D$305,D129)),IF(H129&gt;0,1/COUNTIFS($D$6:$D$305,D129,$H$6:$H$305,"&gt;0"),0)))</f>
      </c>
      <c r="BX129" s="37">
        <f>IF(B129="","",IF(BP129=0,0,INDEX(COSTOS_FIJOS!$G$40:$AD$40,BP129))*BW129)</f>
      </c>
      <c r="BY129" s="72">
        <f>IF(B129="","",IF(Metodo_Prorrateo="KG",IF(SUMIFS($I$6:$I$305,$D$6:$D$305,D129)=0,0,I129/SUMIFS($I$6:$I$305,$D$6:$D$305,D129)),IF(I129&gt;0,1/COUNTIFS($D$6:$D$305,D129,$I$6:$I$305,"&gt;0"),0)))</f>
      </c>
      <c r="BZ129" s="37">
        <f>IF(B129="","",IF(BP129=0,0,INDEX(COSTOS_FIJOS!$G$41:$AD$41,BP129))*BY129)</f>
      </c>
      <c r="CA129" s="70">
        <f>IF(B129="","",BT129+BV129+BX129+BZ129)</f>
      </c>
      <c r="CB129" s="37">
        <f>IF(B129="","",Q129*Imp_Ventas_Serv)</f>
      </c>
      <c r="CC129" s="37">
        <f>IF(B129="","",Q129*Contrib_Territorial)</f>
      </c>
      <c r="CD129" s="70">
        <f>IF(B129="","",BM129-CA129-CB129-CC129)</f>
      </c>
      <c r="CE129" s="37">
        <f>IF(B129="","",MAX(0,CD129)*Imp_Utilidades)</f>
      </c>
      <c r="CF129" s="70">
        <f>IF(B129="","",CD129-CE129)</f>
      </c>
      <c r="CG129" s="72">
        <f>IF(B129="","",IF(Q129=0,0,CF129/Q129))</f>
      </c>
      <c r="CH129" s="73">
        <f>IF(B129="","",IF(J129=0,0,(BL129+CA129+CB129+CC129)/J129))</f>
      </c>
      <c r="CI129" s="73">
        <f>IF(B129="","",IF(J129=0,0,Q129/J129))</f>
      </c>
      <c r="CJ129" s="73">
        <f>IF(B129="","",IF(J129=0,0,CD129/J129))</f>
      </c>
      <c r="CK129" s="37">
        <f>IF(B129="","",Y129+AE129+BK129+BT129)</f>
      </c>
      <c r="CL129" s="37">
        <f>IF(B129="","",IF(J129=0,0,(M129+P129*G129/J129)*(1-Pct_Reclamaciones-Pct_Banco-Imp_Ventas_Serv-Contrib_Territorial)-AI129-BE129-BV129-CK129*G129/J129))</f>
      </c>
      <c r="CM129" s="37">
        <f>IF(B129="","",IF(J129=0,0,(N129+P129*H129/J129)*(1-Pct_Reclamaciones-Pct_Banco-Imp_Ventas_Serv-Contrib_Territorial)-AS129-BF129-BX129-CK129*H129/J129))</f>
      </c>
      <c r="CN129" s="37">
        <f>IF(B129="","",IF(J129=0,0,(O129+P129*I129/J129)*(1-Pct_Reclamaciones-Pct_Banco-Imp_Ventas_Serv-Contrib_Territorial)-BC129-BG129-BZ129-CK129*I129/J129))</f>
      </c>
      <c r="CO129" s="37">
        <f>IF(B129="","",IF(J129=0,0,ROUND(CD129-CL129-CM129-CN129,4)))</f>
      </c>
      <c r="CP129" s="71">
        <f>IF(B129="","",T129+AG129+AK129+AM129+AU129+AW129)</f>
      </c>
      <c r="CQ129" s="71">
        <f>IF(B129="","",U129+AH129+AL129+AN129+AV129+AX129)</f>
      </c>
      <c r="CR129" s="72">
        <f>IF(B129="","",IF(CP129=0,0,CQ129/CP129-1))</f>
      </c>
      <c r="CS129" s="60">
        <f>IF(B129="","",IF(ENTRADA!$Y129="","",ENTRADA!$Y129-C129))</f>
      </c>
      <c r="CT129" s="66">
        <f>IF(B129="","",IF(ENTRADA!$C129="","Falta fecha. ","")&amp;IF(BP129=0,"Mes fuera del rango de COSTOS_FIJOS. ","")&amp;IF(J129=0,"Sin kg. ","")&amp;IF(E129="","Falta transitaria. ","")&amp;IF(AND(T129&gt;0,U129/T129-1&gt;Tolerancia_Comb),"Combustible al puerto "&amp;TEXT(U129/T129-1,"+0%")&amp;" sobre norma. ","")&amp;IF(AND(AG129&gt;0,AH129/AG129-1&gt;Tolerancia_Comb),"Combustible distribución Occidente "&amp;TEXT(AH129/AG129-1,"+0%")&amp;" sobre norma. ","")&amp;IF(AND(AK129&gt;0,AL129/AK129-1&gt;Tolerancia_Comb),"Combustible traslado Centro "&amp;TEXT(AL129/AK129-1,"+0%")&amp;" sobre norma. ","")&amp;IF(AND(AM129&gt;0,AN129/AM129-1&gt;Tolerancia_Comb),"Combustible distribución Centro "&amp;TEXT(AN129/AM129-1,"+0%")&amp;" sobre norma. ","")&amp;IF(AND(AU129&gt;0,AV129/AU129-1&gt;Tolerancia_Comb),"Combustible traslado Oriente "&amp;TEXT(AV129/AU129-1,"+0%")&amp;" sobre norma. ","")&amp;IF(AND(AW129&gt;0,AX129/AW129-1&gt;Tolerancia_Comb),"Combustible distribución Oriente "&amp;TEXT(AX129/AW129-1,"+0%")&amp;" sobre norma. ","")&amp;IF(AND(ENTRADA!$C129&lt;&gt;"",C129&lt;PRECIOS!$A$6),"Fecha anterior a la 1ª vigencia de precios. ","")&amp;IF(CD129&lt;0,"Contenedor con pérdida. ",""))</f>
      </c>
    </row>
    <row r="130">
      <c r="A130" s="60">
        <f>IF(B130="","",ROW()-5)</f>
      </c>
      <c r="B130" s="63">
        <f>IF(ENTRADA!$B130="","",ENTRADA!$B130)</f>
      </c>
      <c r="C130" s="64">
        <f>IF(B130="","",ENTRADA!$C130)</f>
      </c>
      <c r="D130" s="65">
        <f>IF(B130="","",DATE(YEAR(C130),MONTH(C130),1))</f>
      </c>
      <c r="E130" s="66">
        <f>IF(B130="","",ENTRADA!$D130&amp;"")</f>
      </c>
      <c r="F130" s="66">
        <f>IF(B130="","",ENTRADA!$Z130&amp;"")</f>
      </c>
      <c r="G130" s="67">
        <f>IF(B130="","",N(ENTRADA!$G130))</f>
      </c>
      <c r="H130" s="67">
        <f>IF(B130="","",N(ENTRADA!$H130))</f>
      </c>
      <c r="I130" s="67">
        <f>IF(B130="","",N(ENTRADA!$I130))</f>
      </c>
      <c r="J130" s="68">
        <f>IF(B130="","",G130+H130+I130)</f>
      </c>
      <c r="K130" s="60">
        <f>IF(B130="","",IFERROR(MATCH(SUMPRODUCT(MAX((PRECIOS!$A$6:$A$55&lt;=C130)*PRECIOS!$A$6:$A$55)),PRECIOS!$A$6:$A$55,0),1))</f>
      </c>
      <c r="L130" s="69">
        <f>IF(B130="","",INDEX(PRECIOS!$A$6:$A$55,K130))</f>
      </c>
      <c r="M130" s="37">
        <f>IF(B130="","",G130*INDEX(PRECIOS!$B$6:$B$55,K130))</f>
      </c>
      <c r="N130" s="37">
        <f>IF(B130="","",H130*INDEX(PRECIOS!$C$6:$C$55,K130))</f>
      </c>
      <c r="O130" s="37">
        <f>IF(B130="","",I130*INDEX(PRECIOS!$D$6:$D$55,K130))</f>
      </c>
      <c r="P130" s="37">
        <f>IF(B130="","",N(ENTRADA!$X130))</f>
      </c>
      <c r="Q130" s="70">
        <f>IF(B130="","",M130+N130+O130+P130)</f>
      </c>
      <c r="R130" s="71">
        <f>IF(B130="","",IF(ENTRADA!$J130="",Std_Viajes_Puerto,ENTRADA!$J130))</f>
      </c>
      <c r="S130" s="37">
        <f>IF(B130="","",R130*INDEX(PRECIOS!$F$6:$F$55,K130))</f>
      </c>
      <c r="T130" s="71">
        <f>IF(B130="","",R130*Litros_Puerto_Viaje)</f>
      </c>
      <c r="U130" s="71">
        <f>IF(B130="","",IF(ENTRADA!$K130="",T130,ENTRADA!$K130))</f>
      </c>
      <c r="V130" s="37">
        <f>IF(B130="","",U130*INDEX(PRECIOS!$E$6:$E$55,K130))</f>
      </c>
      <c r="W130" s="37">
        <f>IF(B130="","",IF(ENTRADA!$L130="",R130*INDEX(PRECIOS!$G$6:$G$55,K130),ENTRADA!$L130))</f>
      </c>
      <c r="X130" s="37">
        <f>IF(B130="","",R130*Km_Puerto_Viaje*INDEX(PRECIOS!$N$6:$N$55,K130))</f>
      </c>
      <c r="Y130" s="70">
        <f>IF(B130="","",S130+V130+W130+X130)</f>
      </c>
      <c r="Z130" s="71">
        <f>IF(B130="","",IF(J130=0,0,ROUNDUP(J130/Rend_Desagrupe,0)))</f>
      </c>
      <c r="AA130" s="71">
        <f>IF(B130="","",IF(ENTRADA!$M130="",Z130,ENTRADA!$M130))</f>
      </c>
      <c r="AB130" s="37">
        <f>IF(B130="","",AA130*INDEX(PRECIOS!$H$6:$H$55,K130))</f>
      </c>
      <c r="AC130" s="37">
        <f>IF(B130="","",IF(E130="ENCI",INDEX(PRECIOS!$J$6:$J$55,K130),IF(E130="A.V",INDEX(PRECIOS!$K$6:$K$55,K130),0)))</f>
      </c>
      <c r="AD130" s="37">
        <f>IF(B130="","",N(ENTRADA!$N130))</f>
      </c>
      <c r="AE130" s="70">
        <f>IF(B130="","",AB130+AC130+AD130)</f>
      </c>
      <c r="AF130" s="71">
        <f>IF(B130="","",IF(G130=0,0,ROUNDUP(G130/Cap_Camion_OCC,0)))</f>
      </c>
      <c r="AG130" s="71">
        <f>IF(B130="","",AF130*L_Dist_OCC)</f>
      </c>
      <c r="AH130" s="71">
        <f>IF(B130="","",IF(ENTRADA!$O130="",AG130,ENTRADA!$O130))</f>
      </c>
      <c r="AI130" s="37">
        <f>IF(B130="","",AH130*INDEX(PRECIOS!$E$6:$E$55,K130))</f>
      </c>
      <c r="AJ130" s="71">
        <f>IF(B130="","",IF(H130=0,0,ROUNDUP(H130/Cap_Camion_CEN,0)))</f>
      </c>
      <c r="AK130" s="71">
        <f>IF(B130="","",AJ130*L_Tras_CEN)</f>
      </c>
      <c r="AL130" s="71">
        <f>IF(B130="","",IF(ENTRADA!$P130="",AK130,ENTRADA!$P130))</f>
      </c>
      <c r="AM130" s="71">
        <f>IF(B130="","",AJ130*L_Dist_CEN)</f>
      </c>
      <c r="AN130" s="71">
        <f>IF(B130="","",IF(ENTRADA!$Q130="",AM130,ENTRADA!$Q130))</f>
      </c>
      <c r="AO130" s="37">
        <f>IF(B130="","",(AL130+AN130)*INDEX(PRECIOS!$E$6:$E$55,K130))</f>
      </c>
      <c r="AP130" s="71">
        <f>IF(B130="","",IF(H130=0,0,ROUNDUP(H130/Rend_Desagrupe_CT,0)))</f>
      </c>
      <c r="AQ130" s="71">
        <f>IF(B130="","",IF(ENTRADA!$R130="",AP130,ENTRADA!$R130))</f>
      </c>
      <c r="AR130" s="37">
        <f>IF(B130="","",AQ130*INDEX(PRECIOS!$I$6:$I$55,K130))</f>
      </c>
      <c r="AS130" s="37">
        <f>IF(B130="","",AO130+AR130)</f>
      </c>
      <c r="AT130" s="71">
        <f>IF(B130="","",IF(I130=0,0,ROUNDUP(I130/Cap_Camion_ORI,0)))</f>
      </c>
      <c r="AU130" s="71">
        <f>IF(B130="","",AT130*L_Tras_ORI)</f>
      </c>
      <c r="AV130" s="71">
        <f>IF(B130="","",IF(ENTRADA!$S130="",AU130,ENTRADA!$S130))</f>
      </c>
      <c r="AW130" s="71">
        <f>IF(B130="","",AT130*L_Dist_ORI)</f>
      </c>
      <c r="AX130" s="71">
        <f>IF(B130="","",IF(ENTRADA!$T130="",AW130,ENTRADA!$T130))</f>
      </c>
      <c r="AY130" s="37">
        <f>IF(B130="","",(AV130+AX130)*INDEX(PRECIOS!$E$6:$E$55,K130))</f>
      </c>
      <c r="AZ130" s="71">
        <f>IF(B130="","",IF(I130=0,0,ROUNDUP(I130/Rend_Desagrupe_CT,0)))</f>
      </c>
      <c r="BA130" s="71">
        <f>IF(B130="","",IF(ENTRADA!$U130="",AZ130,ENTRADA!$U130))</f>
      </c>
      <c r="BB130" s="37">
        <f>IF(B130="","",BA130*INDEX(PRECIOS!$I$6:$I$55,K130))</f>
      </c>
      <c r="BC130" s="37">
        <f>IF(B130="","",AY130+BB130)</f>
      </c>
      <c r="BD130" s="70">
        <f>IF(B130="","",AI130+AS130+BC130)</f>
      </c>
      <c r="BE130" s="37">
        <f>IF(B130="","",IF(Base_Comision="% DEL INGRESO",M130*INDEX(PRECIOS!$L$6:$L$55,K130),G130*INDEX(PRECIOS!$M$6:$M$55,K130)))</f>
      </c>
      <c r="BF130" s="37">
        <f>IF(B130="","",IF(Base_Comision="% DEL INGRESO",N130*INDEX(PRECIOS!$L$6:$L$55,K130),H130*INDEX(PRECIOS!$M$6:$M$55,K130)))</f>
      </c>
      <c r="BG130" s="37">
        <f>IF(B130="","",IF(Base_Comision="% DEL INGRESO",O130*INDEX(PRECIOS!$L$6:$L$55,K130),I130*INDEX(PRECIOS!$M$6:$M$55,K130)))</f>
      </c>
      <c r="BH130" s="70">
        <f>IF(B130="","",BE130+BF130+BG130)</f>
      </c>
      <c r="BI130" s="37">
        <f>IF(B130="","",Q130*Pct_Reclamaciones)</f>
      </c>
      <c r="BJ130" s="37">
        <f>IF(B130="","",Q130*Pct_Banco)</f>
      </c>
      <c r="BK130" s="37">
        <f>IF(B130="","",N(ENTRADA!$V130))</f>
      </c>
      <c r="BL130" s="70">
        <f>IF(B130="","",Y130+AE130+BD130+BH130+BI130+BJ130+BK130)</f>
      </c>
      <c r="BM130" s="70">
        <f>IF(B130="","",Q130-BL130)</f>
      </c>
      <c r="BN130" s="72">
        <f>IF(B130="","",IF(Q130=0,0,BM130/Q130))</f>
      </c>
      <c r="BO130" s="73">
        <f>IF(B130="","",IF(J130=0,0,BM130/J130))</f>
      </c>
      <c r="BP130" s="60">
        <f>IF(B130="","",IFERROR(MATCH(D130,COSTOS_FIJOS!$G$5:$AD$5,0),0))</f>
      </c>
      <c r="BQ130" s="60">
        <f>IF(B130="","",COUNTIFS($D$6:$D$305,D130))</f>
      </c>
      <c r="BR130" s="67">
        <f>IF(B130="","",SUMIFS($J$6:$J$305,$D$6:$D$305,D130))</f>
      </c>
      <c r="BS130" s="72">
        <f>IF(B130="","",IF(Metodo_Prorrateo="KG",IF(BR130=0,0,J130/BR130),1/BQ130))</f>
      </c>
      <c r="BT130" s="37">
        <f>IF(B130="","",IF(BP130=0,0,INDEX(COSTOS_FIJOS!$G$38:$AD$38,BP130))*BS130)</f>
      </c>
      <c r="BU130" s="72">
        <f>IF(B130="","",IF(Metodo_Prorrateo="KG",IF(SUMIFS($G$6:$G$305,$D$6:$D$305,D130)=0,0,G130/SUMIFS($G$6:$G$305,$D$6:$D$305,D130)),IF(G130&gt;0,1/COUNTIFS($D$6:$D$305,D130,$G$6:$G$305,"&gt;0"),0)))</f>
      </c>
      <c r="BV130" s="37">
        <f>IF(B130="","",IF(BP130=0,0,INDEX(COSTOS_FIJOS!$G$39:$AD$39,BP130))*BU130)</f>
      </c>
      <c r="BW130" s="72">
        <f>IF(B130="","",IF(Metodo_Prorrateo="KG",IF(SUMIFS($H$6:$H$305,$D$6:$D$305,D130)=0,0,H130/SUMIFS($H$6:$H$305,$D$6:$D$305,D130)),IF(H130&gt;0,1/COUNTIFS($D$6:$D$305,D130,$H$6:$H$305,"&gt;0"),0)))</f>
      </c>
      <c r="BX130" s="37">
        <f>IF(B130="","",IF(BP130=0,0,INDEX(COSTOS_FIJOS!$G$40:$AD$40,BP130))*BW130)</f>
      </c>
      <c r="BY130" s="72">
        <f>IF(B130="","",IF(Metodo_Prorrateo="KG",IF(SUMIFS($I$6:$I$305,$D$6:$D$305,D130)=0,0,I130/SUMIFS($I$6:$I$305,$D$6:$D$305,D130)),IF(I130&gt;0,1/COUNTIFS($D$6:$D$305,D130,$I$6:$I$305,"&gt;0"),0)))</f>
      </c>
      <c r="BZ130" s="37">
        <f>IF(B130="","",IF(BP130=0,0,INDEX(COSTOS_FIJOS!$G$41:$AD$41,BP130))*BY130)</f>
      </c>
      <c r="CA130" s="70">
        <f>IF(B130="","",BT130+BV130+BX130+BZ130)</f>
      </c>
      <c r="CB130" s="37">
        <f>IF(B130="","",Q130*Imp_Ventas_Serv)</f>
      </c>
      <c r="CC130" s="37">
        <f>IF(B130="","",Q130*Contrib_Territorial)</f>
      </c>
      <c r="CD130" s="70">
        <f>IF(B130="","",BM130-CA130-CB130-CC130)</f>
      </c>
      <c r="CE130" s="37">
        <f>IF(B130="","",MAX(0,CD130)*Imp_Utilidades)</f>
      </c>
      <c r="CF130" s="70">
        <f>IF(B130="","",CD130-CE130)</f>
      </c>
      <c r="CG130" s="72">
        <f>IF(B130="","",IF(Q130=0,0,CF130/Q130))</f>
      </c>
      <c r="CH130" s="73">
        <f>IF(B130="","",IF(J130=0,0,(BL130+CA130+CB130+CC130)/J130))</f>
      </c>
      <c r="CI130" s="73">
        <f>IF(B130="","",IF(J130=0,0,Q130/J130))</f>
      </c>
      <c r="CJ130" s="73">
        <f>IF(B130="","",IF(J130=0,0,CD130/J130))</f>
      </c>
      <c r="CK130" s="37">
        <f>IF(B130="","",Y130+AE130+BK130+BT130)</f>
      </c>
      <c r="CL130" s="37">
        <f>IF(B130="","",IF(J130=0,0,(M130+P130*G130/J130)*(1-Pct_Reclamaciones-Pct_Banco-Imp_Ventas_Serv-Contrib_Territorial)-AI130-BE130-BV130-CK130*G130/J130))</f>
      </c>
      <c r="CM130" s="37">
        <f>IF(B130="","",IF(J130=0,0,(N130+P130*H130/J130)*(1-Pct_Reclamaciones-Pct_Banco-Imp_Ventas_Serv-Contrib_Territorial)-AS130-BF130-BX130-CK130*H130/J130))</f>
      </c>
      <c r="CN130" s="37">
        <f>IF(B130="","",IF(J130=0,0,(O130+P130*I130/J130)*(1-Pct_Reclamaciones-Pct_Banco-Imp_Ventas_Serv-Contrib_Territorial)-BC130-BG130-BZ130-CK130*I130/J130))</f>
      </c>
      <c r="CO130" s="37">
        <f>IF(B130="","",IF(J130=0,0,ROUND(CD130-CL130-CM130-CN130,4)))</f>
      </c>
      <c r="CP130" s="71">
        <f>IF(B130="","",T130+AG130+AK130+AM130+AU130+AW130)</f>
      </c>
      <c r="CQ130" s="71">
        <f>IF(B130="","",U130+AH130+AL130+AN130+AV130+AX130)</f>
      </c>
      <c r="CR130" s="72">
        <f>IF(B130="","",IF(CP130=0,0,CQ130/CP130-1))</f>
      </c>
      <c r="CS130" s="60">
        <f>IF(B130="","",IF(ENTRADA!$Y130="","",ENTRADA!$Y130-C130))</f>
      </c>
      <c r="CT130" s="66">
        <f>IF(B130="","",IF(ENTRADA!$C130="","Falta fecha. ","")&amp;IF(BP130=0,"Mes fuera del rango de COSTOS_FIJOS. ","")&amp;IF(J130=0,"Sin kg. ","")&amp;IF(E130="","Falta transitaria. ","")&amp;IF(AND(T130&gt;0,U130/T130-1&gt;Tolerancia_Comb),"Combustible al puerto "&amp;TEXT(U130/T130-1,"+0%")&amp;" sobre norma. ","")&amp;IF(AND(AG130&gt;0,AH130/AG130-1&gt;Tolerancia_Comb),"Combustible distribución Occidente "&amp;TEXT(AH130/AG130-1,"+0%")&amp;" sobre norma. ","")&amp;IF(AND(AK130&gt;0,AL130/AK130-1&gt;Tolerancia_Comb),"Combustible traslado Centro "&amp;TEXT(AL130/AK130-1,"+0%")&amp;" sobre norma. ","")&amp;IF(AND(AM130&gt;0,AN130/AM130-1&gt;Tolerancia_Comb),"Combustible distribución Centro "&amp;TEXT(AN130/AM130-1,"+0%")&amp;" sobre norma. ","")&amp;IF(AND(AU130&gt;0,AV130/AU130-1&gt;Tolerancia_Comb),"Combustible traslado Oriente "&amp;TEXT(AV130/AU130-1,"+0%")&amp;" sobre norma. ","")&amp;IF(AND(AW130&gt;0,AX130/AW130-1&gt;Tolerancia_Comb),"Combustible distribución Oriente "&amp;TEXT(AX130/AW130-1,"+0%")&amp;" sobre norma. ","")&amp;IF(AND(ENTRADA!$C130&lt;&gt;"",C130&lt;PRECIOS!$A$6),"Fecha anterior a la 1ª vigencia de precios. ","")&amp;IF(CD130&lt;0,"Contenedor con pérdida. ",""))</f>
      </c>
    </row>
    <row r="131">
      <c r="A131" s="60">
        <f>IF(B131="","",ROW()-5)</f>
      </c>
      <c r="B131" s="63">
        <f>IF(ENTRADA!$B131="","",ENTRADA!$B131)</f>
      </c>
      <c r="C131" s="64">
        <f>IF(B131="","",ENTRADA!$C131)</f>
      </c>
      <c r="D131" s="65">
        <f>IF(B131="","",DATE(YEAR(C131),MONTH(C131),1))</f>
      </c>
      <c r="E131" s="66">
        <f>IF(B131="","",ENTRADA!$D131&amp;"")</f>
      </c>
      <c r="F131" s="66">
        <f>IF(B131="","",ENTRADA!$Z131&amp;"")</f>
      </c>
      <c r="G131" s="67">
        <f>IF(B131="","",N(ENTRADA!$G131))</f>
      </c>
      <c r="H131" s="67">
        <f>IF(B131="","",N(ENTRADA!$H131))</f>
      </c>
      <c r="I131" s="67">
        <f>IF(B131="","",N(ENTRADA!$I131))</f>
      </c>
      <c r="J131" s="68">
        <f>IF(B131="","",G131+H131+I131)</f>
      </c>
      <c r="K131" s="60">
        <f>IF(B131="","",IFERROR(MATCH(SUMPRODUCT(MAX((PRECIOS!$A$6:$A$55&lt;=C131)*PRECIOS!$A$6:$A$55)),PRECIOS!$A$6:$A$55,0),1))</f>
      </c>
      <c r="L131" s="69">
        <f>IF(B131="","",INDEX(PRECIOS!$A$6:$A$55,K131))</f>
      </c>
      <c r="M131" s="37">
        <f>IF(B131="","",G131*INDEX(PRECIOS!$B$6:$B$55,K131))</f>
      </c>
      <c r="N131" s="37">
        <f>IF(B131="","",H131*INDEX(PRECIOS!$C$6:$C$55,K131))</f>
      </c>
      <c r="O131" s="37">
        <f>IF(B131="","",I131*INDEX(PRECIOS!$D$6:$D$55,K131))</f>
      </c>
      <c r="P131" s="37">
        <f>IF(B131="","",N(ENTRADA!$X131))</f>
      </c>
      <c r="Q131" s="70">
        <f>IF(B131="","",M131+N131+O131+P131)</f>
      </c>
      <c r="R131" s="71">
        <f>IF(B131="","",IF(ENTRADA!$J131="",Std_Viajes_Puerto,ENTRADA!$J131))</f>
      </c>
      <c r="S131" s="37">
        <f>IF(B131="","",R131*INDEX(PRECIOS!$F$6:$F$55,K131))</f>
      </c>
      <c r="T131" s="71">
        <f>IF(B131="","",R131*Litros_Puerto_Viaje)</f>
      </c>
      <c r="U131" s="71">
        <f>IF(B131="","",IF(ENTRADA!$K131="",T131,ENTRADA!$K131))</f>
      </c>
      <c r="V131" s="37">
        <f>IF(B131="","",U131*INDEX(PRECIOS!$E$6:$E$55,K131))</f>
      </c>
      <c r="W131" s="37">
        <f>IF(B131="","",IF(ENTRADA!$L131="",R131*INDEX(PRECIOS!$G$6:$G$55,K131),ENTRADA!$L131))</f>
      </c>
      <c r="X131" s="37">
        <f>IF(B131="","",R131*Km_Puerto_Viaje*INDEX(PRECIOS!$N$6:$N$55,K131))</f>
      </c>
      <c r="Y131" s="70">
        <f>IF(B131="","",S131+V131+W131+X131)</f>
      </c>
      <c r="Z131" s="71">
        <f>IF(B131="","",IF(J131=0,0,ROUNDUP(J131/Rend_Desagrupe,0)))</f>
      </c>
      <c r="AA131" s="71">
        <f>IF(B131="","",IF(ENTRADA!$M131="",Z131,ENTRADA!$M131))</f>
      </c>
      <c r="AB131" s="37">
        <f>IF(B131="","",AA131*INDEX(PRECIOS!$H$6:$H$55,K131))</f>
      </c>
      <c r="AC131" s="37">
        <f>IF(B131="","",IF(E131="ENCI",INDEX(PRECIOS!$J$6:$J$55,K131),IF(E131="A.V",INDEX(PRECIOS!$K$6:$K$55,K131),0)))</f>
      </c>
      <c r="AD131" s="37">
        <f>IF(B131="","",N(ENTRADA!$N131))</f>
      </c>
      <c r="AE131" s="70">
        <f>IF(B131="","",AB131+AC131+AD131)</f>
      </c>
      <c r="AF131" s="71">
        <f>IF(B131="","",IF(G131=0,0,ROUNDUP(G131/Cap_Camion_OCC,0)))</f>
      </c>
      <c r="AG131" s="71">
        <f>IF(B131="","",AF131*L_Dist_OCC)</f>
      </c>
      <c r="AH131" s="71">
        <f>IF(B131="","",IF(ENTRADA!$O131="",AG131,ENTRADA!$O131))</f>
      </c>
      <c r="AI131" s="37">
        <f>IF(B131="","",AH131*INDEX(PRECIOS!$E$6:$E$55,K131))</f>
      </c>
      <c r="AJ131" s="71">
        <f>IF(B131="","",IF(H131=0,0,ROUNDUP(H131/Cap_Camion_CEN,0)))</f>
      </c>
      <c r="AK131" s="71">
        <f>IF(B131="","",AJ131*L_Tras_CEN)</f>
      </c>
      <c r="AL131" s="71">
        <f>IF(B131="","",IF(ENTRADA!$P131="",AK131,ENTRADA!$P131))</f>
      </c>
      <c r="AM131" s="71">
        <f>IF(B131="","",AJ131*L_Dist_CEN)</f>
      </c>
      <c r="AN131" s="71">
        <f>IF(B131="","",IF(ENTRADA!$Q131="",AM131,ENTRADA!$Q131))</f>
      </c>
      <c r="AO131" s="37">
        <f>IF(B131="","",(AL131+AN131)*INDEX(PRECIOS!$E$6:$E$55,K131))</f>
      </c>
      <c r="AP131" s="71">
        <f>IF(B131="","",IF(H131=0,0,ROUNDUP(H131/Rend_Desagrupe_CT,0)))</f>
      </c>
      <c r="AQ131" s="71">
        <f>IF(B131="","",IF(ENTRADA!$R131="",AP131,ENTRADA!$R131))</f>
      </c>
      <c r="AR131" s="37">
        <f>IF(B131="","",AQ131*INDEX(PRECIOS!$I$6:$I$55,K131))</f>
      </c>
      <c r="AS131" s="37">
        <f>IF(B131="","",AO131+AR131)</f>
      </c>
      <c r="AT131" s="71">
        <f>IF(B131="","",IF(I131=0,0,ROUNDUP(I131/Cap_Camion_ORI,0)))</f>
      </c>
      <c r="AU131" s="71">
        <f>IF(B131="","",AT131*L_Tras_ORI)</f>
      </c>
      <c r="AV131" s="71">
        <f>IF(B131="","",IF(ENTRADA!$S131="",AU131,ENTRADA!$S131))</f>
      </c>
      <c r="AW131" s="71">
        <f>IF(B131="","",AT131*L_Dist_ORI)</f>
      </c>
      <c r="AX131" s="71">
        <f>IF(B131="","",IF(ENTRADA!$T131="",AW131,ENTRADA!$T131))</f>
      </c>
      <c r="AY131" s="37">
        <f>IF(B131="","",(AV131+AX131)*INDEX(PRECIOS!$E$6:$E$55,K131))</f>
      </c>
      <c r="AZ131" s="71">
        <f>IF(B131="","",IF(I131=0,0,ROUNDUP(I131/Rend_Desagrupe_CT,0)))</f>
      </c>
      <c r="BA131" s="71">
        <f>IF(B131="","",IF(ENTRADA!$U131="",AZ131,ENTRADA!$U131))</f>
      </c>
      <c r="BB131" s="37">
        <f>IF(B131="","",BA131*INDEX(PRECIOS!$I$6:$I$55,K131))</f>
      </c>
      <c r="BC131" s="37">
        <f>IF(B131="","",AY131+BB131)</f>
      </c>
      <c r="BD131" s="70">
        <f>IF(B131="","",AI131+AS131+BC131)</f>
      </c>
      <c r="BE131" s="37">
        <f>IF(B131="","",IF(Base_Comision="% DEL INGRESO",M131*INDEX(PRECIOS!$L$6:$L$55,K131),G131*INDEX(PRECIOS!$M$6:$M$55,K131)))</f>
      </c>
      <c r="BF131" s="37">
        <f>IF(B131="","",IF(Base_Comision="% DEL INGRESO",N131*INDEX(PRECIOS!$L$6:$L$55,K131),H131*INDEX(PRECIOS!$M$6:$M$55,K131)))</f>
      </c>
      <c r="BG131" s="37">
        <f>IF(B131="","",IF(Base_Comision="% DEL INGRESO",O131*INDEX(PRECIOS!$L$6:$L$55,K131),I131*INDEX(PRECIOS!$M$6:$M$55,K131)))</f>
      </c>
      <c r="BH131" s="70">
        <f>IF(B131="","",BE131+BF131+BG131)</f>
      </c>
      <c r="BI131" s="37">
        <f>IF(B131="","",Q131*Pct_Reclamaciones)</f>
      </c>
      <c r="BJ131" s="37">
        <f>IF(B131="","",Q131*Pct_Banco)</f>
      </c>
      <c r="BK131" s="37">
        <f>IF(B131="","",N(ENTRADA!$V131))</f>
      </c>
      <c r="BL131" s="70">
        <f>IF(B131="","",Y131+AE131+BD131+BH131+BI131+BJ131+BK131)</f>
      </c>
      <c r="BM131" s="70">
        <f>IF(B131="","",Q131-BL131)</f>
      </c>
      <c r="BN131" s="72">
        <f>IF(B131="","",IF(Q131=0,0,BM131/Q131))</f>
      </c>
      <c r="BO131" s="73">
        <f>IF(B131="","",IF(J131=0,0,BM131/J131))</f>
      </c>
      <c r="BP131" s="60">
        <f>IF(B131="","",IFERROR(MATCH(D131,COSTOS_FIJOS!$G$5:$AD$5,0),0))</f>
      </c>
      <c r="BQ131" s="60">
        <f>IF(B131="","",COUNTIFS($D$6:$D$305,D131))</f>
      </c>
      <c r="BR131" s="67">
        <f>IF(B131="","",SUMIFS($J$6:$J$305,$D$6:$D$305,D131))</f>
      </c>
      <c r="BS131" s="72">
        <f>IF(B131="","",IF(Metodo_Prorrateo="KG",IF(BR131=0,0,J131/BR131),1/BQ131))</f>
      </c>
      <c r="BT131" s="37">
        <f>IF(B131="","",IF(BP131=0,0,INDEX(COSTOS_FIJOS!$G$38:$AD$38,BP131))*BS131)</f>
      </c>
      <c r="BU131" s="72">
        <f>IF(B131="","",IF(Metodo_Prorrateo="KG",IF(SUMIFS($G$6:$G$305,$D$6:$D$305,D131)=0,0,G131/SUMIFS($G$6:$G$305,$D$6:$D$305,D131)),IF(G131&gt;0,1/COUNTIFS($D$6:$D$305,D131,$G$6:$G$305,"&gt;0"),0)))</f>
      </c>
      <c r="BV131" s="37">
        <f>IF(B131="","",IF(BP131=0,0,INDEX(COSTOS_FIJOS!$G$39:$AD$39,BP131))*BU131)</f>
      </c>
      <c r="BW131" s="72">
        <f>IF(B131="","",IF(Metodo_Prorrateo="KG",IF(SUMIFS($H$6:$H$305,$D$6:$D$305,D131)=0,0,H131/SUMIFS($H$6:$H$305,$D$6:$D$305,D131)),IF(H131&gt;0,1/COUNTIFS($D$6:$D$305,D131,$H$6:$H$305,"&gt;0"),0)))</f>
      </c>
      <c r="BX131" s="37">
        <f>IF(B131="","",IF(BP131=0,0,INDEX(COSTOS_FIJOS!$G$40:$AD$40,BP131))*BW131)</f>
      </c>
      <c r="BY131" s="72">
        <f>IF(B131="","",IF(Metodo_Prorrateo="KG",IF(SUMIFS($I$6:$I$305,$D$6:$D$305,D131)=0,0,I131/SUMIFS($I$6:$I$305,$D$6:$D$305,D131)),IF(I131&gt;0,1/COUNTIFS($D$6:$D$305,D131,$I$6:$I$305,"&gt;0"),0)))</f>
      </c>
      <c r="BZ131" s="37">
        <f>IF(B131="","",IF(BP131=0,0,INDEX(COSTOS_FIJOS!$G$41:$AD$41,BP131))*BY131)</f>
      </c>
      <c r="CA131" s="70">
        <f>IF(B131="","",BT131+BV131+BX131+BZ131)</f>
      </c>
      <c r="CB131" s="37">
        <f>IF(B131="","",Q131*Imp_Ventas_Serv)</f>
      </c>
      <c r="CC131" s="37">
        <f>IF(B131="","",Q131*Contrib_Territorial)</f>
      </c>
      <c r="CD131" s="70">
        <f>IF(B131="","",BM131-CA131-CB131-CC131)</f>
      </c>
      <c r="CE131" s="37">
        <f>IF(B131="","",MAX(0,CD131)*Imp_Utilidades)</f>
      </c>
      <c r="CF131" s="70">
        <f>IF(B131="","",CD131-CE131)</f>
      </c>
      <c r="CG131" s="72">
        <f>IF(B131="","",IF(Q131=0,0,CF131/Q131))</f>
      </c>
      <c r="CH131" s="73">
        <f>IF(B131="","",IF(J131=0,0,(BL131+CA131+CB131+CC131)/J131))</f>
      </c>
      <c r="CI131" s="73">
        <f>IF(B131="","",IF(J131=0,0,Q131/J131))</f>
      </c>
      <c r="CJ131" s="73">
        <f>IF(B131="","",IF(J131=0,0,CD131/J131))</f>
      </c>
      <c r="CK131" s="37">
        <f>IF(B131="","",Y131+AE131+BK131+BT131)</f>
      </c>
      <c r="CL131" s="37">
        <f>IF(B131="","",IF(J131=0,0,(M131+P131*G131/J131)*(1-Pct_Reclamaciones-Pct_Banco-Imp_Ventas_Serv-Contrib_Territorial)-AI131-BE131-BV131-CK131*G131/J131))</f>
      </c>
      <c r="CM131" s="37">
        <f>IF(B131="","",IF(J131=0,0,(N131+P131*H131/J131)*(1-Pct_Reclamaciones-Pct_Banco-Imp_Ventas_Serv-Contrib_Territorial)-AS131-BF131-BX131-CK131*H131/J131))</f>
      </c>
      <c r="CN131" s="37">
        <f>IF(B131="","",IF(J131=0,0,(O131+P131*I131/J131)*(1-Pct_Reclamaciones-Pct_Banco-Imp_Ventas_Serv-Contrib_Territorial)-BC131-BG131-BZ131-CK131*I131/J131))</f>
      </c>
      <c r="CO131" s="37">
        <f>IF(B131="","",IF(J131=0,0,ROUND(CD131-CL131-CM131-CN131,4)))</f>
      </c>
      <c r="CP131" s="71">
        <f>IF(B131="","",T131+AG131+AK131+AM131+AU131+AW131)</f>
      </c>
      <c r="CQ131" s="71">
        <f>IF(B131="","",U131+AH131+AL131+AN131+AV131+AX131)</f>
      </c>
      <c r="CR131" s="72">
        <f>IF(B131="","",IF(CP131=0,0,CQ131/CP131-1))</f>
      </c>
      <c r="CS131" s="60">
        <f>IF(B131="","",IF(ENTRADA!$Y131="","",ENTRADA!$Y131-C131))</f>
      </c>
      <c r="CT131" s="66">
        <f>IF(B131="","",IF(ENTRADA!$C131="","Falta fecha. ","")&amp;IF(BP131=0,"Mes fuera del rango de COSTOS_FIJOS. ","")&amp;IF(J131=0,"Sin kg. ","")&amp;IF(E131="","Falta transitaria. ","")&amp;IF(AND(T131&gt;0,U131/T131-1&gt;Tolerancia_Comb),"Combustible al puerto "&amp;TEXT(U131/T131-1,"+0%")&amp;" sobre norma. ","")&amp;IF(AND(AG131&gt;0,AH131/AG131-1&gt;Tolerancia_Comb),"Combustible distribución Occidente "&amp;TEXT(AH131/AG131-1,"+0%")&amp;" sobre norma. ","")&amp;IF(AND(AK131&gt;0,AL131/AK131-1&gt;Tolerancia_Comb),"Combustible traslado Centro "&amp;TEXT(AL131/AK131-1,"+0%")&amp;" sobre norma. ","")&amp;IF(AND(AM131&gt;0,AN131/AM131-1&gt;Tolerancia_Comb),"Combustible distribución Centro "&amp;TEXT(AN131/AM131-1,"+0%")&amp;" sobre norma. ","")&amp;IF(AND(AU131&gt;0,AV131/AU131-1&gt;Tolerancia_Comb),"Combustible traslado Oriente "&amp;TEXT(AV131/AU131-1,"+0%")&amp;" sobre norma. ","")&amp;IF(AND(AW131&gt;0,AX131/AW131-1&gt;Tolerancia_Comb),"Combustible distribución Oriente "&amp;TEXT(AX131/AW131-1,"+0%")&amp;" sobre norma. ","")&amp;IF(AND(ENTRADA!$C131&lt;&gt;"",C131&lt;PRECIOS!$A$6),"Fecha anterior a la 1ª vigencia de precios. ","")&amp;IF(CD131&lt;0,"Contenedor con pérdida. ",""))</f>
      </c>
    </row>
    <row r="132">
      <c r="A132" s="60">
        <f>IF(B132="","",ROW()-5)</f>
      </c>
      <c r="B132" s="63">
        <f>IF(ENTRADA!$B132="","",ENTRADA!$B132)</f>
      </c>
      <c r="C132" s="64">
        <f>IF(B132="","",ENTRADA!$C132)</f>
      </c>
      <c r="D132" s="65">
        <f>IF(B132="","",DATE(YEAR(C132),MONTH(C132),1))</f>
      </c>
      <c r="E132" s="66">
        <f>IF(B132="","",ENTRADA!$D132&amp;"")</f>
      </c>
      <c r="F132" s="66">
        <f>IF(B132="","",ENTRADA!$Z132&amp;"")</f>
      </c>
      <c r="G132" s="67">
        <f>IF(B132="","",N(ENTRADA!$G132))</f>
      </c>
      <c r="H132" s="67">
        <f>IF(B132="","",N(ENTRADA!$H132))</f>
      </c>
      <c r="I132" s="67">
        <f>IF(B132="","",N(ENTRADA!$I132))</f>
      </c>
      <c r="J132" s="68">
        <f>IF(B132="","",G132+H132+I132)</f>
      </c>
      <c r="K132" s="60">
        <f>IF(B132="","",IFERROR(MATCH(SUMPRODUCT(MAX((PRECIOS!$A$6:$A$55&lt;=C132)*PRECIOS!$A$6:$A$55)),PRECIOS!$A$6:$A$55,0),1))</f>
      </c>
      <c r="L132" s="69">
        <f>IF(B132="","",INDEX(PRECIOS!$A$6:$A$55,K132))</f>
      </c>
      <c r="M132" s="37">
        <f>IF(B132="","",G132*INDEX(PRECIOS!$B$6:$B$55,K132))</f>
      </c>
      <c r="N132" s="37">
        <f>IF(B132="","",H132*INDEX(PRECIOS!$C$6:$C$55,K132))</f>
      </c>
      <c r="O132" s="37">
        <f>IF(B132="","",I132*INDEX(PRECIOS!$D$6:$D$55,K132))</f>
      </c>
      <c r="P132" s="37">
        <f>IF(B132="","",N(ENTRADA!$X132))</f>
      </c>
      <c r="Q132" s="70">
        <f>IF(B132="","",M132+N132+O132+P132)</f>
      </c>
      <c r="R132" s="71">
        <f>IF(B132="","",IF(ENTRADA!$J132="",Std_Viajes_Puerto,ENTRADA!$J132))</f>
      </c>
      <c r="S132" s="37">
        <f>IF(B132="","",R132*INDEX(PRECIOS!$F$6:$F$55,K132))</f>
      </c>
      <c r="T132" s="71">
        <f>IF(B132="","",R132*Litros_Puerto_Viaje)</f>
      </c>
      <c r="U132" s="71">
        <f>IF(B132="","",IF(ENTRADA!$K132="",T132,ENTRADA!$K132))</f>
      </c>
      <c r="V132" s="37">
        <f>IF(B132="","",U132*INDEX(PRECIOS!$E$6:$E$55,K132))</f>
      </c>
      <c r="W132" s="37">
        <f>IF(B132="","",IF(ENTRADA!$L132="",R132*INDEX(PRECIOS!$G$6:$G$55,K132),ENTRADA!$L132))</f>
      </c>
      <c r="X132" s="37">
        <f>IF(B132="","",R132*Km_Puerto_Viaje*INDEX(PRECIOS!$N$6:$N$55,K132))</f>
      </c>
      <c r="Y132" s="70">
        <f>IF(B132="","",S132+V132+W132+X132)</f>
      </c>
      <c r="Z132" s="71">
        <f>IF(B132="","",IF(J132=0,0,ROUNDUP(J132/Rend_Desagrupe,0)))</f>
      </c>
      <c r="AA132" s="71">
        <f>IF(B132="","",IF(ENTRADA!$M132="",Z132,ENTRADA!$M132))</f>
      </c>
      <c r="AB132" s="37">
        <f>IF(B132="","",AA132*INDEX(PRECIOS!$H$6:$H$55,K132))</f>
      </c>
      <c r="AC132" s="37">
        <f>IF(B132="","",IF(E132="ENCI",INDEX(PRECIOS!$J$6:$J$55,K132),IF(E132="A.V",INDEX(PRECIOS!$K$6:$K$55,K132),0)))</f>
      </c>
      <c r="AD132" s="37">
        <f>IF(B132="","",N(ENTRADA!$N132))</f>
      </c>
      <c r="AE132" s="70">
        <f>IF(B132="","",AB132+AC132+AD132)</f>
      </c>
      <c r="AF132" s="71">
        <f>IF(B132="","",IF(G132=0,0,ROUNDUP(G132/Cap_Camion_OCC,0)))</f>
      </c>
      <c r="AG132" s="71">
        <f>IF(B132="","",AF132*L_Dist_OCC)</f>
      </c>
      <c r="AH132" s="71">
        <f>IF(B132="","",IF(ENTRADA!$O132="",AG132,ENTRADA!$O132))</f>
      </c>
      <c r="AI132" s="37">
        <f>IF(B132="","",AH132*INDEX(PRECIOS!$E$6:$E$55,K132))</f>
      </c>
      <c r="AJ132" s="71">
        <f>IF(B132="","",IF(H132=0,0,ROUNDUP(H132/Cap_Camion_CEN,0)))</f>
      </c>
      <c r="AK132" s="71">
        <f>IF(B132="","",AJ132*L_Tras_CEN)</f>
      </c>
      <c r="AL132" s="71">
        <f>IF(B132="","",IF(ENTRADA!$P132="",AK132,ENTRADA!$P132))</f>
      </c>
      <c r="AM132" s="71">
        <f>IF(B132="","",AJ132*L_Dist_CEN)</f>
      </c>
      <c r="AN132" s="71">
        <f>IF(B132="","",IF(ENTRADA!$Q132="",AM132,ENTRADA!$Q132))</f>
      </c>
      <c r="AO132" s="37">
        <f>IF(B132="","",(AL132+AN132)*INDEX(PRECIOS!$E$6:$E$55,K132))</f>
      </c>
      <c r="AP132" s="71">
        <f>IF(B132="","",IF(H132=0,0,ROUNDUP(H132/Rend_Desagrupe_CT,0)))</f>
      </c>
      <c r="AQ132" s="71">
        <f>IF(B132="","",IF(ENTRADA!$R132="",AP132,ENTRADA!$R132))</f>
      </c>
      <c r="AR132" s="37">
        <f>IF(B132="","",AQ132*INDEX(PRECIOS!$I$6:$I$55,K132))</f>
      </c>
      <c r="AS132" s="37">
        <f>IF(B132="","",AO132+AR132)</f>
      </c>
      <c r="AT132" s="71">
        <f>IF(B132="","",IF(I132=0,0,ROUNDUP(I132/Cap_Camion_ORI,0)))</f>
      </c>
      <c r="AU132" s="71">
        <f>IF(B132="","",AT132*L_Tras_ORI)</f>
      </c>
      <c r="AV132" s="71">
        <f>IF(B132="","",IF(ENTRADA!$S132="",AU132,ENTRADA!$S132))</f>
      </c>
      <c r="AW132" s="71">
        <f>IF(B132="","",AT132*L_Dist_ORI)</f>
      </c>
      <c r="AX132" s="71">
        <f>IF(B132="","",IF(ENTRADA!$T132="",AW132,ENTRADA!$T132))</f>
      </c>
      <c r="AY132" s="37">
        <f>IF(B132="","",(AV132+AX132)*INDEX(PRECIOS!$E$6:$E$55,K132))</f>
      </c>
      <c r="AZ132" s="71">
        <f>IF(B132="","",IF(I132=0,0,ROUNDUP(I132/Rend_Desagrupe_CT,0)))</f>
      </c>
      <c r="BA132" s="71">
        <f>IF(B132="","",IF(ENTRADA!$U132="",AZ132,ENTRADA!$U132))</f>
      </c>
      <c r="BB132" s="37">
        <f>IF(B132="","",BA132*INDEX(PRECIOS!$I$6:$I$55,K132))</f>
      </c>
      <c r="BC132" s="37">
        <f>IF(B132="","",AY132+BB132)</f>
      </c>
      <c r="BD132" s="70">
        <f>IF(B132="","",AI132+AS132+BC132)</f>
      </c>
      <c r="BE132" s="37">
        <f>IF(B132="","",IF(Base_Comision="% DEL INGRESO",M132*INDEX(PRECIOS!$L$6:$L$55,K132),G132*INDEX(PRECIOS!$M$6:$M$55,K132)))</f>
      </c>
      <c r="BF132" s="37">
        <f>IF(B132="","",IF(Base_Comision="% DEL INGRESO",N132*INDEX(PRECIOS!$L$6:$L$55,K132),H132*INDEX(PRECIOS!$M$6:$M$55,K132)))</f>
      </c>
      <c r="BG132" s="37">
        <f>IF(B132="","",IF(Base_Comision="% DEL INGRESO",O132*INDEX(PRECIOS!$L$6:$L$55,K132),I132*INDEX(PRECIOS!$M$6:$M$55,K132)))</f>
      </c>
      <c r="BH132" s="70">
        <f>IF(B132="","",BE132+BF132+BG132)</f>
      </c>
      <c r="BI132" s="37">
        <f>IF(B132="","",Q132*Pct_Reclamaciones)</f>
      </c>
      <c r="BJ132" s="37">
        <f>IF(B132="","",Q132*Pct_Banco)</f>
      </c>
      <c r="BK132" s="37">
        <f>IF(B132="","",N(ENTRADA!$V132))</f>
      </c>
      <c r="BL132" s="70">
        <f>IF(B132="","",Y132+AE132+BD132+BH132+BI132+BJ132+BK132)</f>
      </c>
      <c r="BM132" s="70">
        <f>IF(B132="","",Q132-BL132)</f>
      </c>
      <c r="BN132" s="72">
        <f>IF(B132="","",IF(Q132=0,0,BM132/Q132))</f>
      </c>
      <c r="BO132" s="73">
        <f>IF(B132="","",IF(J132=0,0,BM132/J132))</f>
      </c>
      <c r="BP132" s="60">
        <f>IF(B132="","",IFERROR(MATCH(D132,COSTOS_FIJOS!$G$5:$AD$5,0),0))</f>
      </c>
      <c r="BQ132" s="60">
        <f>IF(B132="","",COUNTIFS($D$6:$D$305,D132))</f>
      </c>
      <c r="BR132" s="67">
        <f>IF(B132="","",SUMIFS($J$6:$J$305,$D$6:$D$305,D132))</f>
      </c>
      <c r="BS132" s="72">
        <f>IF(B132="","",IF(Metodo_Prorrateo="KG",IF(BR132=0,0,J132/BR132),1/BQ132))</f>
      </c>
      <c r="BT132" s="37">
        <f>IF(B132="","",IF(BP132=0,0,INDEX(COSTOS_FIJOS!$G$38:$AD$38,BP132))*BS132)</f>
      </c>
      <c r="BU132" s="72">
        <f>IF(B132="","",IF(Metodo_Prorrateo="KG",IF(SUMIFS($G$6:$G$305,$D$6:$D$305,D132)=0,0,G132/SUMIFS($G$6:$G$305,$D$6:$D$305,D132)),IF(G132&gt;0,1/COUNTIFS($D$6:$D$305,D132,$G$6:$G$305,"&gt;0"),0)))</f>
      </c>
      <c r="BV132" s="37">
        <f>IF(B132="","",IF(BP132=0,0,INDEX(COSTOS_FIJOS!$G$39:$AD$39,BP132))*BU132)</f>
      </c>
      <c r="BW132" s="72">
        <f>IF(B132="","",IF(Metodo_Prorrateo="KG",IF(SUMIFS($H$6:$H$305,$D$6:$D$305,D132)=0,0,H132/SUMIFS($H$6:$H$305,$D$6:$D$305,D132)),IF(H132&gt;0,1/COUNTIFS($D$6:$D$305,D132,$H$6:$H$305,"&gt;0"),0)))</f>
      </c>
      <c r="BX132" s="37">
        <f>IF(B132="","",IF(BP132=0,0,INDEX(COSTOS_FIJOS!$G$40:$AD$40,BP132))*BW132)</f>
      </c>
      <c r="BY132" s="72">
        <f>IF(B132="","",IF(Metodo_Prorrateo="KG",IF(SUMIFS($I$6:$I$305,$D$6:$D$305,D132)=0,0,I132/SUMIFS($I$6:$I$305,$D$6:$D$305,D132)),IF(I132&gt;0,1/COUNTIFS($D$6:$D$305,D132,$I$6:$I$305,"&gt;0"),0)))</f>
      </c>
      <c r="BZ132" s="37">
        <f>IF(B132="","",IF(BP132=0,0,INDEX(COSTOS_FIJOS!$G$41:$AD$41,BP132))*BY132)</f>
      </c>
      <c r="CA132" s="70">
        <f>IF(B132="","",BT132+BV132+BX132+BZ132)</f>
      </c>
      <c r="CB132" s="37">
        <f>IF(B132="","",Q132*Imp_Ventas_Serv)</f>
      </c>
      <c r="CC132" s="37">
        <f>IF(B132="","",Q132*Contrib_Territorial)</f>
      </c>
      <c r="CD132" s="70">
        <f>IF(B132="","",BM132-CA132-CB132-CC132)</f>
      </c>
      <c r="CE132" s="37">
        <f>IF(B132="","",MAX(0,CD132)*Imp_Utilidades)</f>
      </c>
      <c r="CF132" s="70">
        <f>IF(B132="","",CD132-CE132)</f>
      </c>
      <c r="CG132" s="72">
        <f>IF(B132="","",IF(Q132=0,0,CF132/Q132))</f>
      </c>
      <c r="CH132" s="73">
        <f>IF(B132="","",IF(J132=0,0,(BL132+CA132+CB132+CC132)/J132))</f>
      </c>
      <c r="CI132" s="73">
        <f>IF(B132="","",IF(J132=0,0,Q132/J132))</f>
      </c>
      <c r="CJ132" s="73">
        <f>IF(B132="","",IF(J132=0,0,CD132/J132))</f>
      </c>
      <c r="CK132" s="37">
        <f>IF(B132="","",Y132+AE132+BK132+BT132)</f>
      </c>
      <c r="CL132" s="37">
        <f>IF(B132="","",IF(J132=0,0,(M132+P132*G132/J132)*(1-Pct_Reclamaciones-Pct_Banco-Imp_Ventas_Serv-Contrib_Territorial)-AI132-BE132-BV132-CK132*G132/J132))</f>
      </c>
      <c r="CM132" s="37">
        <f>IF(B132="","",IF(J132=0,0,(N132+P132*H132/J132)*(1-Pct_Reclamaciones-Pct_Banco-Imp_Ventas_Serv-Contrib_Territorial)-AS132-BF132-BX132-CK132*H132/J132))</f>
      </c>
      <c r="CN132" s="37">
        <f>IF(B132="","",IF(J132=0,0,(O132+P132*I132/J132)*(1-Pct_Reclamaciones-Pct_Banco-Imp_Ventas_Serv-Contrib_Territorial)-BC132-BG132-BZ132-CK132*I132/J132))</f>
      </c>
      <c r="CO132" s="37">
        <f>IF(B132="","",IF(J132=0,0,ROUND(CD132-CL132-CM132-CN132,4)))</f>
      </c>
      <c r="CP132" s="71">
        <f>IF(B132="","",T132+AG132+AK132+AM132+AU132+AW132)</f>
      </c>
      <c r="CQ132" s="71">
        <f>IF(B132="","",U132+AH132+AL132+AN132+AV132+AX132)</f>
      </c>
      <c r="CR132" s="72">
        <f>IF(B132="","",IF(CP132=0,0,CQ132/CP132-1))</f>
      </c>
      <c r="CS132" s="60">
        <f>IF(B132="","",IF(ENTRADA!$Y132="","",ENTRADA!$Y132-C132))</f>
      </c>
      <c r="CT132" s="66">
        <f>IF(B132="","",IF(ENTRADA!$C132="","Falta fecha. ","")&amp;IF(BP132=0,"Mes fuera del rango de COSTOS_FIJOS. ","")&amp;IF(J132=0,"Sin kg. ","")&amp;IF(E132="","Falta transitaria. ","")&amp;IF(AND(T132&gt;0,U132/T132-1&gt;Tolerancia_Comb),"Combustible al puerto "&amp;TEXT(U132/T132-1,"+0%")&amp;" sobre norma. ","")&amp;IF(AND(AG132&gt;0,AH132/AG132-1&gt;Tolerancia_Comb),"Combustible distribución Occidente "&amp;TEXT(AH132/AG132-1,"+0%")&amp;" sobre norma. ","")&amp;IF(AND(AK132&gt;0,AL132/AK132-1&gt;Tolerancia_Comb),"Combustible traslado Centro "&amp;TEXT(AL132/AK132-1,"+0%")&amp;" sobre norma. ","")&amp;IF(AND(AM132&gt;0,AN132/AM132-1&gt;Tolerancia_Comb),"Combustible distribución Centro "&amp;TEXT(AN132/AM132-1,"+0%")&amp;" sobre norma. ","")&amp;IF(AND(AU132&gt;0,AV132/AU132-1&gt;Tolerancia_Comb),"Combustible traslado Oriente "&amp;TEXT(AV132/AU132-1,"+0%")&amp;" sobre norma. ","")&amp;IF(AND(AW132&gt;0,AX132/AW132-1&gt;Tolerancia_Comb),"Combustible distribución Oriente "&amp;TEXT(AX132/AW132-1,"+0%")&amp;" sobre norma. ","")&amp;IF(AND(ENTRADA!$C132&lt;&gt;"",C132&lt;PRECIOS!$A$6),"Fecha anterior a la 1ª vigencia de precios. ","")&amp;IF(CD132&lt;0,"Contenedor con pérdida. ",""))</f>
      </c>
    </row>
    <row r="133">
      <c r="A133" s="60">
        <f>IF(B133="","",ROW()-5)</f>
      </c>
      <c r="B133" s="63">
        <f>IF(ENTRADA!$B133="","",ENTRADA!$B133)</f>
      </c>
      <c r="C133" s="64">
        <f>IF(B133="","",ENTRADA!$C133)</f>
      </c>
      <c r="D133" s="65">
        <f>IF(B133="","",DATE(YEAR(C133),MONTH(C133),1))</f>
      </c>
      <c r="E133" s="66">
        <f>IF(B133="","",ENTRADA!$D133&amp;"")</f>
      </c>
      <c r="F133" s="66">
        <f>IF(B133="","",ENTRADA!$Z133&amp;"")</f>
      </c>
      <c r="G133" s="67">
        <f>IF(B133="","",N(ENTRADA!$G133))</f>
      </c>
      <c r="H133" s="67">
        <f>IF(B133="","",N(ENTRADA!$H133))</f>
      </c>
      <c r="I133" s="67">
        <f>IF(B133="","",N(ENTRADA!$I133))</f>
      </c>
      <c r="J133" s="68">
        <f>IF(B133="","",G133+H133+I133)</f>
      </c>
      <c r="K133" s="60">
        <f>IF(B133="","",IFERROR(MATCH(SUMPRODUCT(MAX((PRECIOS!$A$6:$A$55&lt;=C133)*PRECIOS!$A$6:$A$55)),PRECIOS!$A$6:$A$55,0),1))</f>
      </c>
      <c r="L133" s="69">
        <f>IF(B133="","",INDEX(PRECIOS!$A$6:$A$55,K133))</f>
      </c>
      <c r="M133" s="37">
        <f>IF(B133="","",G133*INDEX(PRECIOS!$B$6:$B$55,K133))</f>
      </c>
      <c r="N133" s="37">
        <f>IF(B133="","",H133*INDEX(PRECIOS!$C$6:$C$55,K133))</f>
      </c>
      <c r="O133" s="37">
        <f>IF(B133="","",I133*INDEX(PRECIOS!$D$6:$D$55,K133))</f>
      </c>
      <c r="P133" s="37">
        <f>IF(B133="","",N(ENTRADA!$X133))</f>
      </c>
      <c r="Q133" s="70">
        <f>IF(B133="","",M133+N133+O133+P133)</f>
      </c>
      <c r="R133" s="71">
        <f>IF(B133="","",IF(ENTRADA!$J133="",Std_Viajes_Puerto,ENTRADA!$J133))</f>
      </c>
      <c r="S133" s="37">
        <f>IF(B133="","",R133*INDEX(PRECIOS!$F$6:$F$55,K133))</f>
      </c>
      <c r="T133" s="71">
        <f>IF(B133="","",R133*Litros_Puerto_Viaje)</f>
      </c>
      <c r="U133" s="71">
        <f>IF(B133="","",IF(ENTRADA!$K133="",T133,ENTRADA!$K133))</f>
      </c>
      <c r="V133" s="37">
        <f>IF(B133="","",U133*INDEX(PRECIOS!$E$6:$E$55,K133))</f>
      </c>
      <c r="W133" s="37">
        <f>IF(B133="","",IF(ENTRADA!$L133="",R133*INDEX(PRECIOS!$G$6:$G$55,K133),ENTRADA!$L133))</f>
      </c>
      <c r="X133" s="37">
        <f>IF(B133="","",R133*Km_Puerto_Viaje*INDEX(PRECIOS!$N$6:$N$55,K133))</f>
      </c>
      <c r="Y133" s="70">
        <f>IF(B133="","",S133+V133+W133+X133)</f>
      </c>
      <c r="Z133" s="71">
        <f>IF(B133="","",IF(J133=0,0,ROUNDUP(J133/Rend_Desagrupe,0)))</f>
      </c>
      <c r="AA133" s="71">
        <f>IF(B133="","",IF(ENTRADA!$M133="",Z133,ENTRADA!$M133))</f>
      </c>
      <c r="AB133" s="37">
        <f>IF(B133="","",AA133*INDEX(PRECIOS!$H$6:$H$55,K133))</f>
      </c>
      <c r="AC133" s="37">
        <f>IF(B133="","",IF(E133="ENCI",INDEX(PRECIOS!$J$6:$J$55,K133),IF(E133="A.V",INDEX(PRECIOS!$K$6:$K$55,K133),0)))</f>
      </c>
      <c r="AD133" s="37">
        <f>IF(B133="","",N(ENTRADA!$N133))</f>
      </c>
      <c r="AE133" s="70">
        <f>IF(B133="","",AB133+AC133+AD133)</f>
      </c>
      <c r="AF133" s="71">
        <f>IF(B133="","",IF(G133=0,0,ROUNDUP(G133/Cap_Camion_OCC,0)))</f>
      </c>
      <c r="AG133" s="71">
        <f>IF(B133="","",AF133*L_Dist_OCC)</f>
      </c>
      <c r="AH133" s="71">
        <f>IF(B133="","",IF(ENTRADA!$O133="",AG133,ENTRADA!$O133))</f>
      </c>
      <c r="AI133" s="37">
        <f>IF(B133="","",AH133*INDEX(PRECIOS!$E$6:$E$55,K133))</f>
      </c>
      <c r="AJ133" s="71">
        <f>IF(B133="","",IF(H133=0,0,ROUNDUP(H133/Cap_Camion_CEN,0)))</f>
      </c>
      <c r="AK133" s="71">
        <f>IF(B133="","",AJ133*L_Tras_CEN)</f>
      </c>
      <c r="AL133" s="71">
        <f>IF(B133="","",IF(ENTRADA!$P133="",AK133,ENTRADA!$P133))</f>
      </c>
      <c r="AM133" s="71">
        <f>IF(B133="","",AJ133*L_Dist_CEN)</f>
      </c>
      <c r="AN133" s="71">
        <f>IF(B133="","",IF(ENTRADA!$Q133="",AM133,ENTRADA!$Q133))</f>
      </c>
      <c r="AO133" s="37">
        <f>IF(B133="","",(AL133+AN133)*INDEX(PRECIOS!$E$6:$E$55,K133))</f>
      </c>
      <c r="AP133" s="71">
        <f>IF(B133="","",IF(H133=0,0,ROUNDUP(H133/Rend_Desagrupe_CT,0)))</f>
      </c>
      <c r="AQ133" s="71">
        <f>IF(B133="","",IF(ENTRADA!$R133="",AP133,ENTRADA!$R133))</f>
      </c>
      <c r="AR133" s="37">
        <f>IF(B133="","",AQ133*INDEX(PRECIOS!$I$6:$I$55,K133))</f>
      </c>
      <c r="AS133" s="37">
        <f>IF(B133="","",AO133+AR133)</f>
      </c>
      <c r="AT133" s="71">
        <f>IF(B133="","",IF(I133=0,0,ROUNDUP(I133/Cap_Camion_ORI,0)))</f>
      </c>
      <c r="AU133" s="71">
        <f>IF(B133="","",AT133*L_Tras_ORI)</f>
      </c>
      <c r="AV133" s="71">
        <f>IF(B133="","",IF(ENTRADA!$S133="",AU133,ENTRADA!$S133))</f>
      </c>
      <c r="AW133" s="71">
        <f>IF(B133="","",AT133*L_Dist_ORI)</f>
      </c>
      <c r="AX133" s="71">
        <f>IF(B133="","",IF(ENTRADA!$T133="",AW133,ENTRADA!$T133))</f>
      </c>
      <c r="AY133" s="37">
        <f>IF(B133="","",(AV133+AX133)*INDEX(PRECIOS!$E$6:$E$55,K133))</f>
      </c>
      <c r="AZ133" s="71">
        <f>IF(B133="","",IF(I133=0,0,ROUNDUP(I133/Rend_Desagrupe_CT,0)))</f>
      </c>
      <c r="BA133" s="71">
        <f>IF(B133="","",IF(ENTRADA!$U133="",AZ133,ENTRADA!$U133))</f>
      </c>
      <c r="BB133" s="37">
        <f>IF(B133="","",BA133*INDEX(PRECIOS!$I$6:$I$55,K133))</f>
      </c>
      <c r="BC133" s="37">
        <f>IF(B133="","",AY133+BB133)</f>
      </c>
      <c r="BD133" s="70">
        <f>IF(B133="","",AI133+AS133+BC133)</f>
      </c>
      <c r="BE133" s="37">
        <f>IF(B133="","",IF(Base_Comision="% DEL INGRESO",M133*INDEX(PRECIOS!$L$6:$L$55,K133),G133*INDEX(PRECIOS!$M$6:$M$55,K133)))</f>
      </c>
      <c r="BF133" s="37">
        <f>IF(B133="","",IF(Base_Comision="% DEL INGRESO",N133*INDEX(PRECIOS!$L$6:$L$55,K133),H133*INDEX(PRECIOS!$M$6:$M$55,K133)))</f>
      </c>
      <c r="BG133" s="37">
        <f>IF(B133="","",IF(Base_Comision="% DEL INGRESO",O133*INDEX(PRECIOS!$L$6:$L$55,K133),I133*INDEX(PRECIOS!$M$6:$M$55,K133)))</f>
      </c>
      <c r="BH133" s="70">
        <f>IF(B133="","",BE133+BF133+BG133)</f>
      </c>
      <c r="BI133" s="37">
        <f>IF(B133="","",Q133*Pct_Reclamaciones)</f>
      </c>
      <c r="BJ133" s="37">
        <f>IF(B133="","",Q133*Pct_Banco)</f>
      </c>
      <c r="BK133" s="37">
        <f>IF(B133="","",N(ENTRADA!$V133))</f>
      </c>
      <c r="BL133" s="70">
        <f>IF(B133="","",Y133+AE133+BD133+BH133+BI133+BJ133+BK133)</f>
      </c>
      <c r="BM133" s="70">
        <f>IF(B133="","",Q133-BL133)</f>
      </c>
      <c r="BN133" s="72">
        <f>IF(B133="","",IF(Q133=0,0,BM133/Q133))</f>
      </c>
      <c r="BO133" s="73">
        <f>IF(B133="","",IF(J133=0,0,BM133/J133))</f>
      </c>
      <c r="BP133" s="60">
        <f>IF(B133="","",IFERROR(MATCH(D133,COSTOS_FIJOS!$G$5:$AD$5,0),0))</f>
      </c>
      <c r="BQ133" s="60">
        <f>IF(B133="","",COUNTIFS($D$6:$D$305,D133))</f>
      </c>
      <c r="BR133" s="67">
        <f>IF(B133="","",SUMIFS($J$6:$J$305,$D$6:$D$305,D133))</f>
      </c>
      <c r="BS133" s="72">
        <f>IF(B133="","",IF(Metodo_Prorrateo="KG",IF(BR133=0,0,J133/BR133),1/BQ133))</f>
      </c>
      <c r="BT133" s="37">
        <f>IF(B133="","",IF(BP133=0,0,INDEX(COSTOS_FIJOS!$G$38:$AD$38,BP133))*BS133)</f>
      </c>
      <c r="BU133" s="72">
        <f>IF(B133="","",IF(Metodo_Prorrateo="KG",IF(SUMIFS($G$6:$G$305,$D$6:$D$305,D133)=0,0,G133/SUMIFS($G$6:$G$305,$D$6:$D$305,D133)),IF(G133&gt;0,1/COUNTIFS($D$6:$D$305,D133,$G$6:$G$305,"&gt;0"),0)))</f>
      </c>
      <c r="BV133" s="37">
        <f>IF(B133="","",IF(BP133=0,0,INDEX(COSTOS_FIJOS!$G$39:$AD$39,BP133))*BU133)</f>
      </c>
      <c r="BW133" s="72">
        <f>IF(B133="","",IF(Metodo_Prorrateo="KG",IF(SUMIFS($H$6:$H$305,$D$6:$D$305,D133)=0,0,H133/SUMIFS($H$6:$H$305,$D$6:$D$305,D133)),IF(H133&gt;0,1/COUNTIFS($D$6:$D$305,D133,$H$6:$H$305,"&gt;0"),0)))</f>
      </c>
      <c r="BX133" s="37">
        <f>IF(B133="","",IF(BP133=0,0,INDEX(COSTOS_FIJOS!$G$40:$AD$40,BP133))*BW133)</f>
      </c>
      <c r="BY133" s="72">
        <f>IF(B133="","",IF(Metodo_Prorrateo="KG",IF(SUMIFS($I$6:$I$305,$D$6:$D$305,D133)=0,0,I133/SUMIFS($I$6:$I$305,$D$6:$D$305,D133)),IF(I133&gt;0,1/COUNTIFS($D$6:$D$305,D133,$I$6:$I$305,"&gt;0"),0)))</f>
      </c>
      <c r="BZ133" s="37">
        <f>IF(B133="","",IF(BP133=0,0,INDEX(COSTOS_FIJOS!$G$41:$AD$41,BP133))*BY133)</f>
      </c>
      <c r="CA133" s="70">
        <f>IF(B133="","",BT133+BV133+BX133+BZ133)</f>
      </c>
      <c r="CB133" s="37">
        <f>IF(B133="","",Q133*Imp_Ventas_Serv)</f>
      </c>
      <c r="CC133" s="37">
        <f>IF(B133="","",Q133*Contrib_Territorial)</f>
      </c>
      <c r="CD133" s="70">
        <f>IF(B133="","",BM133-CA133-CB133-CC133)</f>
      </c>
      <c r="CE133" s="37">
        <f>IF(B133="","",MAX(0,CD133)*Imp_Utilidades)</f>
      </c>
      <c r="CF133" s="70">
        <f>IF(B133="","",CD133-CE133)</f>
      </c>
      <c r="CG133" s="72">
        <f>IF(B133="","",IF(Q133=0,0,CF133/Q133))</f>
      </c>
      <c r="CH133" s="73">
        <f>IF(B133="","",IF(J133=0,0,(BL133+CA133+CB133+CC133)/J133))</f>
      </c>
      <c r="CI133" s="73">
        <f>IF(B133="","",IF(J133=0,0,Q133/J133))</f>
      </c>
      <c r="CJ133" s="73">
        <f>IF(B133="","",IF(J133=0,0,CD133/J133))</f>
      </c>
      <c r="CK133" s="37">
        <f>IF(B133="","",Y133+AE133+BK133+BT133)</f>
      </c>
      <c r="CL133" s="37">
        <f>IF(B133="","",IF(J133=0,0,(M133+P133*G133/J133)*(1-Pct_Reclamaciones-Pct_Banco-Imp_Ventas_Serv-Contrib_Territorial)-AI133-BE133-BV133-CK133*G133/J133))</f>
      </c>
      <c r="CM133" s="37">
        <f>IF(B133="","",IF(J133=0,0,(N133+P133*H133/J133)*(1-Pct_Reclamaciones-Pct_Banco-Imp_Ventas_Serv-Contrib_Territorial)-AS133-BF133-BX133-CK133*H133/J133))</f>
      </c>
      <c r="CN133" s="37">
        <f>IF(B133="","",IF(J133=0,0,(O133+P133*I133/J133)*(1-Pct_Reclamaciones-Pct_Banco-Imp_Ventas_Serv-Contrib_Territorial)-BC133-BG133-BZ133-CK133*I133/J133))</f>
      </c>
      <c r="CO133" s="37">
        <f>IF(B133="","",IF(J133=0,0,ROUND(CD133-CL133-CM133-CN133,4)))</f>
      </c>
      <c r="CP133" s="71">
        <f>IF(B133="","",T133+AG133+AK133+AM133+AU133+AW133)</f>
      </c>
      <c r="CQ133" s="71">
        <f>IF(B133="","",U133+AH133+AL133+AN133+AV133+AX133)</f>
      </c>
      <c r="CR133" s="72">
        <f>IF(B133="","",IF(CP133=0,0,CQ133/CP133-1))</f>
      </c>
      <c r="CS133" s="60">
        <f>IF(B133="","",IF(ENTRADA!$Y133="","",ENTRADA!$Y133-C133))</f>
      </c>
      <c r="CT133" s="66">
        <f>IF(B133="","",IF(ENTRADA!$C133="","Falta fecha. ","")&amp;IF(BP133=0,"Mes fuera del rango de COSTOS_FIJOS. ","")&amp;IF(J133=0,"Sin kg. ","")&amp;IF(E133="","Falta transitaria. ","")&amp;IF(AND(T133&gt;0,U133/T133-1&gt;Tolerancia_Comb),"Combustible al puerto "&amp;TEXT(U133/T133-1,"+0%")&amp;" sobre norma. ","")&amp;IF(AND(AG133&gt;0,AH133/AG133-1&gt;Tolerancia_Comb),"Combustible distribución Occidente "&amp;TEXT(AH133/AG133-1,"+0%")&amp;" sobre norma. ","")&amp;IF(AND(AK133&gt;0,AL133/AK133-1&gt;Tolerancia_Comb),"Combustible traslado Centro "&amp;TEXT(AL133/AK133-1,"+0%")&amp;" sobre norma. ","")&amp;IF(AND(AM133&gt;0,AN133/AM133-1&gt;Tolerancia_Comb),"Combustible distribución Centro "&amp;TEXT(AN133/AM133-1,"+0%")&amp;" sobre norma. ","")&amp;IF(AND(AU133&gt;0,AV133/AU133-1&gt;Tolerancia_Comb),"Combustible traslado Oriente "&amp;TEXT(AV133/AU133-1,"+0%")&amp;" sobre norma. ","")&amp;IF(AND(AW133&gt;0,AX133/AW133-1&gt;Tolerancia_Comb),"Combustible distribución Oriente "&amp;TEXT(AX133/AW133-1,"+0%")&amp;" sobre norma. ","")&amp;IF(AND(ENTRADA!$C133&lt;&gt;"",C133&lt;PRECIOS!$A$6),"Fecha anterior a la 1ª vigencia de precios. ","")&amp;IF(CD133&lt;0,"Contenedor con pérdida. ",""))</f>
      </c>
    </row>
    <row r="134">
      <c r="A134" s="60">
        <f>IF(B134="","",ROW()-5)</f>
      </c>
      <c r="B134" s="63">
        <f>IF(ENTRADA!$B134="","",ENTRADA!$B134)</f>
      </c>
      <c r="C134" s="64">
        <f>IF(B134="","",ENTRADA!$C134)</f>
      </c>
      <c r="D134" s="65">
        <f>IF(B134="","",DATE(YEAR(C134),MONTH(C134),1))</f>
      </c>
      <c r="E134" s="66">
        <f>IF(B134="","",ENTRADA!$D134&amp;"")</f>
      </c>
      <c r="F134" s="66">
        <f>IF(B134="","",ENTRADA!$Z134&amp;"")</f>
      </c>
      <c r="G134" s="67">
        <f>IF(B134="","",N(ENTRADA!$G134))</f>
      </c>
      <c r="H134" s="67">
        <f>IF(B134="","",N(ENTRADA!$H134))</f>
      </c>
      <c r="I134" s="67">
        <f>IF(B134="","",N(ENTRADA!$I134))</f>
      </c>
      <c r="J134" s="68">
        <f>IF(B134="","",G134+H134+I134)</f>
      </c>
      <c r="K134" s="60">
        <f>IF(B134="","",IFERROR(MATCH(SUMPRODUCT(MAX((PRECIOS!$A$6:$A$55&lt;=C134)*PRECIOS!$A$6:$A$55)),PRECIOS!$A$6:$A$55,0),1))</f>
      </c>
      <c r="L134" s="69">
        <f>IF(B134="","",INDEX(PRECIOS!$A$6:$A$55,K134))</f>
      </c>
      <c r="M134" s="37">
        <f>IF(B134="","",G134*INDEX(PRECIOS!$B$6:$B$55,K134))</f>
      </c>
      <c r="N134" s="37">
        <f>IF(B134="","",H134*INDEX(PRECIOS!$C$6:$C$55,K134))</f>
      </c>
      <c r="O134" s="37">
        <f>IF(B134="","",I134*INDEX(PRECIOS!$D$6:$D$55,K134))</f>
      </c>
      <c r="P134" s="37">
        <f>IF(B134="","",N(ENTRADA!$X134))</f>
      </c>
      <c r="Q134" s="70">
        <f>IF(B134="","",M134+N134+O134+P134)</f>
      </c>
      <c r="R134" s="71">
        <f>IF(B134="","",IF(ENTRADA!$J134="",Std_Viajes_Puerto,ENTRADA!$J134))</f>
      </c>
      <c r="S134" s="37">
        <f>IF(B134="","",R134*INDEX(PRECIOS!$F$6:$F$55,K134))</f>
      </c>
      <c r="T134" s="71">
        <f>IF(B134="","",R134*Litros_Puerto_Viaje)</f>
      </c>
      <c r="U134" s="71">
        <f>IF(B134="","",IF(ENTRADA!$K134="",T134,ENTRADA!$K134))</f>
      </c>
      <c r="V134" s="37">
        <f>IF(B134="","",U134*INDEX(PRECIOS!$E$6:$E$55,K134))</f>
      </c>
      <c r="W134" s="37">
        <f>IF(B134="","",IF(ENTRADA!$L134="",R134*INDEX(PRECIOS!$G$6:$G$55,K134),ENTRADA!$L134))</f>
      </c>
      <c r="X134" s="37">
        <f>IF(B134="","",R134*Km_Puerto_Viaje*INDEX(PRECIOS!$N$6:$N$55,K134))</f>
      </c>
      <c r="Y134" s="70">
        <f>IF(B134="","",S134+V134+W134+X134)</f>
      </c>
      <c r="Z134" s="71">
        <f>IF(B134="","",IF(J134=0,0,ROUNDUP(J134/Rend_Desagrupe,0)))</f>
      </c>
      <c r="AA134" s="71">
        <f>IF(B134="","",IF(ENTRADA!$M134="",Z134,ENTRADA!$M134))</f>
      </c>
      <c r="AB134" s="37">
        <f>IF(B134="","",AA134*INDEX(PRECIOS!$H$6:$H$55,K134))</f>
      </c>
      <c r="AC134" s="37">
        <f>IF(B134="","",IF(E134="ENCI",INDEX(PRECIOS!$J$6:$J$55,K134),IF(E134="A.V",INDEX(PRECIOS!$K$6:$K$55,K134),0)))</f>
      </c>
      <c r="AD134" s="37">
        <f>IF(B134="","",N(ENTRADA!$N134))</f>
      </c>
      <c r="AE134" s="70">
        <f>IF(B134="","",AB134+AC134+AD134)</f>
      </c>
      <c r="AF134" s="71">
        <f>IF(B134="","",IF(G134=0,0,ROUNDUP(G134/Cap_Camion_OCC,0)))</f>
      </c>
      <c r="AG134" s="71">
        <f>IF(B134="","",AF134*L_Dist_OCC)</f>
      </c>
      <c r="AH134" s="71">
        <f>IF(B134="","",IF(ENTRADA!$O134="",AG134,ENTRADA!$O134))</f>
      </c>
      <c r="AI134" s="37">
        <f>IF(B134="","",AH134*INDEX(PRECIOS!$E$6:$E$55,K134))</f>
      </c>
      <c r="AJ134" s="71">
        <f>IF(B134="","",IF(H134=0,0,ROUNDUP(H134/Cap_Camion_CEN,0)))</f>
      </c>
      <c r="AK134" s="71">
        <f>IF(B134="","",AJ134*L_Tras_CEN)</f>
      </c>
      <c r="AL134" s="71">
        <f>IF(B134="","",IF(ENTRADA!$P134="",AK134,ENTRADA!$P134))</f>
      </c>
      <c r="AM134" s="71">
        <f>IF(B134="","",AJ134*L_Dist_CEN)</f>
      </c>
      <c r="AN134" s="71">
        <f>IF(B134="","",IF(ENTRADA!$Q134="",AM134,ENTRADA!$Q134))</f>
      </c>
      <c r="AO134" s="37">
        <f>IF(B134="","",(AL134+AN134)*INDEX(PRECIOS!$E$6:$E$55,K134))</f>
      </c>
      <c r="AP134" s="71">
        <f>IF(B134="","",IF(H134=0,0,ROUNDUP(H134/Rend_Desagrupe_CT,0)))</f>
      </c>
      <c r="AQ134" s="71">
        <f>IF(B134="","",IF(ENTRADA!$R134="",AP134,ENTRADA!$R134))</f>
      </c>
      <c r="AR134" s="37">
        <f>IF(B134="","",AQ134*INDEX(PRECIOS!$I$6:$I$55,K134))</f>
      </c>
      <c r="AS134" s="37">
        <f>IF(B134="","",AO134+AR134)</f>
      </c>
      <c r="AT134" s="71">
        <f>IF(B134="","",IF(I134=0,0,ROUNDUP(I134/Cap_Camion_ORI,0)))</f>
      </c>
      <c r="AU134" s="71">
        <f>IF(B134="","",AT134*L_Tras_ORI)</f>
      </c>
      <c r="AV134" s="71">
        <f>IF(B134="","",IF(ENTRADA!$S134="",AU134,ENTRADA!$S134))</f>
      </c>
      <c r="AW134" s="71">
        <f>IF(B134="","",AT134*L_Dist_ORI)</f>
      </c>
      <c r="AX134" s="71">
        <f>IF(B134="","",IF(ENTRADA!$T134="",AW134,ENTRADA!$T134))</f>
      </c>
      <c r="AY134" s="37">
        <f>IF(B134="","",(AV134+AX134)*INDEX(PRECIOS!$E$6:$E$55,K134))</f>
      </c>
      <c r="AZ134" s="71">
        <f>IF(B134="","",IF(I134=0,0,ROUNDUP(I134/Rend_Desagrupe_CT,0)))</f>
      </c>
      <c r="BA134" s="71">
        <f>IF(B134="","",IF(ENTRADA!$U134="",AZ134,ENTRADA!$U134))</f>
      </c>
      <c r="BB134" s="37">
        <f>IF(B134="","",BA134*INDEX(PRECIOS!$I$6:$I$55,K134))</f>
      </c>
      <c r="BC134" s="37">
        <f>IF(B134="","",AY134+BB134)</f>
      </c>
      <c r="BD134" s="70">
        <f>IF(B134="","",AI134+AS134+BC134)</f>
      </c>
      <c r="BE134" s="37">
        <f>IF(B134="","",IF(Base_Comision="% DEL INGRESO",M134*INDEX(PRECIOS!$L$6:$L$55,K134),G134*INDEX(PRECIOS!$M$6:$M$55,K134)))</f>
      </c>
      <c r="BF134" s="37">
        <f>IF(B134="","",IF(Base_Comision="% DEL INGRESO",N134*INDEX(PRECIOS!$L$6:$L$55,K134),H134*INDEX(PRECIOS!$M$6:$M$55,K134)))</f>
      </c>
      <c r="BG134" s="37">
        <f>IF(B134="","",IF(Base_Comision="% DEL INGRESO",O134*INDEX(PRECIOS!$L$6:$L$55,K134),I134*INDEX(PRECIOS!$M$6:$M$55,K134)))</f>
      </c>
      <c r="BH134" s="70">
        <f>IF(B134="","",BE134+BF134+BG134)</f>
      </c>
      <c r="BI134" s="37">
        <f>IF(B134="","",Q134*Pct_Reclamaciones)</f>
      </c>
      <c r="BJ134" s="37">
        <f>IF(B134="","",Q134*Pct_Banco)</f>
      </c>
      <c r="BK134" s="37">
        <f>IF(B134="","",N(ENTRADA!$V134))</f>
      </c>
      <c r="BL134" s="70">
        <f>IF(B134="","",Y134+AE134+BD134+BH134+BI134+BJ134+BK134)</f>
      </c>
      <c r="BM134" s="70">
        <f>IF(B134="","",Q134-BL134)</f>
      </c>
      <c r="BN134" s="72">
        <f>IF(B134="","",IF(Q134=0,0,BM134/Q134))</f>
      </c>
      <c r="BO134" s="73">
        <f>IF(B134="","",IF(J134=0,0,BM134/J134))</f>
      </c>
      <c r="BP134" s="60">
        <f>IF(B134="","",IFERROR(MATCH(D134,COSTOS_FIJOS!$G$5:$AD$5,0),0))</f>
      </c>
      <c r="BQ134" s="60">
        <f>IF(B134="","",COUNTIFS($D$6:$D$305,D134))</f>
      </c>
      <c r="BR134" s="67">
        <f>IF(B134="","",SUMIFS($J$6:$J$305,$D$6:$D$305,D134))</f>
      </c>
      <c r="BS134" s="72">
        <f>IF(B134="","",IF(Metodo_Prorrateo="KG",IF(BR134=0,0,J134/BR134),1/BQ134))</f>
      </c>
      <c r="BT134" s="37">
        <f>IF(B134="","",IF(BP134=0,0,INDEX(COSTOS_FIJOS!$G$38:$AD$38,BP134))*BS134)</f>
      </c>
      <c r="BU134" s="72">
        <f>IF(B134="","",IF(Metodo_Prorrateo="KG",IF(SUMIFS($G$6:$G$305,$D$6:$D$305,D134)=0,0,G134/SUMIFS($G$6:$G$305,$D$6:$D$305,D134)),IF(G134&gt;0,1/COUNTIFS($D$6:$D$305,D134,$G$6:$G$305,"&gt;0"),0)))</f>
      </c>
      <c r="BV134" s="37">
        <f>IF(B134="","",IF(BP134=0,0,INDEX(COSTOS_FIJOS!$G$39:$AD$39,BP134))*BU134)</f>
      </c>
      <c r="BW134" s="72">
        <f>IF(B134="","",IF(Metodo_Prorrateo="KG",IF(SUMIFS($H$6:$H$305,$D$6:$D$305,D134)=0,0,H134/SUMIFS($H$6:$H$305,$D$6:$D$305,D134)),IF(H134&gt;0,1/COUNTIFS($D$6:$D$305,D134,$H$6:$H$305,"&gt;0"),0)))</f>
      </c>
      <c r="BX134" s="37">
        <f>IF(B134="","",IF(BP134=0,0,INDEX(COSTOS_FIJOS!$G$40:$AD$40,BP134))*BW134)</f>
      </c>
      <c r="BY134" s="72">
        <f>IF(B134="","",IF(Metodo_Prorrateo="KG",IF(SUMIFS($I$6:$I$305,$D$6:$D$305,D134)=0,0,I134/SUMIFS($I$6:$I$305,$D$6:$D$305,D134)),IF(I134&gt;0,1/COUNTIFS($D$6:$D$305,D134,$I$6:$I$305,"&gt;0"),0)))</f>
      </c>
      <c r="BZ134" s="37">
        <f>IF(B134="","",IF(BP134=0,0,INDEX(COSTOS_FIJOS!$G$41:$AD$41,BP134))*BY134)</f>
      </c>
      <c r="CA134" s="70">
        <f>IF(B134="","",BT134+BV134+BX134+BZ134)</f>
      </c>
      <c r="CB134" s="37">
        <f>IF(B134="","",Q134*Imp_Ventas_Serv)</f>
      </c>
      <c r="CC134" s="37">
        <f>IF(B134="","",Q134*Contrib_Territorial)</f>
      </c>
      <c r="CD134" s="70">
        <f>IF(B134="","",BM134-CA134-CB134-CC134)</f>
      </c>
      <c r="CE134" s="37">
        <f>IF(B134="","",MAX(0,CD134)*Imp_Utilidades)</f>
      </c>
      <c r="CF134" s="70">
        <f>IF(B134="","",CD134-CE134)</f>
      </c>
      <c r="CG134" s="72">
        <f>IF(B134="","",IF(Q134=0,0,CF134/Q134))</f>
      </c>
      <c r="CH134" s="73">
        <f>IF(B134="","",IF(J134=0,0,(BL134+CA134+CB134+CC134)/J134))</f>
      </c>
      <c r="CI134" s="73">
        <f>IF(B134="","",IF(J134=0,0,Q134/J134))</f>
      </c>
      <c r="CJ134" s="73">
        <f>IF(B134="","",IF(J134=0,0,CD134/J134))</f>
      </c>
      <c r="CK134" s="37">
        <f>IF(B134="","",Y134+AE134+BK134+BT134)</f>
      </c>
      <c r="CL134" s="37">
        <f>IF(B134="","",IF(J134=0,0,(M134+P134*G134/J134)*(1-Pct_Reclamaciones-Pct_Banco-Imp_Ventas_Serv-Contrib_Territorial)-AI134-BE134-BV134-CK134*G134/J134))</f>
      </c>
      <c r="CM134" s="37">
        <f>IF(B134="","",IF(J134=0,0,(N134+P134*H134/J134)*(1-Pct_Reclamaciones-Pct_Banco-Imp_Ventas_Serv-Contrib_Territorial)-AS134-BF134-BX134-CK134*H134/J134))</f>
      </c>
      <c r="CN134" s="37">
        <f>IF(B134="","",IF(J134=0,0,(O134+P134*I134/J134)*(1-Pct_Reclamaciones-Pct_Banco-Imp_Ventas_Serv-Contrib_Territorial)-BC134-BG134-BZ134-CK134*I134/J134))</f>
      </c>
      <c r="CO134" s="37">
        <f>IF(B134="","",IF(J134=0,0,ROUND(CD134-CL134-CM134-CN134,4)))</f>
      </c>
      <c r="CP134" s="71">
        <f>IF(B134="","",T134+AG134+AK134+AM134+AU134+AW134)</f>
      </c>
      <c r="CQ134" s="71">
        <f>IF(B134="","",U134+AH134+AL134+AN134+AV134+AX134)</f>
      </c>
      <c r="CR134" s="72">
        <f>IF(B134="","",IF(CP134=0,0,CQ134/CP134-1))</f>
      </c>
      <c r="CS134" s="60">
        <f>IF(B134="","",IF(ENTRADA!$Y134="","",ENTRADA!$Y134-C134))</f>
      </c>
      <c r="CT134" s="66">
        <f>IF(B134="","",IF(ENTRADA!$C134="","Falta fecha. ","")&amp;IF(BP134=0,"Mes fuera del rango de COSTOS_FIJOS. ","")&amp;IF(J134=0,"Sin kg. ","")&amp;IF(E134="","Falta transitaria. ","")&amp;IF(AND(T134&gt;0,U134/T134-1&gt;Tolerancia_Comb),"Combustible al puerto "&amp;TEXT(U134/T134-1,"+0%")&amp;" sobre norma. ","")&amp;IF(AND(AG134&gt;0,AH134/AG134-1&gt;Tolerancia_Comb),"Combustible distribución Occidente "&amp;TEXT(AH134/AG134-1,"+0%")&amp;" sobre norma. ","")&amp;IF(AND(AK134&gt;0,AL134/AK134-1&gt;Tolerancia_Comb),"Combustible traslado Centro "&amp;TEXT(AL134/AK134-1,"+0%")&amp;" sobre norma. ","")&amp;IF(AND(AM134&gt;0,AN134/AM134-1&gt;Tolerancia_Comb),"Combustible distribución Centro "&amp;TEXT(AN134/AM134-1,"+0%")&amp;" sobre norma. ","")&amp;IF(AND(AU134&gt;0,AV134/AU134-1&gt;Tolerancia_Comb),"Combustible traslado Oriente "&amp;TEXT(AV134/AU134-1,"+0%")&amp;" sobre norma. ","")&amp;IF(AND(AW134&gt;0,AX134/AW134-1&gt;Tolerancia_Comb),"Combustible distribución Oriente "&amp;TEXT(AX134/AW134-1,"+0%")&amp;" sobre norma. ","")&amp;IF(AND(ENTRADA!$C134&lt;&gt;"",C134&lt;PRECIOS!$A$6),"Fecha anterior a la 1ª vigencia de precios. ","")&amp;IF(CD134&lt;0,"Contenedor con pérdida. ",""))</f>
      </c>
    </row>
    <row r="135">
      <c r="A135" s="60">
        <f>IF(B135="","",ROW()-5)</f>
      </c>
      <c r="B135" s="63">
        <f>IF(ENTRADA!$B135="","",ENTRADA!$B135)</f>
      </c>
      <c r="C135" s="64">
        <f>IF(B135="","",ENTRADA!$C135)</f>
      </c>
      <c r="D135" s="65">
        <f>IF(B135="","",DATE(YEAR(C135),MONTH(C135),1))</f>
      </c>
      <c r="E135" s="66">
        <f>IF(B135="","",ENTRADA!$D135&amp;"")</f>
      </c>
      <c r="F135" s="66">
        <f>IF(B135="","",ENTRADA!$Z135&amp;"")</f>
      </c>
      <c r="G135" s="67">
        <f>IF(B135="","",N(ENTRADA!$G135))</f>
      </c>
      <c r="H135" s="67">
        <f>IF(B135="","",N(ENTRADA!$H135))</f>
      </c>
      <c r="I135" s="67">
        <f>IF(B135="","",N(ENTRADA!$I135))</f>
      </c>
      <c r="J135" s="68">
        <f>IF(B135="","",G135+H135+I135)</f>
      </c>
      <c r="K135" s="60">
        <f>IF(B135="","",IFERROR(MATCH(SUMPRODUCT(MAX((PRECIOS!$A$6:$A$55&lt;=C135)*PRECIOS!$A$6:$A$55)),PRECIOS!$A$6:$A$55,0),1))</f>
      </c>
      <c r="L135" s="69">
        <f>IF(B135="","",INDEX(PRECIOS!$A$6:$A$55,K135))</f>
      </c>
      <c r="M135" s="37">
        <f>IF(B135="","",G135*INDEX(PRECIOS!$B$6:$B$55,K135))</f>
      </c>
      <c r="N135" s="37">
        <f>IF(B135="","",H135*INDEX(PRECIOS!$C$6:$C$55,K135))</f>
      </c>
      <c r="O135" s="37">
        <f>IF(B135="","",I135*INDEX(PRECIOS!$D$6:$D$55,K135))</f>
      </c>
      <c r="P135" s="37">
        <f>IF(B135="","",N(ENTRADA!$X135))</f>
      </c>
      <c r="Q135" s="70">
        <f>IF(B135="","",M135+N135+O135+P135)</f>
      </c>
      <c r="R135" s="71">
        <f>IF(B135="","",IF(ENTRADA!$J135="",Std_Viajes_Puerto,ENTRADA!$J135))</f>
      </c>
      <c r="S135" s="37">
        <f>IF(B135="","",R135*INDEX(PRECIOS!$F$6:$F$55,K135))</f>
      </c>
      <c r="T135" s="71">
        <f>IF(B135="","",R135*Litros_Puerto_Viaje)</f>
      </c>
      <c r="U135" s="71">
        <f>IF(B135="","",IF(ENTRADA!$K135="",T135,ENTRADA!$K135))</f>
      </c>
      <c r="V135" s="37">
        <f>IF(B135="","",U135*INDEX(PRECIOS!$E$6:$E$55,K135))</f>
      </c>
      <c r="W135" s="37">
        <f>IF(B135="","",IF(ENTRADA!$L135="",R135*INDEX(PRECIOS!$G$6:$G$55,K135),ENTRADA!$L135))</f>
      </c>
      <c r="X135" s="37">
        <f>IF(B135="","",R135*Km_Puerto_Viaje*INDEX(PRECIOS!$N$6:$N$55,K135))</f>
      </c>
      <c r="Y135" s="70">
        <f>IF(B135="","",S135+V135+W135+X135)</f>
      </c>
      <c r="Z135" s="71">
        <f>IF(B135="","",IF(J135=0,0,ROUNDUP(J135/Rend_Desagrupe,0)))</f>
      </c>
      <c r="AA135" s="71">
        <f>IF(B135="","",IF(ENTRADA!$M135="",Z135,ENTRADA!$M135))</f>
      </c>
      <c r="AB135" s="37">
        <f>IF(B135="","",AA135*INDEX(PRECIOS!$H$6:$H$55,K135))</f>
      </c>
      <c r="AC135" s="37">
        <f>IF(B135="","",IF(E135="ENCI",INDEX(PRECIOS!$J$6:$J$55,K135),IF(E135="A.V",INDEX(PRECIOS!$K$6:$K$55,K135),0)))</f>
      </c>
      <c r="AD135" s="37">
        <f>IF(B135="","",N(ENTRADA!$N135))</f>
      </c>
      <c r="AE135" s="70">
        <f>IF(B135="","",AB135+AC135+AD135)</f>
      </c>
      <c r="AF135" s="71">
        <f>IF(B135="","",IF(G135=0,0,ROUNDUP(G135/Cap_Camion_OCC,0)))</f>
      </c>
      <c r="AG135" s="71">
        <f>IF(B135="","",AF135*L_Dist_OCC)</f>
      </c>
      <c r="AH135" s="71">
        <f>IF(B135="","",IF(ENTRADA!$O135="",AG135,ENTRADA!$O135))</f>
      </c>
      <c r="AI135" s="37">
        <f>IF(B135="","",AH135*INDEX(PRECIOS!$E$6:$E$55,K135))</f>
      </c>
      <c r="AJ135" s="71">
        <f>IF(B135="","",IF(H135=0,0,ROUNDUP(H135/Cap_Camion_CEN,0)))</f>
      </c>
      <c r="AK135" s="71">
        <f>IF(B135="","",AJ135*L_Tras_CEN)</f>
      </c>
      <c r="AL135" s="71">
        <f>IF(B135="","",IF(ENTRADA!$P135="",AK135,ENTRADA!$P135))</f>
      </c>
      <c r="AM135" s="71">
        <f>IF(B135="","",AJ135*L_Dist_CEN)</f>
      </c>
      <c r="AN135" s="71">
        <f>IF(B135="","",IF(ENTRADA!$Q135="",AM135,ENTRADA!$Q135))</f>
      </c>
      <c r="AO135" s="37">
        <f>IF(B135="","",(AL135+AN135)*INDEX(PRECIOS!$E$6:$E$55,K135))</f>
      </c>
      <c r="AP135" s="71">
        <f>IF(B135="","",IF(H135=0,0,ROUNDUP(H135/Rend_Desagrupe_CT,0)))</f>
      </c>
      <c r="AQ135" s="71">
        <f>IF(B135="","",IF(ENTRADA!$R135="",AP135,ENTRADA!$R135))</f>
      </c>
      <c r="AR135" s="37">
        <f>IF(B135="","",AQ135*INDEX(PRECIOS!$I$6:$I$55,K135))</f>
      </c>
      <c r="AS135" s="37">
        <f>IF(B135="","",AO135+AR135)</f>
      </c>
      <c r="AT135" s="71">
        <f>IF(B135="","",IF(I135=0,0,ROUNDUP(I135/Cap_Camion_ORI,0)))</f>
      </c>
      <c r="AU135" s="71">
        <f>IF(B135="","",AT135*L_Tras_ORI)</f>
      </c>
      <c r="AV135" s="71">
        <f>IF(B135="","",IF(ENTRADA!$S135="",AU135,ENTRADA!$S135))</f>
      </c>
      <c r="AW135" s="71">
        <f>IF(B135="","",AT135*L_Dist_ORI)</f>
      </c>
      <c r="AX135" s="71">
        <f>IF(B135="","",IF(ENTRADA!$T135="",AW135,ENTRADA!$T135))</f>
      </c>
      <c r="AY135" s="37">
        <f>IF(B135="","",(AV135+AX135)*INDEX(PRECIOS!$E$6:$E$55,K135))</f>
      </c>
      <c r="AZ135" s="71">
        <f>IF(B135="","",IF(I135=0,0,ROUNDUP(I135/Rend_Desagrupe_CT,0)))</f>
      </c>
      <c r="BA135" s="71">
        <f>IF(B135="","",IF(ENTRADA!$U135="",AZ135,ENTRADA!$U135))</f>
      </c>
      <c r="BB135" s="37">
        <f>IF(B135="","",BA135*INDEX(PRECIOS!$I$6:$I$55,K135))</f>
      </c>
      <c r="BC135" s="37">
        <f>IF(B135="","",AY135+BB135)</f>
      </c>
      <c r="BD135" s="70">
        <f>IF(B135="","",AI135+AS135+BC135)</f>
      </c>
      <c r="BE135" s="37">
        <f>IF(B135="","",IF(Base_Comision="% DEL INGRESO",M135*INDEX(PRECIOS!$L$6:$L$55,K135),G135*INDEX(PRECIOS!$M$6:$M$55,K135)))</f>
      </c>
      <c r="BF135" s="37">
        <f>IF(B135="","",IF(Base_Comision="% DEL INGRESO",N135*INDEX(PRECIOS!$L$6:$L$55,K135),H135*INDEX(PRECIOS!$M$6:$M$55,K135)))</f>
      </c>
      <c r="BG135" s="37">
        <f>IF(B135="","",IF(Base_Comision="% DEL INGRESO",O135*INDEX(PRECIOS!$L$6:$L$55,K135),I135*INDEX(PRECIOS!$M$6:$M$55,K135)))</f>
      </c>
      <c r="BH135" s="70">
        <f>IF(B135="","",BE135+BF135+BG135)</f>
      </c>
      <c r="BI135" s="37">
        <f>IF(B135="","",Q135*Pct_Reclamaciones)</f>
      </c>
      <c r="BJ135" s="37">
        <f>IF(B135="","",Q135*Pct_Banco)</f>
      </c>
      <c r="BK135" s="37">
        <f>IF(B135="","",N(ENTRADA!$V135))</f>
      </c>
      <c r="BL135" s="70">
        <f>IF(B135="","",Y135+AE135+BD135+BH135+BI135+BJ135+BK135)</f>
      </c>
      <c r="BM135" s="70">
        <f>IF(B135="","",Q135-BL135)</f>
      </c>
      <c r="BN135" s="72">
        <f>IF(B135="","",IF(Q135=0,0,BM135/Q135))</f>
      </c>
      <c r="BO135" s="73">
        <f>IF(B135="","",IF(J135=0,0,BM135/J135))</f>
      </c>
      <c r="BP135" s="60">
        <f>IF(B135="","",IFERROR(MATCH(D135,COSTOS_FIJOS!$G$5:$AD$5,0),0))</f>
      </c>
      <c r="BQ135" s="60">
        <f>IF(B135="","",COUNTIFS($D$6:$D$305,D135))</f>
      </c>
      <c r="BR135" s="67">
        <f>IF(B135="","",SUMIFS($J$6:$J$305,$D$6:$D$305,D135))</f>
      </c>
      <c r="BS135" s="72">
        <f>IF(B135="","",IF(Metodo_Prorrateo="KG",IF(BR135=0,0,J135/BR135),1/BQ135))</f>
      </c>
      <c r="BT135" s="37">
        <f>IF(B135="","",IF(BP135=0,0,INDEX(COSTOS_FIJOS!$G$38:$AD$38,BP135))*BS135)</f>
      </c>
      <c r="BU135" s="72">
        <f>IF(B135="","",IF(Metodo_Prorrateo="KG",IF(SUMIFS($G$6:$G$305,$D$6:$D$305,D135)=0,0,G135/SUMIFS($G$6:$G$305,$D$6:$D$305,D135)),IF(G135&gt;0,1/COUNTIFS($D$6:$D$305,D135,$G$6:$G$305,"&gt;0"),0)))</f>
      </c>
      <c r="BV135" s="37">
        <f>IF(B135="","",IF(BP135=0,0,INDEX(COSTOS_FIJOS!$G$39:$AD$39,BP135))*BU135)</f>
      </c>
      <c r="BW135" s="72">
        <f>IF(B135="","",IF(Metodo_Prorrateo="KG",IF(SUMIFS($H$6:$H$305,$D$6:$D$305,D135)=0,0,H135/SUMIFS($H$6:$H$305,$D$6:$D$305,D135)),IF(H135&gt;0,1/COUNTIFS($D$6:$D$305,D135,$H$6:$H$305,"&gt;0"),0)))</f>
      </c>
      <c r="BX135" s="37">
        <f>IF(B135="","",IF(BP135=0,0,INDEX(COSTOS_FIJOS!$G$40:$AD$40,BP135))*BW135)</f>
      </c>
      <c r="BY135" s="72">
        <f>IF(B135="","",IF(Metodo_Prorrateo="KG",IF(SUMIFS($I$6:$I$305,$D$6:$D$305,D135)=0,0,I135/SUMIFS($I$6:$I$305,$D$6:$D$305,D135)),IF(I135&gt;0,1/COUNTIFS($D$6:$D$305,D135,$I$6:$I$305,"&gt;0"),0)))</f>
      </c>
      <c r="BZ135" s="37">
        <f>IF(B135="","",IF(BP135=0,0,INDEX(COSTOS_FIJOS!$G$41:$AD$41,BP135))*BY135)</f>
      </c>
      <c r="CA135" s="70">
        <f>IF(B135="","",BT135+BV135+BX135+BZ135)</f>
      </c>
      <c r="CB135" s="37">
        <f>IF(B135="","",Q135*Imp_Ventas_Serv)</f>
      </c>
      <c r="CC135" s="37">
        <f>IF(B135="","",Q135*Contrib_Territorial)</f>
      </c>
      <c r="CD135" s="70">
        <f>IF(B135="","",BM135-CA135-CB135-CC135)</f>
      </c>
      <c r="CE135" s="37">
        <f>IF(B135="","",MAX(0,CD135)*Imp_Utilidades)</f>
      </c>
      <c r="CF135" s="70">
        <f>IF(B135="","",CD135-CE135)</f>
      </c>
      <c r="CG135" s="72">
        <f>IF(B135="","",IF(Q135=0,0,CF135/Q135))</f>
      </c>
      <c r="CH135" s="73">
        <f>IF(B135="","",IF(J135=0,0,(BL135+CA135+CB135+CC135)/J135))</f>
      </c>
      <c r="CI135" s="73">
        <f>IF(B135="","",IF(J135=0,0,Q135/J135))</f>
      </c>
      <c r="CJ135" s="73">
        <f>IF(B135="","",IF(J135=0,0,CD135/J135))</f>
      </c>
      <c r="CK135" s="37">
        <f>IF(B135="","",Y135+AE135+BK135+BT135)</f>
      </c>
      <c r="CL135" s="37">
        <f>IF(B135="","",IF(J135=0,0,(M135+P135*G135/J135)*(1-Pct_Reclamaciones-Pct_Banco-Imp_Ventas_Serv-Contrib_Territorial)-AI135-BE135-BV135-CK135*G135/J135))</f>
      </c>
      <c r="CM135" s="37">
        <f>IF(B135="","",IF(J135=0,0,(N135+P135*H135/J135)*(1-Pct_Reclamaciones-Pct_Banco-Imp_Ventas_Serv-Contrib_Territorial)-AS135-BF135-BX135-CK135*H135/J135))</f>
      </c>
      <c r="CN135" s="37">
        <f>IF(B135="","",IF(J135=0,0,(O135+P135*I135/J135)*(1-Pct_Reclamaciones-Pct_Banco-Imp_Ventas_Serv-Contrib_Territorial)-BC135-BG135-BZ135-CK135*I135/J135))</f>
      </c>
      <c r="CO135" s="37">
        <f>IF(B135="","",IF(J135=0,0,ROUND(CD135-CL135-CM135-CN135,4)))</f>
      </c>
      <c r="CP135" s="71">
        <f>IF(B135="","",T135+AG135+AK135+AM135+AU135+AW135)</f>
      </c>
      <c r="CQ135" s="71">
        <f>IF(B135="","",U135+AH135+AL135+AN135+AV135+AX135)</f>
      </c>
      <c r="CR135" s="72">
        <f>IF(B135="","",IF(CP135=0,0,CQ135/CP135-1))</f>
      </c>
      <c r="CS135" s="60">
        <f>IF(B135="","",IF(ENTRADA!$Y135="","",ENTRADA!$Y135-C135))</f>
      </c>
      <c r="CT135" s="66">
        <f>IF(B135="","",IF(ENTRADA!$C135="","Falta fecha. ","")&amp;IF(BP135=0,"Mes fuera del rango de COSTOS_FIJOS. ","")&amp;IF(J135=0,"Sin kg. ","")&amp;IF(E135="","Falta transitaria. ","")&amp;IF(AND(T135&gt;0,U135/T135-1&gt;Tolerancia_Comb),"Combustible al puerto "&amp;TEXT(U135/T135-1,"+0%")&amp;" sobre norma. ","")&amp;IF(AND(AG135&gt;0,AH135/AG135-1&gt;Tolerancia_Comb),"Combustible distribución Occidente "&amp;TEXT(AH135/AG135-1,"+0%")&amp;" sobre norma. ","")&amp;IF(AND(AK135&gt;0,AL135/AK135-1&gt;Tolerancia_Comb),"Combustible traslado Centro "&amp;TEXT(AL135/AK135-1,"+0%")&amp;" sobre norma. ","")&amp;IF(AND(AM135&gt;0,AN135/AM135-1&gt;Tolerancia_Comb),"Combustible distribución Centro "&amp;TEXT(AN135/AM135-1,"+0%")&amp;" sobre norma. ","")&amp;IF(AND(AU135&gt;0,AV135/AU135-1&gt;Tolerancia_Comb),"Combustible traslado Oriente "&amp;TEXT(AV135/AU135-1,"+0%")&amp;" sobre norma. ","")&amp;IF(AND(AW135&gt;0,AX135/AW135-1&gt;Tolerancia_Comb),"Combustible distribución Oriente "&amp;TEXT(AX135/AW135-1,"+0%")&amp;" sobre norma. ","")&amp;IF(AND(ENTRADA!$C135&lt;&gt;"",C135&lt;PRECIOS!$A$6),"Fecha anterior a la 1ª vigencia de precios. ","")&amp;IF(CD135&lt;0,"Contenedor con pérdida. ",""))</f>
      </c>
    </row>
    <row r="136">
      <c r="A136" s="60">
        <f>IF(B136="","",ROW()-5)</f>
      </c>
      <c r="B136" s="63">
        <f>IF(ENTRADA!$B136="","",ENTRADA!$B136)</f>
      </c>
      <c r="C136" s="64">
        <f>IF(B136="","",ENTRADA!$C136)</f>
      </c>
      <c r="D136" s="65">
        <f>IF(B136="","",DATE(YEAR(C136),MONTH(C136),1))</f>
      </c>
      <c r="E136" s="66">
        <f>IF(B136="","",ENTRADA!$D136&amp;"")</f>
      </c>
      <c r="F136" s="66">
        <f>IF(B136="","",ENTRADA!$Z136&amp;"")</f>
      </c>
      <c r="G136" s="67">
        <f>IF(B136="","",N(ENTRADA!$G136))</f>
      </c>
      <c r="H136" s="67">
        <f>IF(B136="","",N(ENTRADA!$H136))</f>
      </c>
      <c r="I136" s="67">
        <f>IF(B136="","",N(ENTRADA!$I136))</f>
      </c>
      <c r="J136" s="68">
        <f>IF(B136="","",G136+H136+I136)</f>
      </c>
      <c r="K136" s="60">
        <f>IF(B136="","",IFERROR(MATCH(SUMPRODUCT(MAX((PRECIOS!$A$6:$A$55&lt;=C136)*PRECIOS!$A$6:$A$55)),PRECIOS!$A$6:$A$55,0),1))</f>
      </c>
      <c r="L136" s="69">
        <f>IF(B136="","",INDEX(PRECIOS!$A$6:$A$55,K136))</f>
      </c>
      <c r="M136" s="37">
        <f>IF(B136="","",G136*INDEX(PRECIOS!$B$6:$B$55,K136))</f>
      </c>
      <c r="N136" s="37">
        <f>IF(B136="","",H136*INDEX(PRECIOS!$C$6:$C$55,K136))</f>
      </c>
      <c r="O136" s="37">
        <f>IF(B136="","",I136*INDEX(PRECIOS!$D$6:$D$55,K136))</f>
      </c>
      <c r="P136" s="37">
        <f>IF(B136="","",N(ENTRADA!$X136))</f>
      </c>
      <c r="Q136" s="70">
        <f>IF(B136="","",M136+N136+O136+P136)</f>
      </c>
      <c r="R136" s="71">
        <f>IF(B136="","",IF(ENTRADA!$J136="",Std_Viajes_Puerto,ENTRADA!$J136))</f>
      </c>
      <c r="S136" s="37">
        <f>IF(B136="","",R136*INDEX(PRECIOS!$F$6:$F$55,K136))</f>
      </c>
      <c r="T136" s="71">
        <f>IF(B136="","",R136*Litros_Puerto_Viaje)</f>
      </c>
      <c r="U136" s="71">
        <f>IF(B136="","",IF(ENTRADA!$K136="",T136,ENTRADA!$K136))</f>
      </c>
      <c r="V136" s="37">
        <f>IF(B136="","",U136*INDEX(PRECIOS!$E$6:$E$55,K136))</f>
      </c>
      <c r="W136" s="37">
        <f>IF(B136="","",IF(ENTRADA!$L136="",R136*INDEX(PRECIOS!$G$6:$G$55,K136),ENTRADA!$L136))</f>
      </c>
      <c r="X136" s="37">
        <f>IF(B136="","",R136*Km_Puerto_Viaje*INDEX(PRECIOS!$N$6:$N$55,K136))</f>
      </c>
      <c r="Y136" s="70">
        <f>IF(B136="","",S136+V136+W136+X136)</f>
      </c>
      <c r="Z136" s="71">
        <f>IF(B136="","",IF(J136=0,0,ROUNDUP(J136/Rend_Desagrupe,0)))</f>
      </c>
      <c r="AA136" s="71">
        <f>IF(B136="","",IF(ENTRADA!$M136="",Z136,ENTRADA!$M136))</f>
      </c>
      <c r="AB136" s="37">
        <f>IF(B136="","",AA136*INDEX(PRECIOS!$H$6:$H$55,K136))</f>
      </c>
      <c r="AC136" s="37">
        <f>IF(B136="","",IF(E136="ENCI",INDEX(PRECIOS!$J$6:$J$55,K136),IF(E136="A.V",INDEX(PRECIOS!$K$6:$K$55,K136),0)))</f>
      </c>
      <c r="AD136" s="37">
        <f>IF(B136="","",N(ENTRADA!$N136))</f>
      </c>
      <c r="AE136" s="70">
        <f>IF(B136="","",AB136+AC136+AD136)</f>
      </c>
      <c r="AF136" s="71">
        <f>IF(B136="","",IF(G136=0,0,ROUNDUP(G136/Cap_Camion_OCC,0)))</f>
      </c>
      <c r="AG136" s="71">
        <f>IF(B136="","",AF136*L_Dist_OCC)</f>
      </c>
      <c r="AH136" s="71">
        <f>IF(B136="","",IF(ENTRADA!$O136="",AG136,ENTRADA!$O136))</f>
      </c>
      <c r="AI136" s="37">
        <f>IF(B136="","",AH136*INDEX(PRECIOS!$E$6:$E$55,K136))</f>
      </c>
      <c r="AJ136" s="71">
        <f>IF(B136="","",IF(H136=0,0,ROUNDUP(H136/Cap_Camion_CEN,0)))</f>
      </c>
      <c r="AK136" s="71">
        <f>IF(B136="","",AJ136*L_Tras_CEN)</f>
      </c>
      <c r="AL136" s="71">
        <f>IF(B136="","",IF(ENTRADA!$P136="",AK136,ENTRADA!$P136))</f>
      </c>
      <c r="AM136" s="71">
        <f>IF(B136="","",AJ136*L_Dist_CEN)</f>
      </c>
      <c r="AN136" s="71">
        <f>IF(B136="","",IF(ENTRADA!$Q136="",AM136,ENTRADA!$Q136))</f>
      </c>
      <c r="AO136" s="37">
        <f>IF(B136="","",(AL136+AN136)*INDEX(PRECIOS!$E$6:$E$55,K136))</f>
      </c>
      <c r="AP136" s="71">
        <f>IF(B136="","",IF(H136=0,0,ROUNDUP(H136/Rend_Desagrupe_CT,0)))</f>
      </c>
      <c r="AQ136" s="71">
        <f>IF(B136="","",IF(ENTRADA!$R136="",AP136,ENTRADA!$R136))</f>
      </c>
      <c r="AR136" s="37">
        <f>IF(B136="","",AQ136*INDEX(PRECIOS!$I$6:$I$55,K136))</f>
      </c>
      <c r="AS136" s="37">
        <f>IF(B136="","",AO136+AR136)</f>
      </c>
      <c r="AT136" s="71">
        <f>IF(B136="","",IF(I136=0,0,ROUNDUP(I136/Cap_Camion_ORI,0)))</f>
      </c>
      <c r="AU136" s="71">
        <f>IF(B136="","",AT136*L_Tras_ORI)</f>
      </c>
      <c r="AV136" s="71">
        <f>IF(B136="","",IF(ENTRADA!$S136="",AU136,ENTRADA!$S136))</f>
      </c>
      <c r="AW136" s="71">
        <f>IF(B136="","",AT136*L_Dist_ORI)</f>
      </c>
      <c r="AX136" s="71">
        <f>IF(B136="","",IF(ENTRADA!$T136="",AW136,ENTRADA!$T136))</f>
      </c>
      <c r="AY136" s="37">
        <f>IF(B136="","",(AV136+AX136)*INDEX(PRECIOS!$E$6:$E$55,K136))</f>
      </c>
      <c r="AZ136" s="71">
        <f>IF(B136="","",IF(I136=0,0,ROUNDUP(I136/Rend_Desagrupe_CT,0)))</f>
      </c>
      <c r="BA136" s="71">
        <f>IF(B136="","",IF(ENTRADA!$U136="",AZ136,ENTRADA!$U136))</f>
      </c>
      <c r="BB136" s="37">
        <f>IF(B136="","",BA136*INDEX(PRECIOS!$I$6:$I$55,K136))</f>
      </c>
      <c r="BC136" s="37">
        <f>IF(B136="","",AY136+BB136)</f>
      </c>
      <c r="BD136" s="70">
        <f>IF(B136="","",AI136+AS136+BC136)</f>
      </c>
      <c r="BE136" s="37">
        <f>IF(B136="","",IF(Base_Comision="% DEL INGRESO",M136*INDEX(PRECIOS!$L$6:$L$55,K136),G136*INDEX(PRECIOS!$M$6:$M$55,K136)))</f>
      </c>
      <c r="BF136" s="37">
        <f>IF(B136="","",IF(Base_Comision="% DEL INGRESO",N136*INDEX(PRECIOS!$L$6:$L$55,K136),H136*INDEX(PRECIOS!$M$6:$M$55,K136)))</f>
      </c>
      <c r="BG136" s="37">
        <f>IF(B136="","",IF(Base_Comision="% DEL INGRESO",O136*INDEX(PRECIOS!$L$6:$L$55,K136),I136*INDEX(PRECIOS!$M$6:$M$55,K136)))</f>
      </c>
      <c r="BH136" s="70">
        <f>IF(B136="","",BE136+BF136+BG136)</f>
      </c>
      <c r="BI136" s="37">
        <f>IF(B136="","",Q136*Pct_Reclamaciones)</f>
      </c>
      <c r="BJ136" s="37">
        <f>IF(B136="","",Q136*Pct_Banco)</f>
      </c>
      <c r="BK136" s="37">
        <f>IF(B136="","",N(ENTRADA!$V136))</f>
      </c>
      <c r="BL136" s="70">
        <f>IF(B136="","",Y136+AE136+BD136+BH136+BI136+BJ136+BK136)</f>
      </c>
      <c r="BM136" s="70">
        <f>IF(B136="","",Q136-BL136)</f>
      </c>
      <c r="BN136" s="72">
        <f>IF(B136="","",IF(Q136=0,0,BM136/Q136))</f>
      </c>
      <c r="BO136" s="73">
        <f>IF(B136="","",IF(J136=0,0,BM136/J136))</f>
      </c>
      <c r="BP136" s="60">
        <f>IF(B136="","",IFERROR(MATCH(D136,COSTOS_FIJOS!$G$5:$AD$5,0),0))</f>
      </c>
      <c r="BQ136" s="60">
        <f>IF(B136="","",COUNTIFS($D$6:$D$305,D136))</f>
      </c>
      <c r="BR136" s="67">
        <f>IF(B136="","",SUMIFS($J$6:$J$305,$D$6:$D$305,D136))</f>
      </c>
      <c r="BS136" s="72">
        <f>IF(B136="","",IF(Metodo_Prorrateo="KG",IF(BR136=0,0,J136/BR136),1/BQ136))</f>
      </c>
      <c r="BT136" s="37">
        <f>IF(B136="","",IF(BP136=0,0,INDEX(COSTOS_FIJOS!$G$38:$AD$38,BP136))*BS136)</f>
      </c>
      <c r="BU136" s="72">
        <f>IF(B136="","",IF(Metodo_Prorrateo="KG",IF(SUMIFS($G$6:$G$305,$D$6:$D$305,D136)=0,0,G136/SUMIFS($G$6:$G$305,$D$6:$D$305,D136)),IF(G136&gt;0,1/COUNTIFS($D$6:$D$305,D136,$G$6:$G$305,"&gt;0"),0)))</f>
      </c>
      <c r="BV136" s="37">
        <f>IF(B136="","",IF(BP136=0,0,INDEX(COSTOS_FIJOS!$G$39:$AD$39,BP136))*BU136)</f>
      </c>
      <c r="BW136" s="72">
        <f>IF(B136="","",IF(Metodo_Prorrateo="KG",IF(SUMIFS($H$6:$H$305,$D$6:$D$305,D136)=0,0,H136/SUMIFS($H$6:$H$305,$D$6:$D$305,D136)),IF(H136&gt;0,1/COUNTIFS($D$6:$D$305,D136,$H$6:$H$305,"&gt;0"),0)))</f>
      </c>
      <c r="BX136" s="37">
        <f>IF(B136="","",IF(BP136=0,0,INDEX(COSTOS_FIJOS!$G$40:$AD$40,BP136))*BW136)</f>
      </c>
      <c r="BY136" s="72">
        <f>IF(B136="","",IF(Metodo_Prorrateo="KG",IF(SUMIFS($I$6:$I$305,$D$6:$D$305,D136)=0,0,I136/SUMIFS($I$6:$I$305,$D$6:$D$305,D136)),IF(I136&gt;0,1/COUNTIFS($D$6:$D$305,D136,$I$6:$I$305,"&gt;0"),0)))</f>
      </c>
      <c r="BZ136" s="37">
        <f>IF(B136="","",IF(BP136=0,0,INDEX(COSTOS_FIJOS!$G$41:$AD$41,BP136))*BY136)</f>
      </c>
      <c r="CA136" s="70">
        <f>IF(B136="","",BT136+BV136+BX136+BZ136)</f>
      </c>
      <c r="CB136" s="37">
        <f>IF(B136="","",Q136*Imp_Ventas_Serv)</f>
      </c>
      <c r="CC136" s="37">
        <f>IF(B136="","",Q136*Contrib_Territorial)</f>
      </c>
      <c r="CD136" s="70">
        <f>IF(B136="","",BM136-CA136-CB136-CC136)</f>
      </c>
      <c r="CE136" s="37">
        <f>IF(B136="","",MAX(0,CD136)*Imp_Utilidades)</f>
      </c>
      <c r="CF136" s="70">
        <f>IF(B136="","",CD136-CE136)</f>
      </c>
      <c r="CG136" s="72">
        <f>IF(B136="","",IF(Q136=0,0,CF136/Q136))</f>
      </c>
      <c r="CH136" s="73">
        <f>IF(B136="","",IF(J136=0,0,(BL136+CA136+CB136+CC136)/J136))</f>
      </c>
      <c r="CI136" s="73">
        <f>IF(B136="","",IF(J136=0,0,Q136/J136))</f>
      </c>
      <c r="CJ136" s="73">
        <f>IF(B136="","",IF(J136=0,0,CD136/J136))</f>
      </c>
      <c r="CK136" s="37">
        <f>IF(B136="","",Y136+AE136+BK136+BT136)</f>
      </c>
      <c r="CL136" s="37">
        <f>IF(B136="","",IF(J136=0,0,(M136+P136*G136/J136)*(1-Pct_Reclamaciones-Pct_Banco-Imp_Ventas_Serv-Contrib_Territorial)-AI136-BE136-BV136-CK136*G136/J136))</f>
      </c>
      <c r="CM136" s="37">
        <f>IF(B136="","",IF(J136=0,0,(N136+P136*H136/J136)*(1-Pct_Reclamaciones-Pct_Banco-Imp_Ventas_Serv-Contrib_Territorial)-AS136-BF136-BX136-CK136*H136/J136))</f>
      </c>
      <c r="CN136" s="37">
        <f>IF(B136="","",IF(J136=0,0,(O136+P136*I136/J136)*(1-Pct_Reclamaciones-Pct_Banco-Imp_Ventas_Serv-Contrib_Territorial)-BC136-BG136-BZ136-CK136*I136/J136))</f>
      </c>
      <c r="CO136" s="37">
        <f>IF(B136="","",IF(J136=0,0,ROUND(CD136-CL136-CM136-CN136,4)))</f>
      </c>
      <c r="CP136" s="71">
        <f>IF(B136="","",T136+AG136+AK136+AM136+AU136+AW136)</f>
      </c>
      <c r="CQ136" s="71">
        <f>IF(B136="","",U136+AH136+AL136+AN136+AV136+AX136)</f>
      </c>
      <c r="CR136" s="72">
        <f>IF(B136="","",IF(CP136=0,0,CQ136/CP136-1))</f>
      </c>
      <c r="CS136" s="60">
        <f>IF(B136="","",IF(ENTRADA!$Y136="","",ENTRADA!$Y136-C136))</f>
      </c>
      <c r="CT136" s="66">
        <f>IF(B136="","",IF(ENTRADA!$C136="","Falta fecha. ","")&amp;IF(BP136=0,"Mes fuera del rango de COSTOS_FIJOS. ","")&amp;IF(J136=0,"Sin kg. ","")&amp;IF(E136="","Falta transitaria. ","")&amp;IF(AND(T136&gt;0,U136/T136-1&gt;Tolerancia_Comb),"Combustible al puerto "&amp;TEXT(U136/T136-1,"+0%")&amp;" sobre norma. ","")&amp;IF(AND(AG136&gt;0,AH136/AG136-1&gt;Tolerancia_Comb),"Combustible distribución Occidente "&amp;TEXT(AH136/AG136-1,"+0%")&amp;" sobre norma. ","")&amp;IF(AND(AK136&gt;0,AL136/AK136-1&gt;Tolerancia_Comb),"Combustible traslado Centro "&amp;TEXT(AL136/AK136-1,"+0%")&amp;" sobre norma. ","")&amp;IF(AND(AM136&gt;0,AN136/AM136-1&gt;Tolerancia_Comb),"Combustible distribución Centro "&amp;TEXT(AN136/AM136-1,"+0%")&amp;" sobre norma. ","")&amp;IF(AND(AU136&gt;0,AV136/AU136-1&gt;Tolerancia_Comb),"Combustible traslado Oriente "&amp;TEXT(AV136/AU136-1,"+0%")&amp;" sobre norma. ","")&amp;IF(AND(AW136&gt;0,AX136/AW136-1&gt;Tolerancia_Comb),"Combustible distribución Oriente "&amp;TEXT(AX136/AW136-1,"+0%")&amp;" sobre norma. ","")&amp;IF(AND(ENTRADA!$C136&lt;&gt;"",C136&lt;PRECIOS!$A$6),"Fecha anterior a la 1ª vigencia de precios. ","")&amp;IF(CD136&lt;0,"Contenedor con pérdida. ",""))</f>
      </c>
    </row>
    <row r="137">
      <c r="A137" s="60">
        <f>IF(B137="","",ROW()-5)</f>
      </c>
      <c r="B137" s="63">
        <f>IF(ENTRADA!$B137="","",ENTRADA!$B137)</f>
      </c>
      <c r="C137" s="64">
        <f>IF(B137="","",ENTRADA!$C137)</f>
      </c>
      <c r="D137" s="65">
        <f>IF(B137="","",DATE(YEAR(C137),MONTH(C137),1))</f>
      </c>
      <c r="E137" s="66">
        <f>IF(B137="","",ENTRADA!$D137&amp;"")</f>
      </c>
      <c r="F137" s="66">
        <f>IF(B137="","",ENTRADA!$Z137&amp;"")</f>
      </c>
      <c r="G137" s="67">
        <f>IF(B137="","",N(ENTRADA!$G137))</f>
      </c>
      <c r="H137" s="67">
        <f>IF(B137="","",N(ENTRADA!$H137))</f>
      </c>
      <c r="I137" s="67">
        <f>IF(B137="","",N(ENTRADA!$I137))</f>
      </c>
      <c r="J137" s="68">
        <f>IF(B137="","",G137+H137+I137)</f>
      </c>
      <c r="K137" s="60">
        <f>IF(B137="","",IFERROR(MATCH(SUMPRODUCT(MAX((PRECIOS!$A$6:$A$55&lt;=C137)*PRECIOS!$A$6:$A$55)),PRECIOS!$A$6:$A$55,0),1))</f>
      </c>
      <c r="L137" s="69">
        <f>IF(B137="","",INDEX(PRECIOS!$A$6:$A$55,K137))</f>
      </c>
      <c r="M137" s="37">
        <f>IF(B137="","",G137*INDEX(PRECIOS!$B$6:$B$55,K137))</f>
      </c>
      <c r="N137" s="37">
        <f>IF(B137="","",H137*INDEX(PRECIOS!$C$6:$C$55,K137))</f>
      </c>
      <c r="O137" s="37">
        <f>IF(B137="","",I137*INDEX(PRECIOS!$D$6:$D$55,K137))</f>
      </c>
      <c r="P137" s="37">
        <f>IF(B137="","",N(ENTRADA!$X137))</f>
      </c>
      <c r="Q137" s="70">
        <f>IF(B137="","",M137+N137+O137+P137)</f>
      </c>
      <c r="R137" s="71">
        <f>IF(B137="","",IF(ENTRADA!$J137="",Std_Viajes_Puerto,ENTRADA!$J137))</f>
      </c>
      <c r="S137" s="37">
        <f>IF(B137="","",R137*INDEX(PRECIOS!$F$6:$F$55,K137))</f>
      </c>
      <c r="T137" s="71">
        <f>IF(B137="","",R137*Litros_Puerto_Viaje)</f>
      </c>
      <c r="U137" s="71">
        <f>IF(B137="","",IF(ENTRADA!$K137="",T137,ENTRADA!$K137))</f>
      </c>
      <c r="V137" s="37">
        <f>IF(B137="","",U137*INDEX(PRECIOS!$E$6:$E$55,K137))</f>
      </c>
      <c r="W137" s="37">
        <f>IF(B137="","",IF(ENTRADA!$L137="",R137*INDEX(PRECIOS!$G$6:$G$55,K137),ENTRADA!$L137))</f>
      </c>
      <c r="X137" s="37">
        <f>IF(B137="","",R137*Km_Puerto_Viaje*INDEX(PRECIOS!$N$6:$N$55,K137))</f>
      </c>
      <c r="Y137" s="70">
        <f>IF(B137="","",S137+V137+W137+X137)</f>
      </c>
      <c r="Z137" s="71">
        <f>IF(B137="","",IF(J137=0,0,ROUNDUP(J137/Rend_Desagrupe,0)))</f>
      </c>
      <c r="AA137" s="71">
        <f>IF(B137="","",IF(ENTRADA!$M137="",Z137,ENTRADA!$M137))</f>
      </c>
      <c r="AB137" s="37">
        <f>IF(B137="","",AA137*INDEX(PRECIOS!$H$6:$H$55,K137))</f>
      </c>
      <c r="AC137" s="37">
        <f>IF(B137="","",IF(E137="ENCI",INDEX(PRECIOS!$J$6:$J$55,K137),IF(E137="A.V",INDEX(PRECIOS!$K$6:$K$55,K137),0)))</f>
      </c>
      <c r="AD137" s="37">
        <f>IF(B137="","",N(ENTRADA!$N137))</f>
      </c>
      <c r="AE137" s="70">
        <f>IF(B137="","",AB137+AC137+AD137)</f>
      </c>
      <c r="AF137" s="71">
        <f>IF(B137="","",IF(G137=0,0,ROUNDUP(G137/Cap_Camion_OCC,0)))</f>
      </c>
      <c r="AG137" s="71">
        <f>IF(B137="","",AF137*L_Dist_OCC)</f>
      </c>
      <c r="AH137" s="71">
        <f>IF(B137="","",IF(ENTRADA!$O137="",AG137,ENTRADA!$O137))</f>
      </c>
      <c r="AI137" s="37">
        <f>IF(B137="","",AH137*INDEX(PRECIOS!$E$6:$E$55,K137))</f>
      </c>
      <c r="AJ137" s="71">
        <f>IF(B137="","",IF(H137=0,0,ROUNDUP(H137/Cap_Camion_CEN,0)))</f>
      </c>
      <c r="AK137" s="71">
        <f>IF(B137="","",AJ137*L_Tras_CEN)</f>
      </c>
      <c r="AL137" s="71">
        <f>IF(B137="","",IF(ENTRADA!$P137="",AK137,ENTRADA!$P137))</f>
      </c>
      <c r="AM137" s="71">
        <f>IF(B137="","",AJ137*L_Dist_CEN)</f>
      </c>
      <c r="AN137" s="71">
        <f>IF(B137="","",IF(ENTRADA!$Q137="",AM137,ENTRADA!$Q137))</f>
      </c>
      <c r="AO137" s="37">
        <f>IF(B137="","",(AL137+AN137)*INDEX(PRECIOS!$E$6:$E$55,K137))</f>
      </c>
      <c r="AP137" s="71">
        <f>IF(B137="","",IF(H137=0,0,ROUNDUP(H137/Rend_Desagrupe_CT,0)))</f>
      </c>
      <c r="AQ137" s="71">
        <f>IF(B137="","",IF(ENTRADA!$R137="",AP137,ENTRADA!$R137))</f>
      </c>
      <c r="AR137" s="37">
        <f>IF(B137="","",AQ137*INDEX(PRECIOS!$I$6:$I$55,K137))</f>
      </c>
      <c r="AS137" s="37">
        <f>IF(B137="","",AO137+AR137)</f>
      </c>
      <c r="AT137" s="71">
        <f>IF(B137="","",IF(I137=0,0,ROUNDUP(I137/Cap_Camion_ORI,0)))</f>
      </c>
      <c r="AU137" s="71">
        <f>IF(B137="","",AT137*L_Tras_ORI)</f>
      </c>
      <c r="AV137" s="71">
        <f>IF(B137="","",IF(ENTRADA!$S137="",AU137,ENTRADA!$S137))</f>
      </c>
      <c r="AW137" s="71">
        <f>IF(B137="","",AT137*L_Dist_ORI)</f>
      </c>
      <c r="AX137" s="71">
        <f>IF(B137="","",IF(ENTRADA!$T137="",AW137,ENTRADA!$T137))</f>
      </c>
      <c r="AY137" s="37">
        <f>IF(B137="","",(AV137+AX137)*INDEX(PRECIOS!$E$6:$E$55,K137))</f>
      </c>
      <c r="AZ137" s="71">
        <f>IF(B137="","",IF(I137=0,0,ROUNDUP(I137/Rend_Desagrupe_CT,0)))</f>
      </c>
      <c r="BA137" s="71">
        <f>IF(B137="","",IF(ENTRADA!$U137="",AZ137,ENTRADA!$U137))</f>
      </c>
      <c r="BB137" s="37">
        <f>IF(B137="","",BA137*INDEX(PRECIOS!$I$6:$I$55,K137))</f>
      </c>
      <c r="BC137" s="37">
        <f>IF(B137="","",AY137+BB137)</f>
      </c>
      <c r="BD137" s="70">
        <f>IF(B137="","",AI137+AS137+BC137)</f>
      </c>
      <c r="BE137" s="37">
        <f>IF(B137="","",IF(Base_Comision="% DEL INGRESO",M137*INDEX(PRECIOS!$L$6:$L$55,K137),G137*INDEX(PRECIOS!$M$6:$M$55,K137)))</f>
      </c>
      <c r="BF137" s="37">
        <f>IF(B137="","",IF(Base_Comision="% DEL INGRESO",N137*INDEX(PRECIOS!$L$6:$L$55,K137),H137*INDEX(PRECIOS!$M$6:$M$55,K137)))</f>
      </c>
      <c r="BG137" s="37">
        <f>IF(B137="","",IF(Base_Comision="% DEL INGRESO",O137*INDEX(PRECIOS!$L$6:$L$55,K137),I137*INDEX(PRECIOS!$M$6:$M$55,K137)))</f>
      </c>
      <c r="BH137" s="70">
        <f>IF(B137="","",BE137+BF137+BG137)</f>
      </c>
      <c r="BI137" s="37">
        <f>IF(B137="","",Q137*Pct_Reclamaciones)</f>
      </c>
      <c r="BJ137" s="37">
        <f>IF(B137="","",Q137*Pct_Banco)</f>
      </c>
      <c r="BK137" s="37">
        <f>IF(B137="","",N(ENTRADA!$V137))</f>
      </c>
      <c r="BL137" s="70">
        <f>IF(B137="","",Y137+AE137+BD137+BH137+BI137+BJ137+BK137)</f>
      </c>
      <c r="BM137" s="70">
        <f>IF(B137="","",Q137-BL137)</f>
      </c>
      <c r="BN137" s="72">
        <f>IF(B137="","",IF(Q137=0,0,BM137/Q137))</f>
      </c>
      <c r="BO137" s="73">
        <f>IF(B137="","",IF(J137=0,0,BM137/J137))</f>
      </c>
      <c r="BP137" s="60">
        <f>IF(B137="","",IFERROR(MATCH(D137,COSTOS_FIJOS!$G$5:$AD$5,0),0))</f>
      </c>
      <c r="BQ137" s="60">
        <f>IF(B137="","",COUNTIFS($D$6:$D$305,D137))</f>
      </c>
      <c r="BR137" s="67">
        <f>IF(B137="","",SUMIFS($J$6:$J$305,$D$6:$D$305,D137))</f>
      </c>
      <c r="BS137" s="72">
        <f>IF(B137="","",IF(Metodo_Prorrateo="KG",IF(BR137=0,0,J137/BR137),1/BQ137))</f>
      </c>
      <c r="BT137" s="37">
        <f>IF(B137="","",IF(BP137=0,0,INDEX(COSTOS_FIJOS!$G$38:$AD$38,BP137))*BS137)</f>
      </c>
      <c r="BU137" s="72">
        <f>IF(B137="","",IF(Metodo_Prorrateo="KG",IF(SUMIFS($G$6:$G$305,$D$6:$D$305,D137)=0,0,G137/SUMIFS($G$6:$G$305,$D$6:$D$305,D137)),IF(G137&gt;0,1/COUNTIFS($D$6:$D$305,D137,$G$6:$G$305,"&gt;0"),0)))</f>
      </c>
      <c r="BV137" s="37">
        <f>IF(B137="","",IF(BP137=0,0,INDEX(COSTOS_FIJOS!$G$39:$AD$39,BP137))*BU137)</f>
      </c>
      <c r="BW137" s="72">
        <f>IF(B137="","",IF(Metodo_Prorrateo="KG",IF(SUMIFS($H$6:$H$305,$D$6:$D$305,D137)=0,0,H137/SUMIFS($H$6:$H$305,$D$6:$D$305,D137)),IF(H137&gt;0,1/COUNTIFS($D$6:$D$305,D137,$H$6:$H$305,"&gt;0"),0)))</f>
      </c>
      <c r="BX137" s="37">
        <f>IF(B137="","",IF(BP137=0,0,INDEX(COSTOS_FIJOS!$G$40:$AD$40,BP137))*BW137)</f>
      </c>
      <c r="BY137" s="72">
        <f>IF(B137="","",IF(Metodo_Prorrateo="KG",IF(SUMIFS($I$6:$I$305,$D$6:$D$305,D137)=0,0,I137/SUMIFS($I$6:$I$305,$D$6:$D$305,D137)),IF(I137&gt;0,1/COUNTIFS($D$6:$D$305,D137,$I$6:$I$305,"&gt;0"),0)))</f>
      </c>
      <c r="BZ137" s="37">
        <f>IF(B137="","",IF(BP137=0,0,INDEX(COSTOS_FIJOS!$G$41:$AD$41,BP137))*BY137)</f>
      </c>
      <c r="CA137" s="70">
        <f>IF(B137="","",BT137+BV137+BX137+BZ137)</f>
      </c>
      <c r="CB137" s="37">
        <f>IF(B137="","",Q137*Imp_Ventas_Serv)</f>
      </c>
      <c r="CC137" s="37">
        <f>IF(B137="","",Q137*Contrib_Territorial)</f>
      </c>
      <c r="CD137" s="70">
        <f>IF(B137="","",BM137-CA137-CB137-CC137)</f>
      </c>
      <c r="CE137" s="37">
        <f>IF(B137="","",MAX(0,CD137)*Imp_Utilidades)</f>
      </c>
      <c r="CF137" s="70">
        <f>IF(B137="","",CD137-CE137)</f>
      </c>
      <c r="CG137" s="72">
        <f>IF(B137="","",IF(Q137=0,0,CF137/Q137))</f>
      </c>
      <c r="CH137" s="73">
        <f>IF(B137="","",IF(J137=0,0,(BL137+CA137+CB137+CC137)/J137))</f>
      </c>
      <c r="CI137" s="73">
        <f>IF(B137="","",IF(J137=0,0,Q137/J137))</f>
      </c>
      <c r="CJ137" s="73">
        <f>IF(B137="","",IF(J137=0,0,CD137/J137))</f>
      </c>
      <c r="CK137" s="37">
        <f>IF(B137="","",Y137+AE137+BK137+BT137)</f>
      </c>
      <c r="CL137" s="37">
        <f>IF(B137="","",IF(J137=0,0,(M137+P137*G137/J137)*(1-Pct_Reclamaciones-Pct_Banco-Imp_Ventas_Serv-Contrib_Territorial)-AI137-BE137-BV137-CK137*G137/J137))</f>
      </c>
      <c r="CM137" s="37">
        <f>IF(B137="","",IF(J137=0,0,(N137+P137*H137/J137)*(1-Pct_Reclamaciones-Pct_Banco-Imp_Ventas_Serv-Contrib_Territorial)-AS137-BF137-BX137-CK137*H137/J137))</f>
      </c>
      <c r="CN137" s="37">
        <f>IF(B137="","",IF(J137=0,0,(O137+P137*I137/J137)*(1-Pct_Reclamaciones-Pct_Banco-Imp_Ventas_Serv-Contrib_Territorial)-BC137-BG137-BZ137-CK137*I137/J137))</f>
      </c>
      <c r="CO137" s="37">
        <f>IF(B137="","",IF(J137=0,0,ROUND(CD137-CL137-CM137-CN137,4)))</f>
      </c>
      <c r="CP137" s="71">
        <f>IF(B137="","",T137+AG137+AK137+AM137+AU137+AW137)</f>
      </c>
      <c r="CQ137" s="71">
        <f>IF(B137="","",U137+AH137+AL137+AN137+AV137+AX137)</f>
      </c>
      <c r="CR137" s="72">
        <f>IF(B137="","",IF(CP137=0,0,CQ137/CP137-1))</f>
      </c>
      <c r="CS137" s="60">
        <f>IF(B137="","",IF(ENTRADA!$Y137="","",ENTRADA!$Y137-C137))</f>
      </c>
      <c r="CT137" s="66">
        <f>IF(B137="","",IF(ENTRADA!$C137="","Falta fecha. ","")&amp;IF(BP137=0,"Mes fuera del rango de COSTOS_FIJOS. ","")&amp;IF(J137=0,"Sin kg. ","")&amp;IF(E137="","Falta transitaria. ","")&amp;IF(AND(T137&gt;0,U137/T137-1&gt;Tolerancia_Comb),"Combustible al puerto "&amp;TEXT(U137/T137-1,"+0%")&amp;" sobre norma. ","")&amp;IF(AND(AG137&gt;0,AH137/AG137-1&gt;Tolerancia_Comb),"Combustible distribución Occidente "&amp;TEXT(AH137/AG137-1,"+0%")&amp;" sobre norma. ","")&amp;IF(AND(AK137&gt;0,AL137/AK137-1&gt;Tolerancia_Comb),"Combustible traslado Centro "&amp;TEXT(AL137/AK137-1,"+0%")&amp;" sobre norma. ","")&amp;IF(AND(AM137&gt;0,AN137/AM137-1&gt;Tolerancia_Comb),"Combustible distribución Centro "&amp;TEXT(AN137/AM137-1,"+0%")&amp;" sobre norma. ","")&amp;IF(AND(AU137&gt;0,AV137/AU137-1&gt;Tolerancia_Comb),"Combustible traslado Oriente "&amp;TEXT(AV137/AU137-1,"+0%")&amp;" sobre norma. ","")&amp;IF(AND(AW137&gt;0,AX137/AW137-1&gt;Tolerancia_Comb),"Combustible distribución Oriente "&amp;TEXT(AX137/AW137-1,"+0%")&amp;" sobre norma. ","")&amp;IF(AND(ENTRADA!$C137&lt;&gt;"",C137&lt;PRECIOS!$A$6),"Fecha anterior a la 1ª vigencia de precios. ","")&amp;IF(CD137&lt;0,"Contenedor con pérdida. ",""))</f>
      </c>
    </row>
    <row r="138">
      <c r="A138" s="60">
        <f>IF(B138="","",ROW()-5)</f>
      </c>
      <c r="B138" s="63">
        <f>IF(ENTRADA!$B138="","",ENTRADA!$B138)</f>
      </c>
      <c r="C138" s="64">
        <f>IF(B138="","",ENTRADA!$C138)</f>
      </c>
      <c r="D138" s="65">
        <f>IF(B138="","",DATE(YEAR(C138),MONTH(C138),1))</f>
      </c>
      <c r="E138" s="66">
        <f>IF(B138="","",ENTRADA!$D138&amp;"")</f>
      </c>
      <c r="F138" s="66">
        <f>IF(B138="","",ENTRADA!$Z138&amp;"")</f>
      </c>
      <c r="G138" s="67">
        <f>IF(B138="","",N(ENTRADA!$G138))</f>
      </c>
      <c r="H138" s="67">
        <f>IF(B138="","",N(ENTRADA!$H138))</f>
      </c>
      <c r="I138" s="67">
        <f>IF(B138="","",N(ENTRADA!$I138))</f>
      </c>
      <c r="J138" s="68">
        <f>IF(B138="","",G138+H138+I138)</f>
      </c>
      <c r="K138" s="60">
        <f>IF(B138="","",IFERROR(MATCH(SUMPRODUCT(MAX((PRECIOS!$A$6:$A$55&lt;=C138)*PRECIOS!$A$6:$A$55)),PRECIOS!$A$6:$A$55,0),1))</f>
      </c>
      <c r="L138" s="69">
        <f>IF(B138="","",INDEX(PRECIOS!$A$6:$A$55,K138))</f>
      </c>
      <c r="M138" s="37">
        <f>IF(B138="","",G138*INDEX(PRECIOS!$B$6:$B$55,K138))</f>
      </c>
      <c r="N138" s="37">
        <f>IF(B138="","",H138*INDEX(PRECIOS!$C$6:$C$55,K138))</f>
      </c>
      <c r="O138" s="37">
        <f>IF(B138="","",I138*INDEX(PRECIOS!$D$6:$D$55,K138))</f>
      </c>
      <c r="P138" s="37">
        <f>IF(B138="","",N(ENTRADA!$X138))</f>
      </c>
      <c r="Q138" s="70">
        <f>IF(B138="","",M138+N138+O138+P138)</f>
      </c>
      <c r="R138" s="71">
        <f>IF(B138="","",IF(ENTRADA!$J138="",Std_Viajes_Puerto,ENTRADA!$J138))</f>
      </c>
      <c r="S138" s="37">
        <f>IF(B138="","",R138*INDEX(PRECIOS!$F$6:$F$55,K138))</f>
      </c>
      <c r="T138" s="71">
        <f>IF(B138="","",R138*Litros_Puerto_Viaje)</f>
      </c>
      <c r="U138" s="71">
        <f>IF(B138="","",IF(ENTRADA!$K138="",T138,ENTRADA!$K138))</f>
      </c>
      <c r="V138" s="37">
        <f>IF(B138="","",U138*INDEX(PRECIOS!$E$6:$E$55,K138))</f>
      </c>
      <c r="W138" s="37">
        <f>IF(B138="","",IF(ENTRADA!$L138="",R138*INDEX(PRECIOS!$G$6:$G$55,K138),ENTRADA!$L138))</f>
      </c>
      <c r="X138" s="37">
        <f>IF(B138="","",R138*Km_Puerto_Viaje*INDEX(PRECIOS!$N$6:$N$55,K138))</f>
      </c>
      <c r="Y138" s="70">
        <f>IF(B138="","",S138+V138+W138+X138)</f>
      </c>
      <c r="Z138" s="71">
        <f>IF(B138="","",IF(J138=0,0,ROUNDUP(J138/Rend_Desagrupe,0)))</f>
      </c>
      <c r="AA138" s="71">
        <f>IF(B138="","",IF(ENTRADA!$M138="",Z138,ENTRADA!$M138))</f>
      </c>
      <c r="AB138" s="37">
        <f>IF(B138="","",AA138*INDEX(PRECIOS!$H$6:$H$55,K138))</f>
      </c>
      <c r="AC138" s="37">
        <f>IF(B138="","",IF(E138="ENCI",INDEX(PRECIOS!$J$6:$J$55,K138),IF(E138="A.V",INDEX(PRECIOS!$K$6:$K$55,K138),0)))</f>
      </c>
      <c r="AD138" s="37">
        <f>IF(B138="","",N(ENTRADA!$N138))</f>
      </c>
      <c r="AE138" s="70">
        <f>IF(B138="","",AB138+AC138+AD138)</f>
      </c>
      <c r="AF138" s="71">
        <f>IF(B138="","",IF(G138=0,0,ROUNDUP(G138/Cap_Camion_OCC,0)))</f>
      </c>
      <c r="AG138" s="71">
        <f>IF(B138="","",AF138*L_Dist_OCC)</f>
      </c>
      <c r="AH138" s="71">
        <f>IF(B138="","",IF(ENTRADA!$O138="",AG138,ENTRADA!$O138))</f>
      </c>
      <c r="AI138" s="37">
        <f>IF(B138="","",AH138*INDEX(PRECIOS!$E$6:$E$55,K138))</f>
      </c>
      <c r="AJ138" s="71">
        <f>IF(B138="","",IF(H138=0,0,ROUNDUP(H138/Cap_Camion_CEN,0)))</f>
      </c>
      <c r="AK138" s="71">
        <f>IF(B138="","",AJ138*L_Tras_CEN)</f>
      </c>
      <c r="AL138" s="71">
        <f>IF(B138="","",IF(ENTRADA!$P138="",AK138,ENTRADA!$P138))</f>
      </c>
      <c r="AM138" s="71">
        <f>IF(B138="","",AJ138*L_Dist_CEN)</f>
      </c>
      <c r="AN138" s="71">
        <f>IF(B138="","",IF(ENTRADA!$Q138="",AM138,ENTRADA!$Q138))</f>
      </c>
      <c r="AO138" s="37">
        <f>IF(B138="","",(AL138+AN138)*INDEX(PRECIOS!$E$6:$E$55,K138))</f>
      </c>
      <c r="AP138" s="71">
        <f>IF(B138="","",IF(H138=0,0,ROUNDUP(H138/Rend_Desagrupe_CT,0)))</f>
      </c>
      <c r="AQ138" s="71">
        <f>IF(B138="","",IF(ENTRADA!$R138="",AP138,ENTRADA!$R138))</f>
      </c>
      <c r="AR138" s="37">
        <f>IF(B138="","",AQ138*INDEX(PRECIOS!$I$6:$I$55,K138))</f>
      </c>
      <c r="AS138" s="37">
        <f>IF(B138="","",AO138+AR138)</f>
      </c>
      <c r="AT138" s="71">
        <f>IF(B138="","",IF(I138=0,0,ROUNDUP(I138/Cap_Camion_ORI,0)))</f>
      </c>
      <c r="AU138" s="71">
        <f>IF(B138="","",AT138*L_Tras_ORI)</f>
      </c>
      <c r="AV138" s="71">
        <f>IF(B138="","",IF(ENTRADA!$S138="",AU138,ENTRADA!$S138))</f>
      </c>
      <c r="AW138" s="71">
        <f>IF(B138="","",AT138*L_Dist_ORI)</f>
      </c>
      <c r="AX138" s="71">
        <f>IF(B138="","",IF(ENTRADA!$T138="",AW138,ENTRADA!$T138))</f>
      </c>
      <c r="AY138" s="37">
        <f>IF(B138="","",(AV138+AX138)*INDEX(PRECIOS!$E$6:$E$55,K138))</f>
      </c>
      <c r="AZ138" s="71">
        <f>IF(B138="","",IF(I138=0,0,ROUNDUP(I138/Rend_Desagrupe_CT,0)))</f>
      </c>
      <c r="BA138" s="71">
        <f>IF(B138="","",IF(ENTRADA!$U138="",AZ138,ENTRADA!$U138))</f>
      </c>
      <c r="BB138" s="37">
        <f>IF(B138="","",BA138*INDEX(PRECIOS!$I$6:$I$55,K138))</f>
      </c>
      <c r="BC138" s="37">
        <f>IF(B138="","",AY138+BB138)</f>
      </c>
      <c r="BD138" s="70">
        <f>IF(B138="","",AI138+AS138+BC138)</f>
      </c>
      <c r="BE138" s="37">
        <f>IF(B138="","",IF(Base_Comision="% DEL INGRESO",M138*INDEX(PRECIOS!$L$6:$L$55,K138),G138*INDEX(PRECIOS!$M$6:$M$55,K138)))</f>
      </c>
      <c r="BF138" s="37">
        <f>IF(B138="","",IF(Base_Comision="% DEL INGRESO",N138*INDEX(PRECIOS!$L$6:$L$55,K138),H138*INDEX(PRECIOS!$M$6:$M$55,K138)))</f>
      </c>
      <c r="BG138" s="37">
        <f>IF(B138="","",IF(Base_Comision="% DEL INGRESO",O138*INDEX(PRECIOS!$L$6:$L$55,K138),I138*INDEX(PRECIOS!$M$6:$M$55,K138)))</f>
      </c>
      <c r="BH138" s="70">
        <f>IF(B138="","",BE138+BF138+BG138)</f>
      </c>
      <c r="BI138" s="37">
        <f>IF(B138="","",Q138*Pct_Reclamaciones)</f>
      </c>
      <c r="BJ138" s="37">
        <f>IF(B138="","",Q138*Pct_Banco)</f>
      </c>
      <c r="BK138" s="37">
        <f>IF(B138="","",N(ENTRADA!$V138))</f>
      </c>
      <c r="BL138" s="70">
        <f>IF(B138="","",Y138+AE138+BD138+BH138+BI138+BJ138+BK138)</f>
      </c>
      <c r="BM138" s="70">
        <f>IF(B138="","",Q138-BL138)</f>
      </c>
      <c r="BN138" s="72">
        <f>IF(B138="","",IF(Q138=0,0,BM138/Q138))</f>
      </c>
      <c r="BO138" s="73">
        <f>IF(B138="","",IF(J138=0,0,BM138/J138))</f>
      </c>
      <c r="BP138" s="60">
        <f>IF(B138="","",IFERROR(MATCH(D138,COSTOS_FIJOS!$G$5:$AD$5,0),0))</f>
      </c>
      <c r="BQ138" s="60">
        <f>IF(B138="","",COUNTIFS($D$6:$D$305,D138))</f>
      </c>
      <c r="BR138" s="67">
        <f>IF(B138="","",SUMIFS($J$6:$J$305,$D$6:$D$305,D138))</f>
      </c>
      <c r="BS138" s="72">
        <f>IF(B138="","",IF(Metodo_Prorrateo="KG",IF(BR138=0,0,J138/BR138),1/BQ138))</f>
      </c>
      <c r="BT138" s="37">
        <f>IF(B138="","",IF(BP138=0,0,INDEX(COSTOS_FIJOS!$G$38:$AD$38,BP138))*BS138)</f>
      </c>
      <c r="BU138" s="72">
        <f>IF(B138="","",IF(Metodo_Prorrateo="KG",IF(SUMIFS($G$6:$G$305,$D$6:$D$305,D138)=0,0,G138/SUMIFS($G$6:$G$305,$D$6:$D$305,D138)),IF(G138&gt;0,1/COUNTIFS($D$6:$D$305,D138,$G$6:$G$305,"&gt;0"),0)))</f>
      </c>
      <c r="BV138" s="37">
        <f>IF(B138="","",IF(BP138=0,0,INDEX(COSTOS_FIJOS!$G$39:$AD$39,BP138))*BU138)</f>
      </c>
      <c r="BW138" s="72">
        <f>IF(B138="","",IF(Metodo_Prorrateo="KG",IF(SUMIFS($H$6:$H$305,$D$6:$D$305,D138)=0,0,H138/SUMIFS($H$6:$H$305,$D$6:$D$305,D138)),IF(H138&gt;0,1/COUNTIFS($D$6:$D$305,D138,$H$6:$H$305,"&gt;0"),0)))</f>
      </c>
      <c r="BX138" s="37">
        <f>IF(B138="","",IF(BP138=0,0,INDEX(COSTOS_FIJOS!$G$40:$AD$40,BP138))*BW138)</f>
      </c>
      <c r="BY138" s="72">
        <f>IF(B138="","",IF(Metodo_Prorrateo="KG",IF(SUMIFS($I$6:$I$305,$D$6:$D$305,D138)=0,0,I138/SUMIFS($I$6:$I$305,$D$6:$D$305,D138)),IF(I138&gt;0,1/COUNTIFS($D$6:$D$305,D138,$I$6:$I$305,"&gt;0"),0)))</f>
      </c>
      <c r="BZ138" s="37">
        <f>IF(B138="","",IF(BP138=0,0,INDEX(COSTOS_FIJOS!$G$41:$AD$41,BP138))*BY138)</f>
      </c>
      <c r="CA138" s="70">
        <f>IF(B138="","",BT138+BV138+BX138+BZ138)</f>
      </c>
      <c r="CB138" s="37">
        <f>IF(B138="","",Q138*Imp_Ventas_Serv)</f>
      </c>
      <c r="CC138" s="37">
        <f>IF(B138="","",Q138*Contrib_Territorial)</f>
      </c>
      <c r="CD138" s="70">
        <f>IF(B138="","",BM138-CA138-CB138-CC138)</f>
      </c>
      <c r="CE138" s="37">
        <f>IF(B138="","",MAX(0,CD138)*Imp_Utilidades)</f>
      </c>
      <c r="CF138" s="70">
        <f>IF(B138="","",CD138-CE138)</f>
      </c>
      <c r="CG138" s="72">
        <f>IF(B138="","",IF(Q138=0,0,CF138/Q138))</f>
      </c>
      <c r="CH138" s="73">
        <f>IF(B138="","",IF(J138=0,0,(BL138+CA138+CB138+CC138)/J138))</f>
      </c>
      <c r="CI138" s="73">
        <f>IF(B138="","",IF(J138=0,0,Q138/J138))</f>
      </c>
      <c r="CJ138" s="73">
        <f>IF(B138="","",IF(J138=0,0,CD138/J138))</f>
      </c>
      <c r="CK138" s="37">
        <f>IF(B138="","",Y138+AE138+BK138+BT138)</f>
      </c>
      <c r="CL138" s="37">
        <f>IF(B138="","",IF(J138=0,0,(M138+P138*G138/J138)*(1-Pct_Reclamaciones-Pct_Banco-Imp_Ventas_Serv-Contrib_Territorial)-AI138-BE138-BV138-CK138*G138/J138))</f>
      </c>
      <c r="CM138" s="37">
        <f>IF(B138="","",IF(J138=0,0,(N138+P138*H138/J138)*(1-Pct_Reclamaciones-Pct_Banco-Imp_Ventas_Serv-Contrib_Territorial)-AS138-BF138-BX138-CK138*H138/J138))</f>
      </c>
      <c r="CN138" s="37">
        <f>IF(B138="","",IF(J138=0,0,(O138+P138*I138/J138)*(1-Pct_Reclamaciones-Pct_Banco-Imp_Ventas_Serv-Contrib_Territorial)-BC138-BG138-BZ138-CK138*I138/J138))</f>
      </c>
      <c r="CO138" s="37">
        <f>IF(B138="","",IF(J138=0,0,ROUND(CD138-CL138-CM138-CN138,4)))</f>
      </c>
      <c r="CP138" s="71">
        <f>IF(B138="","",T138+AG138+AK138+AM138+AU138+AW138)</f>
      </c>
      <c r="CQ138" s="71">
        <f>IF(B138="","",U138+AH138+AL138+AN138+AV138+AX138)</f>
      </c>
      <c r="CR138" s="72">
        <f>IF(B138="","",IF(CP138=0,0,CQ138/CP138-1))</f>
      </c>
      <c r="CS138" s="60">
        <f>IF(B138="","",IF(ENTRADA!$Y138="","",ENTRADA!$Y138-C138))</f>
      </c>
      <c r="CT138" s="66">
        <f>IF(B138="","",IF(ENTRADA!$C138="","Falta fecha. ","")&amp;IF(BP138=0,"Mes fuera del rango de COSTOS_FIJOS. ","")&amp;IF(J138=0,"Sin kg. ","")&amp;IF(E138="","Falta transitaria. ","")&amp;IF(AND(T138&gt;0,U138/T138-1&gt;Tolerancia_Comb),"Combustible al puerto "&amp;TEXT(U138/T138-1,"+0%")&amp;" sobre norma. ","")&amp;IF(AND(AG138&gt;0,AH138/AG138-1&gt;Tolerancia_Comb),"Combustible distribución Occidente "&amp;TEXT(AH138/AG138-1,"+0%")&amp;" sobre norma. ","")&amp;IF(AND(AK138&gt;0,AL138/AK138-1&gt;Tolerancia_Comb),"Combustible traslado Centro "&amp;TEXT(AL138/AK138-1,"+0%")&amp;" sobre norma. ","")&amp;IF(AND(AM138&gt;0,AN138/AM138-1&gt;Tolerancia_Comb),"Combustible distribución Centro "&amp;TEXT(AN138/AM138-1,"+0%")&amp;" sobre norma. ","")&amp;IF(AND(AU138&gt;0,AV138/AU138-1&gt;Tolerancia_Comb),"Combustible traslado Oriente "&amp;TEXT(AV138/AU138-1,"+0%")&amp;" sobre norma. ","")&amp;IF(AND(AW138&gt;0,AX138/AW138-1&gt;Tolerancia_Comb),"Combustible distribución Oriente "&amp;TEXT(AX138/AW138-1,"+0%")&amp;" sobre norma. ","")&amp;IF(AND(ENTRADA!$C138&lt;&gt;"",C138&lt;PRECIOS!$A$6),"Fecha anterior a la 1ª vigencia de precios. ","")&amp;IF(CD138&lt;0,"Contenedor con pérdida. ",""))</f>
      </c>
    </row>
    <row r="139">
      <c r="A139" s="60">
        <f>IF(B139="","",ROW()-5)</f>
      </c>
      <c r="B139" s="63">
        <f>IF(ENTRADA!$B139="","",ENTRADA!$B139)</f>
      </c>
      <c r="C139" s="64">
        <f>IF(B139="","",ENTRADA!$C139)</f>
      </c>
      <c r="D139" s="65">
        <f>IF(B139="","",DATE(YEAR(C139),MONTH(C139),1))</f>
      </c>
      <c r="E139" s="66">
        <f>IF(B139="","",ENTRADA!$D139&amp;"")</f>
      </c>
      <c r="F139" s="66">
        <f>IF(B139="","",ENTRADA!$Z139&amp;"")</f>
      </c>
      <c r="G139" s="67">
        <f>IF(B139="","",N(ENTRADA!$G139))</f>
      </c>
      <c r="H139" s="67">
        <f>IF(B139="","",N(ENTRADA!$H139))</f>
      </c>
      <c r="I139" s="67">
        <f>IF(B139="","",N(ENTRADA!$I139))</f>
      </c>
      <c r="J139" s="68">
        <f>IF(B139="","",G139+H139+I139)</f>
      </c>
      <c r="K139" s="60">
        <f>IF(B139="","",IFERROR(MATCH(SUMPRODUCT(MAX((PRECIOS!$A$6:$A$55&lt;=C139)*PRECIOS!$A$6:$A$55)),PRECIOS!$A$6:$A$55,0),1))</f>
      </c>
      <c r="L139" s="69">
        <f>IF(B139="","",INDEX(PRECIOS!$A$6:$A$55,K139))</f>
      </c>
      <c r="M139" s="37">
        <f>IF(B139="","",G139*INDEX(PRECIOS!$B$6:$B$55,K139))</f>
      </c>
      <c r="N139" s="37">
        <f>IF(B139="","",H139*INDEX(PRECIOS!$C$6:$C$55,K139))</f>
      </c>
      <c r="O139" s="37">
        <f>IF(B139="","",I139*INDEX(PRECIOS!$D$6:$D$55,K139))</f>
      </c>
      <c r="P139" s="37">
        <f>IF(B139="","",N(ENTRADA!$X139))</f>
      </c>
      <c r="Q139" s="70">
        <f>IF(B139="","",M139+N139+O139+P139)</f>
      </c>
      <c r="R139" s="71">
        <f>IF(B139="","",IF(ENTRADA!$J139="",Std_Viajes_Puerto,ENTRADA!$J139))</f>
      </c>
      <c r="S139" s="37">
        <f>IF(B139="","",R139*INDEX(PRECIOS!$F$6:$F$55,K139))</f>
      </c>
      <c r="T139" s="71">
        <f>IF(B139="","",R139*Litros_Puerto_Viaje)</f>
      </c>
      <c r="U139" s="71">
        <f>IF(B139="","",IF(ENTRADA!$K139="",T139,ENTRADA!$K139))</f>
      </c>
      <c r="V139" s="37">
        <f>IF(B139="","",U139*INDEX(PRECIOS!$E$6:$E$55,K139))</f>
      </c>
      <c r="W139" s="37">
        <f>IF(B139="","",IF(ENTRADA!$L139="",R139*INDEX(PRECIOS!$G$6:$G$55,K139),ENTRADA!$L139))</f>
      </c>
      <c r="X139" s="37">
        <f>IF(B139="","",R139*Km_Puerto_Viaje*INDEX(PRECIOS!$N$6:$N$55,K139))</f>
      </c>
      <c r="Y139" s="70">
        <f>IF(B139="","",S139+V139+W139+X139)</f>
      </c>
      <c r="Z139" s="71">
        <f>IF(B139="","",IF(J139=0,0,ROUNDUP(J139/Rend_Desagrupe,0)))</f>
      </c>
      <c r="AA139" s="71">
        <f>IF(B139="","",IF(ENTRADA!$M139="",Z139,ENTRADA!$M139))</f>
      </c>
      <c r="AB139" s="37">
        <f>IF(B139="","",AA139*INDEX(PRECIOS!$H$6:$H$55,K139))</f>
      </c>
      <c r="AC139" s="37">
        <f>IF(B139="","",IF(E139="ENCI",INDEX(PRECIOS!$J$6:$J$55,K139),IF(E139="A.V",INDEX(PRECIOS!$K$6:$K$55,K139),0)))</f>
      </c>
      <c r="AD139" s="37">
        <f>IF(B139="","",N(ENTRADA!$N139))</f>
      </c>
      <c r="AE139" s="70">
        <f>IF(B139="","",AB139+AC139+AD139)</f>
      </c>
      <c r="AF139" s="71">
        <f>IF(B139="","",IF(G139=0,0,ROUNDUP(G139/Cap_Camion_OCC,0)))</f>
      </c>
      <c r="AG139" s="71">
        <f>IF(B139="","",AF139*L_Dist_OCC)</f>
      </c>
      <c r="AH139" s="71">
        <f>IF(B139="","",IF(ENTRADA!$O139="",AG139,ENTRADA!$O139))</f>
      </c>
      <c r="AI139" s="37">
        <f>IF(B139="","",AH139*INDEX(PRECIOS!$E$6:$E$55,K139))</f>
      </c>
      <c r="AJ139" s="71">
        <f>IF(B139="","",IF(H139=0,0,ROUNDUP(H139/Cap_Camion_CEN,0)))</f>
      </c>
      <c r="AK139" s="71">
        <f>IF(B139="","",AJ139*L_Tras_CEN)</f>
      </c>
      <c r="AL139" s="71">
        <f>IF(B139="","",IF(ENTRADA!$P139="",AK139,ENTRADA!$P139))</f>
      </c>
      <c r="AM139" s="71">
        <f>IF(B139="","",AJ139*L_Dist_CEN)</f>
      </c>
      <c r="AN139" s="71">
        <f>IF(B139="","",IF(ENTRADA!$Q139="",AM139,ENTRADA!$Q139))</f>
      </c>
      <c r="AO139" s="37">
        <f>IF(B139="","",(AL139+AN139)*INDEX(PRECIOS!$E$6:$E$55,K139))</f>
      </c>
      <c r="AP139" s="71">
        <f>IF(B139="","",IF(H139=0,0,ROUNDUP(H139/Rend_Desagrupe_CT,0)))</f>
      </c>
      <c r="AQ139" s="71">
        <f>IF(B139="","",IF(ENTRADA!$R139="",AP139,ENTRADA!$R139))</f>
      </c>
      <c r="AR139" s="37">
        <f>IF(B139="","",AQ139*INDEX(PRECIOS!$I$6:$I$55,K139))</f>
      </c>
      <c r="AS139" s="37">
        <f>IF(B139="","",AO139+AR139)</f>
      </c>
      <c r="AT139" s="71">
        <f>IF(B139="","",IF(I139=0,0,ROUNDUP(I139/Cap_Camion_ORI,0)))</f>
      </c>
      <c r="AU139" s="71">
        <f>IF(B139="","",AT139*L_Tras_ORI)</f>
      </c>
      <c r="AV139" s="71">
        <f>IF(B139="","",IF(ENTRADA!$S139="",AU139,ENTRADA!$S139))</f>
      </c>
      <c r="AW139" s="71">
        <f>IF(B139="","",AT139*L_Dist_ORI)</f>
      </c>
      <c r="AX139" s="71">
        <f>IF(B139="","",IF(ENTRADA!$T139="",AW139,ENTRADA!$T139))</f>
      </c>
      <c r="AY139" s="37">
        <f>IF(B139="","",(AV139+AX139)*INDEX(PRECIOS!$E$6:$E$55,K139))</f>
      </c>
      <c r="AZ139" s="71">
        <f>IF(B139="","",IF(I139=0,0,ROUNDUP(I139/Rend_Desagrupe_CT,0)))</f>
      </c>
      <c r="BA139" s="71">
        <f>IF(B139="","",IF(ENTRADA!$U139="",AZ139,ENTRADA!$U139))</f>
      </c>
      <c r="BB139" s="37">
        <f>IF(B139="","",BA139*INDEX(PRECIOS!$I$6:$I$55,K139))</f>
      </c>
      <c r="BC139" s="37">
        <f>IF(B139="","",AY139+BB139)</f>
      </c>
      <c r="BD139" s="70">
        <f>IF(B139="","",AI139+AS139+BC139)</f>
      </c>
      <c r="BE139" s="37">
        <f>IF(B139="","",IF(Base_Comision="% DEL INGRESO",M139*INDEX(PRECIOS!$L$6:$L$55,K139),G139*INDEX(PRECIOS!$M$6:$M$55,K139)))</f>
      </c>
      <c r="BF139" s="37">
        <f>IF(B139="","",IF(Base_Comision="% DEL INGRESO",N139*INDEX(PRECIOS!$L$6:$L$55,K139),H139*INDEX(PRECIOS!$M$6:$M$55,K139)))</f>
      </c>
      <c r="BG139" s="37">
        <f>IF(B139="","",IF(Base_Comision="% DEL INGRESO",O139*INDEX(PRECIOS!$L$6:$L$55,K139),I139*INDEX(PRECIOS!$M$6:$M$55,K139)))</f>
      </c>
      <c r="BH139" s="70">
        <f>IF(B139="","",BE139+BF139+BG139)</f>
      </c>
      <c r="BI139" s="37">
        <f>IF(B139="","",Q139*Pct_Reclamaciones)</f>
      </c>
      <c r="BJ139" s="37">
        <f>IF(B139="","",Q139*Pct_Banco)</f>
      </c>
      <c r="BK139" s="37">
        <f>IF(B139="","",N(ENTRADA!$V139))</f>
      </c>
      <c r="BL139" s="70">
        <f>IF(B139="","",Y139+AE139+BD139+BH139+BI139+BJ139+BK139)</f>
      </c>
      <c r="BM139" s="70">
        <f>IF(B139="","",Q139-BL139)</f>
      </c>
      <c r="BN139" s="72">
        <f>IF(B139="","",IF(Q139=0,0,BM139/Q139))</f>
      </c>
      <c r="BO139" s="73">
        <f>IF(B139="","",IF(J139=0,0,BM139/J139))</f>
      </c>
      <c r="BP139" s="60">
        <f>IF(B139="","",IFERROR(MATCH(D139,COSTOS_FIJOS!$G$5:$AD$5,0),0))</f>
      </c>
      <c r="BQ139" s="60">
        <f>IF(B139="","",COUNTIFS($D$6:$D$305,D139))</f>
      </c>
      <c r="BR139" s="67">
        <f>IF(B139="","",SUMIFS($J$6:$J$305,$D$6:$D$305,D139))</f>
      </c>
      <c r="BS139" s="72">
        <f>IF(B139="","",IF(Metodo_Prorrateo="KG",IF(BR139=0,0,J139/BR139),1/BQ139))</f>
      </c>
      <c r="BT139" s="37">
        <f>IF(B139="","",IF(BP139=0,0,INDEX(COSTOS_FIJOS!$G$38:$AD$38,BP139))*BS139)</f>
      </c>
      <c r="BU139" s="72">
        <f>IF(B139="","",IF(Metodo_Prorrateo="KG",IF(SUMIFS($G$6:$G$305,$D$6:$D$305,D139)=0,0,G139/SUMIFS($G$6:$G$305,$D$6:$D$305,D139)),IF(G139&gt;0,1/COUNTIFS($D$6:$D$305,D139,$G$6:$G$305,"&gt;0"),0)))</f>
      </c>
      <c r="BV139" s="37">
        <f>IF(B139="","",IF(BP139=0,0,INDEX(COSTOS_FIJOS!$G$39:$AD$39,BP139))*BU139)</f>
      </c>
      <c r="BW139" s="72">
        <f>IF(B139="","",IF(Metodo_Prorrateo="KG",IF(SUMIFS($H$6:$H$305,$D$6:$D$305,D139)=0,0,H139/SUMIFS($H$6:$H$305,$D$6:$D$305,D139)),IF(H139&gt;0,1/COUNTIFS($D$6:$D$305,D139,$H$6:$H$305,"&gt;0"),0)))</f>
      </c>
      <c r="BX139" s="37">
        <f>IF(B139="","",IF(BP139=0,0,INDEX(COSTOS_FIJOS!$G$40:$AD$40,BP139))*BW139)</f>
      </c>
      <c r="BY139" s="72">
        <f>IF(B139="","",IF(Metodo_Prorrateo="KG",IF(SUMIFS($I$6:$I$305,$D$6:$D$305,D139)=0,0,I139/SUMIFS($I$6:$I$305,$D$6:$D$305,D139)),IF(I139&gt;0,1/COUNTIFS($D$6:$D$305,D139,$I$6:$I$305,"&gt;0"),0)))</f>
      </c>
      <c r="BZ139" s="37">
        <f>IF(B139="","",IF(BP139=0,0,INDEX(COSTOS_FIJOS!$G$41:$AD$41,BP139))*BY139)</f>
      </c>
      <c r="CA139" s="70">
        <f>IF(B139="","",BT139+BV139+BX139+BZ139)</f>
      </c>
      <c r="CB139" s="37">
        <f>IF(B139="","",Q139*Imp_Ventas_Serv)</f>
      </c>
      <c r="CC139" s="37">
        <f>IF(B139="","",Q139*Contrib_Territorial)</f>
      </c>
      <c r="CD139" s="70">
        <f>IF(B139="","",BM139-CA139-CB139-CC139)</f>
      </c>
      <c r="CE139" s="37">
        <f>IF(B139="","",MAX(0,CD139)*Imp_Utilidades)</f>
      </c>
      <c r="CF139" s="70">
        <f>IF(B139="","",CD139-CE139)</f>
      </c>
      <c r="CG139" s="72">
        <f>IF(B139="","",IF(Q139=0,0,CF139/Q139))</f>
      </c>
      <c r="CH139" s="73">
        <f>IF(B139="","",IF(J139=0,0,(BL139+CA139+CB139+CC139)/J139))</f>
      </c>
      <c r="CI139" s="73">
        <f>IF(B139="","",IF(J139=0,0,Q139/J139))</f>
      </c>
      <c r="CJ139" s="73">
        <f>IF(B139="","",IF(J139=0,0,CD139/J139))</f>
      </c>
      <c r="CK139" s="37">
        <f>IF(B139="","",Y139+AE139+BK139+BT139)</f>
      </c>
      <c r="CL139" s="37">
        <f>IF(B139="","",IF(J139=0,0,(M139+P139*G139/J139)*(1-Pct_Reclamaciones-Pct_Banco-Imp_Ventas_Serv-Contrib_Territorial)-AI139-BE139-BV139-CK139*G139/J139))</f>
      </c>
      <c r="CM139" s="37">
        <f>IF(B139="","",IF(J139=0,0,(N139+P139*H139/J139)*(1-Pct_Reclamaciones-Pct_Banco-Imp_Ventas_Serv-Contrib_Territorial)-AS139-BF139-BX139-CK139*H139/J139))</f>
      </c>
      <c r="CN139" s="37">
        <f>IF(B139="","",IF(J139=0,0,(O139+P139*I139/J139)*(1-Pct_Reclamaciones-Pct_Banco-Imp_Ventas_Serv-Contrib_Territorial)-BC139-BG139-BZ139-CK139*I139/J139))</f>
      </c>
      <c r="CO139" s="37">
        <f>IF(B139="","",IF(J139=0,0,ROUND(CD139-CL139-CM139-CN139,4)))</f>
      </c>
      <c r="CP139" s="71">
        <f>IF(B139="","",T139+AG139+AK139+AM139+AU139+AW139)</f>
      </c>
      <c r="CQ139" s="71">
        <f>IF(B139="","",U139+AH139+AL139+AN139+AV139+AX139)</f>
      </c>
      <c r="CR139" s="72">
        <f>IF(B139="","",IF(CP139=0,0,CQ139/CP139-1))</f>
      </c>
      <c r="CS139" s="60">
        <f>IF(B139="","",IF(ENTRADA!$Y139="","",ENTRADA!$Y139-C139))</f>
      </c>
      <c r="CT139" s="66">
        <f>IF(B139="","",IF(ENTRADA!$C139="","Falta fecha. ","")&amp;IF(BP139=0,"Mes fuera del rango de COSTOS_FIJOS. ","")&amp;IF(J139=0,"Sin kg. ","")&amp;IF(E139="","Falta transitaria. ","")&amp;IF(AND(T139&gt;0,U139/T139-1&gt;Tolerancia_Comb),"Combustible al puerto "&amp;TEXT(U139/T139-1,"+0%")&amp;" sobre norma. ","")&amp;IF(AND(AG139&gt;0,AH139/AG139-1&gt;Tolerancia_Comb),"Combustible distribución Occidente "&amp;TEXT(AH139/AG139-1,"+0%")&amp;" sobre norma. ","")&amp;IF(AND(AK139&gt;0,AL139/AK139-1&gt;Tolerancia_Comb),"Combustible traslado Centro "&amp;TEXT(AL139/AK139-1,"+0%")&amp;" sobre norma. ","")&amp;IF(AND(AM139&gt;0,AN139/AM139-1&gt;Tolerancia_Comb),"Combustible distribución Centro "&amp;TEXT(AN139/AM139-1,"+0%")&amp;" sobre norma. ","")&amp;IF(AND(AU139&gt;0,AV139/AU139-1&gt;Tolerancia_Comb),"Combustible traslado Oriente "&amp;TEXT(AV139/AU139-1,"+0%")&amp;" sobre norma. ","")&amp;IF(AND(AW139&gt;0,AX139/AW139-1&gt;Tolerancia_Comb),"Combustible distribución Oriente "&amp;TEXT(AX139/AW139-1,"+0%")&amp;" sobre norma. ","")&amp;IF(AND(ENTRADA!$C139&lt;&gt;"",C139&lt;PRECIOS!$A$6),"Fecha anterior a la 1ª vigencia de precios. ","")&amp;IF(CD139&lt;0,"Contenedor con pérdida. ",""))</f>
      </c>
    </row>
    <row r="140">
      <c r="A140" s="60">
        <f>IF(B140="","",ROW()-5)</f>
      </c>
      <c r="B140" s="63">
        <f>IF(ENTRADA!$B140="","",ENTRADA!$B140)</f>
      </c>
      <c r="C140" s="64">
        <f>IF(B140="","",ENTRADA!$C140)</f>
      </c>
      <c r="D140" s="65">
        <f>IF(B140="","",DATE(YEAR(C140),MONTH(C140),1))</f>
      </c>
      <c r="E140" s="66">
        <f>IF(B140="","",ENTRADA!$D140&amp;"")</f>
      </c>
      <c r="F140" s="66">
        <f>IF(B140="","",ENTRADA!$Z140&amp;"")</f>
      </c>
      <c r="G140" s="67">
        <f>IF(B140="","",N(ENTRADA!$G140))</f>
      </c>
      <c r="H140" s="67">
        <f>IF(B140="","",N(ENTRADA!$H140))</f>
      </c>
      <c r="I140" s="67">
        <f>IF(B140="","",N(ENTRADA!$I140))</f>
      </c>
      <c r="J140" s="68">
        <f>IF(B140="","",G140+H140+I140)</f>
      </c>
      <c r="K140" s="60">
        <f>IF(B140="","",IFERROR(MATCH(SUMPRODUCT(MAX((PRECIOS!$A$6:$A$55&lt;=C140)*PRECIOS!$A$6:$A$55)),PRECIOS!$A$6:$A$55,0),1))</f>
      </c>
      <c r="L140" s="69">
        <f>IF(B140="","",INDEX(PRECIOS!$A$6:$A$55,K140))</f>
      </c>
      <c r="M140" s="37">
        <f>IF(B140="","",G140*INDEX(PRECIOS!$B$6:$B$55,K140))</f>
      </c>
      <c r="N140" s="37">
        <f>IF(B140="","",H140*INDEX(PRECIOS!$C$6:$C$55,K140))</f>
      </c>
      <c r="O140" s="37">
        <f>IF(B140="","",I140*INDEX(PRECIOS!$D$6:$D$55,K140))</f>
      </c>
      <c r="P140" s="37">
        <f>IF(B140="","",N(ENTRADA!$X140))</f>
      </c>
      <c r="Q140" s="70">
        <f>IF(B140="","",M140+N140+O140+P140)</f>
      </c>
      <c r="R140" s="71">
        <f>IF(B140="","",IF(ENTRADA!$J140="",Std_Viajes_Puerto,ENTRADA!$J140))</f>
      </c>
      <c r="S140" s="37">
        <f>IF(B140="","",R140*INDEX(PRECIOS!$F$6:$F$55,K140))</f>
      </c>
      <c r="T140" s="71">
        <f>IF(B140="","",R140*Litros_Puerto_Viaje)</f>
      </c>
      <c r="U140" s="71">
        <f>IF(B140="","",IF(ENTRADA!$K140="",T140,ENTRADA!$K140))</f>
      </c>
      <c r="V140" s="37">
        <f>IF(B140="","",U140*INDEX(PRECIOS!$E$6:$E$55,K140))</f>
      </c>
      <c r="W140" s="37">
        <f>IF(B140="","",IF(ENTRADA!$L140="",R140*INDEX(PRECIOS!$G$6:$G$55,K140),ENTRADA!$L140))</f>
      </c>
      <c r="X140" s="37">
        <f>IF(B140="","",R140*Km_Puerto_Viaje*INDEX(PRECIOS!$N$6:$N$55,K140))</f>
      </c>
      <c r="Y140" s="70">
        <f>IF(B140="","",S140+V140+W140+X140)</f>
      </c>
      <c r="Z140" s="71">
        <f>IF(B140="","",IF(J140=0,0,ROUNDUP(J140/Rend_Desagrupe,0)))</f>
      </c>
      <c r="AA140" s="71">
        <f>IF(B140="","",IF(ENTRADA!$M140="",Z140,ENTRADA!$M140))</f>
      </c>
      <c r="AB140" s="37">
        <f>IF(B140="","",AA140*INDEX(PRECIOS!$H$6:$H$55,K140))</f>
      </c>
      <c r="AC140" s="37">
        <f>IF(B140="","",IF(E140="ENCI",INDEX(PRECIOS!$J$6:$J$55,K140),IF(E140="A.V",INDEX(PRECIOS!$K$6:$K$55,K140),0)))</f>
      </c>
      <c r="AD140" s="37">
        <f>IF(B140="","",N(ENTRADA!$N140))</f>
      </c>
      <c r="AE140" s="70">
        <f>IF(B140="","",AB140+AC140+AD140)</f>
      </c>
      <c r="AF140" s="71">
        <f>IF(B140="","",IF(G140=0,0,ROUNDUP(G140/Cap_Camion_OCC,0)))</f>
      </c>
      <c r="AG140" s="71">
        <f>IF(B140="","",AF140*L_Dist_OCC)</f>
      </c>
      <c r="AH140" s="71">
        <f>IF(B140="","",IF(ENTRADA!$O140="",AG140,ENTRADA!$O140))</f>
      </c>
      <c r="AI140" s="37">
        <f>IF(B140="","",AH140*INDEX(PRECIOS!$E$6:$E$55,K140))</f>
      </c>
      <c r="AJ140" s="71">
        <f>IF(B140="","",IF(H140=0,0,ROUNDUP(H140/Cap_Camion_CEN,0)))</f>
      </c>
      <c r="AK140" s="71">
        <f>IF(B140="","",AJ140*L_Tras_CEN)</f>
      </c>
      <c r="AL140" s="71">
        <f>IF(B140="","",IF(ENTRADA!$P140="",AK140,ENTRADA!$P140))</f>
      </c>
      <c r="AM140" s="71">
        <f>IF(B140="","",AJ140*L_Dist_CEN)</f>
      </c>
      <c r="AN140" s="71">
        <f>IF(B140="","",IF(ENTRADA!$Q140="",AM140,ENTRADA!$Q140))</f>
      </c>
      <c r="AO140" s="37">
        <f>IF(B140="","",(AL140+AN140)*INDEX(PRECIOS!$E$6:$E$55,K140))</f>
      </c>
      <c r="AP140" s="71">
        <f>IF(B140="","",IF(H140=0,0,ROUNDUP(H140/Rend_Desagrupe_CT,0)))</f>
      </c>
      <c r="AQ140" s="71">
        <f>IF(B140="","",IF(ENTRADA!$R140="",AP140,ENTRADA!$R140))</f>
      </c>
      <c r="AR140" s="37">
        <f>IF(B140="","",AQ140*INDEX(PRECIOS!$I$6:$I$55,K140))</f>
      </c>
      <c r="AS140" s="37">
        <f>IF(B140="","",AO140+AR140)</f>
      </c>
      <c r="AT140" s="71">
        <f>IF(B140="","",IF(I140=0,0,ROUNDUP(I140/Cap_Camion_ORI,0)))</f>
      </c>
      <c r="AU140" s="71">
        <f>IF(B140="","",AT140*L_Tras_ORI)</f>
      </c>
      <c r="AV140" s="71">
        <f>IF(B140="","",IF(ENTRADA!$S140="",AU140,ENTRADA!$S140))</f>
      </c>
      <c r="AW140" s="71">
        <f>IF(B140="","",AT140*L_Dist_ORI)</f>
      </c>
      <c r="AX140" s="71">
        <f>IF(B140="","",IF(ENTRADA!$T140="",AW140,ENTRADA!$T140))</f>
      </c>
      <c r="AY140" s="37">
        <f>IF(B140="","",(AV140+AX140)*INDEX(PRECIOS!$E$6:$E$55,K140))</f>
      </c>
      <c r="AZ140" s="71">
        <f>IF(B140="","",IF(I140=0,0,ROUNDUP(I140/Rend_Desagrupe_CT,0)))</f>
      </c>
      <c r="BA140" s="71">
        <f>IF(B140="","",IF(ENTRADA!$U140="",AZ140,ENTRADA!$U140))</f>
      </c>
      <c r="BB140" s="37">
        <f>IF(B140="","",BA140*INDEX(PRECIOS!$I$6:$I$55,K140))</f>
      </c>
      <c r="BC140" s="37">
        <f>IF(B140="","",AY140+BB140)</f>
      </c>
      <c r="BD140" s="70">
        <f>IF(B140="","",AI140+AS140+BC140)</f>
      </c>
      <c r="BE140" s="37">
        <f>IF(B140="","",IF(Base_Comision="% DEL INGRESO",M140*INDEX(PRECIOS!$L$6:$L$55,K140),G140*INDEX(PRECIOS!$M$6:$M$55,K140)))</f>
      </c>
      <c r="BF140" s="37">
        <f>IF(B140="","",IF(Base_Comision="% DEL INGRESO",N140*INDEX(PRECIOS!$L$6:$L$55,K140),H140*INDEX(PRECIOS!$M$6:$M$55,K140)))</f>
      </c>
      <c r="BG140" s="37">
        <f>IF(B140="","",IF(Base_Comision="% DEL INGRESO",O140*INDEX(PRECIOS!$L$6:$L$55,K140),I140*INDEX(PRECIOS!$M$6:$M$55,K140)))</f>
      </c>
      <c r="BH140" s="70">
        <f>IF(B140="","",BE140+BF140+BG140)</f>
      </c>
      <c r="BI140" s="37">
        <f>IF(B140="","",Q140*Pct_Reclamaciones)</f>
      </c>
      <c r="BJ140" s="37">
        <f>IF(B140="","",Q140*Pct_Banco)</f>
      </c>
      <c r="BK140" s="37">
        <f>IF(B140="","",N(ENTRADA!$V140))</f>
      </c>
      <c r="BL140" s="70">
        <f>IF(B140="","",Y140+AE140+BD140+BH140+BI140+BJ140+BK140)</f>
      </c>
      <c r="BM140" s="70">
        <f>IF(B140="","",Q140-BL140)</f>
      </c>
      <c r="BN140" s="72">
        <f>IF(B140="","",IF(Q140=0,0,BM140/Q140))</f>
      </c>
      <c r="BO140" s="73">
        <f>IF(B140="","",IF(J140=0,0,BM140/J140))</f>
      </c>
      <c r="BP140" s="60">
        <f>IF(B140="","",IFERROR(MATCH(D140,COSTOS_FIJOS!$G$5:$AD$5,0),0))</f>
      </c>
      <c r="BQ140" s="60">
        <f>IF(B140="","",COUNTIFS($D$6:$D$305,D140))</f>
      </c>
      <c r="BR140" s="67">
        <f>IF(B140="","",SUMIFS($J$6:$J$305,$D$6:$D$305,D140))</f>
      </c>
      <c r="BS140" s="72">
        <f>IF(B140="","",IF(Metodo_Prorrateo="KG",IF(BR140=0,0,J140/BR140),1/BQ140))</f>
      </c>
      <c r="BT140" s="37">
        <f>IF(B140="","",IF(BP140=0,0,INDEX(COSTOS_FIJOS!$G$38:$AD$38,BP140))*BS140)</f>
      </c>
      <c r="BU140" s="72">
        <f>IF(B140="","",IF(Metodo_Prorrateo="KG",IF(SUMIFS($G$6:$G$305,$D$6:$D$305,D140)=0,0,G140/SUMIFS($G$6:$G$305,$D$6:$D$305,D140)),IF(G140&gt;0,1/COUNTIFS($D$6:$D$305,D140,$G$6:$G$305,"&gt;0"),0)))</f>
      </c>
      <c r="BV140" s="37">
        <f>IF(B140="","",IF(BP140=0,0,INDEX(COSTOS_FIJOS!$G$39:$AD$39,BP140))*BU140)</f>
      </c>
      <c r="BW140" s="72">
        <f>IF(B140="","",IF(Metodo_Prorrateo="KG",IF(SUMIFS($H$6:$H$305,$D$6:$D$305,D140)=0,0,H140/SUMIFS($H$6:$H$305,$D$6:$D$305,D140)),IF(H140&gt;0,1/COUNTIFS($D$6:$D$305,D140,$H$6:$H$305,"&gt;0"),0)))</f>
      </c>
      <c r="BX140" s="37">
        <f>IF(B140="","",IF(BP140=0,0,INDEX(COSTOS_FIJOS!$G$40:$AD$40,BP140))*BW140)</f>
      </c>
      <c r="BY140" s="72">
        <f>IF(B140="","",IF(Metodo_Prorrateo="KG",IF(SUMIFS($I$6:$I$305,$D$6:$D$305,D140)=0,0,I140/SUMIFS($I$6:$I$305,$D$6:$D$305,D140)),IF(I140&gt;0,1/COUNTIFS($D$6:$D$305,D140,$I$6:$I$305,"&gt;0"),0)))</f>
      </c>
      <c r="BZ140" s="37">
        <f>IF(B140="","",IF(BP140=0,0,INDEX(COSTOS_FIJOS!$G$41:$AD$41,BP140))*BY140)</f>
      </c>
      <c r="CA140" s="70">
        <f>IF(B140="","",BT140+BV140+BX140+BZ140)</f>
      </c>
      <c r="CB140" s="37">
        <f>IF(B140="","",Q140*Imp_Ventas_Serv)</f>
      </c>
      <c r="CC140" s="37">
        <f>IF(B140="","",Q140*Contrib_Territorial)</f>
      </c>
      <c r="CD140" s="70">
        <f>IF(B140="","",BM140-CA140-CB140-CC140)</f>
      </c>
      <c r="CE140" s="37">
        <f>IF(B140="","",MAX(0,CD140)*Imp_Utilidades)</f>
      </c>
      <c r="CF140" s="70">
        <f>IF(B140="","",CD140-CE140)</f>
      </c>
      <c r="CG140" s="72">
        <f>IF(B140="","",IF(Q140=0,0,CF140/Q140))</f>
      </c>
      <c r="CH140" s="73">
        <f>IF(B140="","",IF(J140=0,0,(BL140+CA140+CB140+CC140)/J140))</f>
      </c>
      <c r="CI140" s="73">
        <f>IF(B140="","",IF(J140=0,0,Q140/J140))</f>
      </c>
      <c r="CJ140" s="73">
        <f>IF(B140="","",IF(J140=0,0,CD140/J140))</f>
      </c>
      <c r="CK140" s="37">
        <f>IF(B140="","",Y140+AE140+BK140+BT140)</f>
      </c>
      <c r="CL140" s="37">
        <f>IF(B140="","",IF(J140=0,0,(M140+P140*G140/J140)*(1-Pct_Reclamaciones-Pct_Banco-Imp_Ventas_Serv-Contrib_Territorial)-AI140-BE140-BV140-CK140*G140/J140))</f>
      </c>
      <c r="CM140" s="37">
        <f>IF(B140="","",IF(J140=0,0,(N140+P140*H140/J140)*(1-Pct_Reclamaciones-Pct_Banco-Imp_Ventas_Serv-Contrib_Territorial)-AS140-BF140-BX140-CK140*H140/J140))</f>
      </c>
      <c r="CN140" s="37">
        <f>IF(B140="","",IF(J140=0,0,(O140+P140*I140/J140)*(1-Pct_Reclamaciones-Pct_Banco-Imp_Ventas_Serv-Contrib_Territorial)-BC140-BG140-BZ140-CK140*I140/J140))</f>
      </c>
      <c r="CO140" s="37">
        <f>IF(B140="","",IF(J140=0,0,ROUND(CD140-CL140-CM140-CN140,4)))</f>
      </c>
      <c r="CP140" s="71">
        <f>IF(B140="","",T140+AG140+AK140+AM140+AU140+AW140)</f>
      </c>
      <c r="CQ140" s="71">
        <f>IF(B140="","",U140+AH140+AL140+AN140+AV140+AX140)</f>
      </c>
      <c r="CR140" s="72">
        <f>IF(B140="","",IF(CP140=0,0,CQ140/CP140-1))</f>
      </c>
      <c r="CS140" s="60">
        <f>IF(B140="","",IF(ENTRADA!$Y140="","",ENTRADA!$Y140-C140))</f>
      </c>
      <c r="CT140" s="66">
        <f>IF(B140="","",IF(ENTRADA!$C140="","Falta fecha. ","")&amp;IF(BP140=0,"Mes fuera del rango de COSTOS_FIJOS. ","")&amp;IF(J140=0,"Sin kg. ","")&amp;IF(E140="","Falta transitaria. ","")&amp;IF(AND(T140&gt;0,U140/T140-1&gt;Tolerancia_Comb),"Combustible al puerto "&amp;TEXT(U140/T140-1,"+0%")&amp;" sobre norma. ","")&amp;IF(AND(AG140&gt;0,AH140/AG140-1&gt;Tolerancia_Comb),"Combustible distribución Occidente "&amp;TEXT(AH140/AG140-1,"+0%")&amp;" sobre norma. ","")&amp;IF(AND(AK140&gt;0,AL140/AK140-1&gt;Tolerancia_Comb),"Combustible traslado Centro "&amp;TEXT(AL140/AK140-1,"+0%")&amp;" sobre norma. ","")&amp;IF(AND(AM140&gt;0,AN140/AM140-1&gt;Tolerancia_Comb),"Combustible distribución Centro "&amp;TEXT(AN140/AM140-1,"+0%")&amp;" sobre norma. ","")&amp;IF(AND(AU140&gt;0,AV140/AU140-1&gt;Tolerancia_Comb),"Combustible traslado Oriente "&amp;TEXT(AV140/AU140-1,"+0%")&amp;" sobre norma. ","")&amp;IF(AND(AW140&gt;0,AX140/AW140-1&gt;Tolerancia_Comb),"Combustible distribución Oriente "&amp;TEXT(AX140/AW140-1,"+0%")&amp;" sobre norma. ","")&amp;IF(AND(ENTRADA!$C140&lt;&gt;"",C140&lt;PRECIOS!$A$6),"Fecha anterior a la 1ª vigencia de precios. ","")&amp;IF(CD140&lt;0,"Contenedor con pérdida. ",""))</f>
      </c>
    </row>
    <row r="141">
      <c r="A141" s="60">
        <f>IF(B141="","",ROW()-5)</f>
      </c>
      <c r="B141" s="63">
        <f>IF(ENTRADA!$B141="","",ENTRADA!$B141)</f>
      </c>
      <c r="C141" s="64">
        <f>IF(B141="","",ENTRADA!$C141)</f>
      </c>
      <c r="D141" s="65">
        <f>IF(B141="","",DATE(YEAR(C141),MONTH(C141),1))</f>
      </c>
      <c r="E141" s="66">
        <f>IF(B141="","",ENTRADA!$D141&amp;"")</f>
      </c>
      <c r="F141" s="66">
        <f>IF(B141="","",ENTRADA!$Z141&amp;"")</f>
      </c>
      <c r="G141" s="67">
        <f>IF(B141="","",N(ENTRADA!$G141))</f>
      </c>
      <c r="H141" s="67">
        <f>IF(B141="","",N(ENTRADA!$H141))</f>
      </c>
      <c r="I141" s="67">
        <f>IF(B141="","",N(ENTRADA!$I141))</f>
      </c>
      <c r="J141" s="68">
        <f>IF(B141="","",G141+H141+I141)</f>
      </c>
      <c r="K141" s="60">
        <f>IF(B141="","",IFERROR(MATCH(SUMPRODUCT(MAX((PRECIOS!$A$6:$A$55&lt;=C141)*PRECIOS!$A$6:$A$55)),PRECIOS!$A$6:$A$55,0),1))</f>
      </c>
      <c r="L141" s="69">
        <f>IF(B141="","",INDEX(PRECIOS!$A$6:$A$55,K141))</f>
      </c>
      <c r="M141" s="37">
        <f>IF(B141="","",G141*INDEX(PRECIOS!$B$6:$B$55,K141))</f>
      </c>
      <c r="N141" s="37">
        <f>IF(B141="","",H141*INDEX(PRECIOS!$C$6:$C$55,K141))</f>
      </c>
      <c r="O141" s="37">
        <f>IF(B141="","",I141*INDEX(PRECIOS!$D$6:$D$55,K141))</f>
      </c>
      <c r="P141" s="37">
        <f>IF(B141="","",N(ENTRADA!$X141))</f>
      </c>
      <c r="Q141" s="70">
        <f>IF(B141="","",M141+N141+O141+P141)</f>
      </c>
      <c r="R141" s="71">
        <f>IF(B141="","",IF(ENTRADA!$J141="",Std_Viajes_Puerto,ENTRADA!$J141))</f>
      </c>
      <c r="S141" s="37">
        <f>IF(B141="","",R141*INDEX(PRECIOS!$F$6:$F$55,K141))</f>
      </c>
      <c r="T141" s="71">
        <f>IF(B141="","",R141*Litros_Puerto_Viaje)</f>
      </c>
      <c r="U141" s="71">
        <f>IF(B141="","",IF(ENTRADA!$K141="",T141,ENTRADA!$K141))</f>
      </c>
      <c r="V141" s="37">
        <f>IF(B141="","",U141*INDEX(PRECIOS!$E$6:$E$55,K141))</f>
      </c>
      <c r="W141" s="37">
        <f>IF(B141="","",IF(ENTRADA!$L141="",R141*INDEX(PRECIOS!$G$6:$G$55,K141),ENTRADA!$L141))</f>
      </c>
      <c r="X141" s="37">
        <f>IF(B141="","",R141*Km_Puerto_Viaje*INDEX(PRECIOS!$N$6:$N$55,K141))</f>
      </c>
      <c r="Y141" s="70">
        <f>IF(B141="","",S141+V141+W141+X141)</f>
      </c>
      <c r="Z141" s="71">
        <f>IF(B141="","",IF(J141=0,0,ROUNDUP(J141/Rend_Desagrupe,0)))</f>
      </c>
      <c r="AA141" s="71">
        <f>IF(B141="","",IF(ENTRADA!$M141="",Z141,ENTRADA!$M141))</f>
      </c>
      <c r="AB141" s="37">
        <f>IF(B141="","",AA141*INDEX(PRECIOS!$H$6:$H$55,K141))</f>
      </c>
      <c r="AC141" s="37">
        <f>IF(B141="","",IF(E141="ENCI",INDEX(PRECIOS!$J$6:$J$55,K141),IF(E141="A.V",INDEX(PRECIOS!$K$6:$K$55,K141),0)))</f>
      </c>
      <c r="AD141" s="37">
        <f>IF(B141="","",N(ENTRADA!$N141))</f>
      </c>
      <c r="AE141" s="70">
        <f>IF(B141="","",AB141+AC141+AD141)</f>
      </c>
      <c r="AF141" s="71">
        <f>IF(B141="","",IF(G141=0,0,ROUNDUP(G141/Cap_Camion_OCC,0)))</f>
      </c>
      <c r="AG141" s="71">
        <f>IF(B141="","",AF141*L_Dist_OCC)</f>
      </c>
      <c r="AH141" s="71">
        <f>IF(B141="","",IF(ENTRADA!$O141="",AG141,ENTRADA!$O141))</f>
      </c>
      <c r="AI141" s="37">
        <f>IF(B141="","",AH141*INDEX(PRECIOS!$E$6:$E$55,K141))</f>
      </c>
      <c r="AJ141" s="71">
        <f>IF(B141="","",IF(H141=0,0,ROUNDUP(H141/Cap_Camion_CEN,0)))</f>
      </c>
      <c r="AK141" s="71">
        <f>IF(B141="","",AJ141*L_Tras_CEN)</f>
      </c>
      <c r="AL141" s="71">
        <f>IF(B141="","",IF(ENTRADA!$P141="",AK141,ENTRADA!$P141))</f>
      </c>
      <c r="AM141" s="71">
        <f>IF(B141="","",AJ141*L_Dist_CEN)</f>
      </c>
      <c r="AN141" s="71">
        <f>IF(B141="","",IF(ENTRADA!$Q141="",AM141,ENTRADA!$Q141))</f>
      </c>
      <c r="AO141" s="37">
        <f>IF(B141="","",(AL141+AN141)*INDEX(PRECIOS!$E$6:$E$55,K141))</f>
      </c>
      <c r="AP141" s="71">
        <f>IF(B141="","",IF(H141=0,0,ROUNDUP(H141/Rend_Desagrupe_CT,0)))</f>
      </c>
      <c r="AQ141" s="71">
        <f>IF(B141="","",IF(ENTRADA!$R141="",AP141,ENTRADA!$R141))</f>
      </c>
      <c r="AR141" s="37">
        <f>IF(B141="","",AQ141*INDEX(PRECIOS!$I$6:$I$55,K141))</f>
      </c>
      <c r="AS141" s="37">
        <f>IF(B141="","",AO141+AR141)</f>
      </c>
      <c r="AT141" s="71">
        <f>IF(B141="","",IF(I141=0,0,ROUNDUP(I141/Cap_Camion_ORI,0)))</f>
      </c>
      <c r="AU141" s="71">
        <f>IF(B141="","",AT141*L_Tras_ORI)</f>
      </c>
      <c r="AV141" s="71">
        <f>IF(B141="","",IF(ENTRADA!$S141="",AU141,ENTRADA!$S141))</f>
      </c>
      <c r="AW141" s="71">
        <f>IF(B141="","",AT141*L_Dist_ORI)</f>
      </c>
      <c r="AX141" s="71">
        <f>IF(B141="","",IF(ENTRADA!$T141="",AW141,ENTRADA!$T141))</f>
      </c>
      <c r="AY141" s="37">
        <f>IF(B141="","",(AV141+AX141)*INDEX(PRECIOS!$E$6:$E$55,K141))</f>
      </c>
      <c r="AZ141" s="71">
        <f>IF(B141="","",IF(I141=0,0,ROUNDUP(I141/Rend_Desagrupe_CT,0)))</f>
      </c>
      <c r="BA141" s="71">
        <f>IF(B141="","",IF(ENTRADA!$U141="",AZ141,ENTRADA!$U141))</f>
      </c>
      <c r="BB141" s="37">
        <f>IF(B141="","",BA141*INDEX(PRECIOS!$I$6:$I$55,K141))</f>
      </c>
      <c r="BC141" s="37">
        <f>IF(B141="","",AY141+BB141)</f>
      </c>
      <c r="BD141" s="70">
        <f>IF(B141="","",AI141+AS141+BC141)</f>
      </c>
      <c r="BE141" s="37">
        <f>IF(B141="","",IF(Base_Comision="% DEL INGRESO",M141*INDEX(PRECIOS!$L$6:$L$55,K141),G141*INDEX(PRECIOS!$M$6:$M$55,K141)))</f>
      </c>
      <c r="BF141" s="37">
        <f>IF(B141="","",IF(Base_Comision="% DEL INGRESO",N141*INDEX(PRECIOS!$L$6:$L$55,K141),H141*INDEX(PRECIOS!$M$6:$M$55,K141)))</f>
      </c>
      <c r="BG141" s="37">
        <f>IF(B141="","",IF(Base_Comision="% DEL INGRESO",O141*INDEX(PRECIOS!$L$6:$L$55,K141),I141*INDEX(PRECIOS!$M$6:$M$55,K141)))</f>
      </c>
      <c r="BH141" s="70">
        <f>IF(B141="","",BE141+BF141+BG141)</f>
      </c>
      <c r="BI141" s="37">
        <f>IF(B141="","",Q141*Pct_Reclamaciones)</f>
      </c>
      <c r="BJ141" s="37">
        <f>IF(B141="","",Q141*Pct_Banco)</f>
      </c>
      <c r="BK141" s="37">
        <f>IF(B141="","",N(ENTRADA!$V141))</f>
      </c>
      <c r="BL141" s="70">
        <f>IF(B141="","",Y141+AE141+BD141+BH141+BI141+BJ141+BK141)</f>
      </c>
      <c r="BM141" s="70">
        <f>IF(B141="","",Q141-BL141)</f>
      </c>
      <c r="BN141" s="72">
        <f>IF(B141="","",IF(Q141=0,0,BM141/Q141))</f>
      </c>
      <c r="BO141" s="73">
        <f>IF(B141="","",IF(J141=0,0,BM141/J141))</f>
      </c>
      <c r="BP141" s="60">
        <f>IF(B141="","",IFERROR(MATCH(D141,COSTOS_FIJOS!$G$5:$AD$5,0),0))</f>
      </c>
      <c r="BQ141" s="60">
        <f>IF(B141="","",COUNTIFS($D$6:$D$305,D141))</f>
      </c>
      <c r="BR141" s="67">
        <f>IF(B141="","",SUMIFS($J$6:$J$305,$D$6:$D$305,D141))</f>
      </c>
      <c r="BS141" s="72">
        <f>IF(B141="","",IF(Metodo_Prorrateo="KG",IF(BR141=0,0,J141/BR141),1/BQ141))</f>
      </c>
      <c r="BT141" s="37">
        <f>IF(B141="","",IF(BP141=0,0,INDEX(COSTOS_FIJOS!$G$38:$AD$38,BP141))*BS141)</f>
      </c>
      <c r="BU141" s="72">
        <f>IF(B141="","",IF(Metodo_Prorrateo="KG",IF(SUMIFS($G$6:$G$305,$D$6:$D$305,D141)=0,0,G141/SUMIFS($G$6:$G$305,$D$6:$D$305,D141)),IF(G141&gt;0,1/COUNTIFS($D$6:$D$305,D141,$G$6:$G$305,"&gt;0"),0)))</f>
      </c>
      <c r="BV141" s="37">
        <f>IF(B141="","",IF(BP141=0,0,INDEX(COSTOS_FIJOS!$G$39:$AD$39,BP141))*BU141)</f>
      </c>
      <c r="BW141" s="72">
        <f>IF(B141="","",IF(Metodo_Prorrateo="KG",IF(SUMIFS($H$6:$H$305,$D$6:$D$305,D141)=0,0,H141/SUMIFS($H$6:$H$305,$D$6:$D$305,D141)),IF(H141&gt;0,1/COUNTIFS($D$6:$D$305,D141,$H$6:$H$305,"&gt;0"),0)))</f>
      </c>
      <c r="BX141" s="37">
        <f>IF(B141="","",IF(BP141=0,0,INDEX(COSTOS_FIJOS!$G$40:$AD$40,BP141))*BW141)</f>
      </c>
      <c r="BY141" s="72">
        <f>IF(B141="","",IF(Metodo_Prorrateo="KG",IF(SUMIFS($I$6:$I$305,$D$6:$D$305,D141)=0,0,I141/SUMIFS($I$6:$I$305,$D$6:$D$305,D141)),IF(I141&gt;0,1/COUNTIFS($D$6:$D$305,D141,$I$6:$I$305,"&gt;0"),0)))</f>
      </c>
      <c r="BZ141" s="37">
        <f>IF(B141="","",IF(BP141=0,0,INDEX(COSTOS_FIJOS!$G$41:$AD$41,BP141))*BY141)</f>
      </c>
      <c r="CA141" s="70">
        <f>IF(B141="","",BT141+BV141+BX141+BZ141)</f>
      </c>
      <c r="CB141" s="37">
        <f>IF(B141="","",Q141*Imp_Ventas_Serv)</f>
      </c>
      <c r="CC141" s="37">
        <f>IF(B141="","",Q141*Contrib_Territorial)</f>
      </c>
      <c r="CD141" s="70">
        <f>IF(B141="","",BM141-CA141-CB141-CC141)</f>
      </c>
      <c r="CE141" s="37">
        <f>IF(B141="","",MAX(0,CD141)*Imp_Utilidades)</f>
      </c>
      <c r="CF141" s="70">
        <f>IF(B141="","",CD141-CE141)</f>
      </c>
      <c r="CG141" s="72">
        <f>IF(B141="","",IF(Q141=0,0,CF141/Q141))</f>
      </c>
      <c r="CH141" s="73">
        <f>IF(B141="","",IF(J141=0,0,(BL141+CA141+CB141+CC141)/J141))</f>
      </c>
      <c r="CI141" s="73">
        <f>IF(B141="","",IF(J141=0,0,Q141/J141))</f>
      </c>
      <c r="CJ141" s="73">
        <f>IF(B141="","",IF(J141=0,0,CD141/J141))</f>
      </c>
      <c r="CK141" s="37">
        <f>IF(B141="","",Y141+AE141+BK141+BT141)</f>
      </c>
      <c r="CL141" s="37">
        <f>IF(B141="","",IF(J141=0,0,(M141+P141*G141/J141)*(1-Pct_Reclamaciones-Pct_Banco-Imp_Ventas_Serv-Contrib_Territorial)-AI141-BE141-BV141-CK141*G141/J141))</f>
      </c>
      <c r="CM141" s="37">
        <f>IF(B141="","",IF(J141=0,0,(N141+P141*H141/J141)*(1-Pct_Reclamaciones-Pct_Banco-Imp_Ventas_Serv-Contrib_Territorial)-AS141-BF141-BX141-CK141*H141/J141))</f>
      </c>
      <c r="CN141" s="37">
        <f>IF(B141="","",IF(J141=0,0,(O141+P141*I141/J141)*(1-Pct_Reclamaciones-Pct_Banco-Imp_Ventas_Serv-Contrib_Territorial)-BC141-BG141-BZ141-CK141*I141/J141))</f>
      </c>
      <c r="CO141" s="37">
        <f>IF(B141="","",IF(J141=0,0,ROUND(CD141-CL141-CM141-CN141,4)))</f>
      </c>
      <c r="CP141" s="71">
        <f>IF(B141="","",T141+AG141+AK141+AM141+AU141+AW141)</f>
      </c>
      <c r="CQ141" s="71">
        <f>IF(B141="","",U141+AH141+AL141+AN141+AV141+AX141)</f>
      </c>
      <c r="CR141" s="72">
        <f>IF(B141="","",IF(CP141=0,0,CQ141/CP141-1))</f>
      </c>
      <c r="CS141" s="60">
        <f>IF(B141="","",IF(ENTRADA!$Y141="","",ENTRADA!$Y141-C141))</f>
      </c>
      <c r="CT141" s="66">
        <f>IF(B141="","",IF(ENTRADA!$C141="","Falta fecha. ","")&amp;IF(BP141=0,"Mes fuera del rango de COSTOS_FIJOS. ","")&amp;IF(J141=0,"Sin kg. ","")&amp;IF(E141="","Falta transitaria. ","")&amp;IF(AND(T141&gt;0,U141/T141-1&gt;Tolerancia_Comb),"Combustible al puerto "&amp;TEXT(U141/T141-1,"+0%")&amp;" sobre norma. ","")&amp;IF(AND(AG141&gt;0,AH141/AG141-1&gt;Tolerancia_Comb),"Combustible distribución Occidente "&amp;TEXT(AH141/AG141-1,"+0%")&amp;" sobre norma. ","")&amp;IF(AND(AK141&gt;0,AL141/AK141-1&gt;Tolerancia_Comb),"Combustible traslado Centro "&amp;TEXT(AL141/AK141-1,"+0%")&amp;" sobre norma. ","")&amp;IF(AND(AM141&gt;0,AN141/AM141-1&gt;Tolerancia_Comb),"Combustible distribución Centro "&amp;TEXT(AN141/AM141-1,"+0%")&amp;" sobre norma. ","")&amp;IF(AND(AU141&gt;0,AV141/AU141-1&gt;Tolerancia_Comb),"Combustible traslado Oriente "&amp;TEXT(AV141/AU141-1,"+0%")&amp;" sobre norma. ","")&amp;IF(AND(AW141&gt;0,AX141/AW141-1&gt;Tolerancia_Comb),"Combustible distribución Oriente "&amp;TEXT(AX141/AW141-1,"+0%")&amp;" sobre norma. ","")&amp;IF(AND(ENTRADA!$C141&lt;&gt;"",C141&lt;PRECIOS!$A$6),"Fecha anterior a la 1ª vigencia de precios. ","")&amp;IF(CD141&lt;0,"Contenedor con pérdida. ",""))</f>
      </c>
    </row>
    <row r="142">
      <c r="A142" s="60">
        <f>IF(B142="","",ROW()-5)</f>
      </c>
      <c r="B142" s="63">
        <f>IF(ENTRADA!$B142="","",ENTRADA!$B142)</f>
      </c>
      <c r="C142" s="64">
        <f>IF(B142="","",ENTRADA!$C142)</f>
      </c>
      <c r="D142" s="65">
        <f>IF(B142="","",DATE(YEAR(C142),MONTH(C142),1))</f>
      </c>
      <c r="E142" s="66">
        <f>IF(B142="","",ENTRADA!$D142&amp;"")</f>
      </c>
      <c r="F142" s="66">
        <f>IF(B142="","",ENTRADA!$Z142&amp;"")</f>
      </c>
      <c r="G142" s="67">
        <f>IF(B142="","",N(ENTRADA!$G142))</f>
      </c>
      <c r="H142" s="67">
        <f>IF(B142="","",N(ENTRADA!$H142))</f>
      </c>
      <c r="I142" s="67">
        <f>IF(B142="","",N(ENTRADA!$I142))</f>
      </c>
      <c r="J142" s="68">
        <f>IF(B142="","",G142+H142+I142)</f>
      </c>
      <c r="K142" s="60">
        <f>IF(B142="","",IFERROR(MATCH(SUMPRODUCT(MAX((PRECIOS!$A$6:$A$55&lt;=C142)*PRECIOS!$A$6:$A$55)),PRECIOS!$A$6:$A$55,0),1))</f>
      </c>
      <c r="L142" s="69">
        <f>IF(B142="","",INDEX(PRECIOS!$A$6:$A$55,K142))</f>
      </c>
      <c r="M142" s="37">
        <f>IF(B142="","",G142*INDEX(PRECIOS!$B$6:$B$55,K142))</f>
      </c>
      <c r="N142" s="37">
        <f>IF(B142="","",H142*INDEX(PRECIOS!$C$6:$C$55,K142))</f>
      </c>
      <c r="O142" s="37">
        <f>IF(B142="","",I142*INDEX(PRECIOS!$D$6:$D$55,K142))</f>
      </c>
      <c r="P142" s="37">
        <f>IF(B142="","",N(ENTRADA!$X142))</f>
      </c>
      <c r="Q142" s="70">
        <f>IF(B142="","",M142+N142+O142+P142)</f>
      </c>
      <c r="R142" s="71">
        <f>IF(B142="","",IF(ENTRADA!$J142="",Std_Viajes_Puerto,ENTRADA!$J142))</f>
      </c>
      <c r="S142" s="37">
        <f>IF(B142="","",R142*INDEX(PRECIOS!$F$6:$F$55,K142))</f>
      </c>
      <c r="T142" s="71">
        <f>IF(B142="","",R142*Litros_Puerto_Viaje)</f>
      </c>
      <c r="U142" s="71">
        <f>IF(B142="","",IF(ENTRADA!$K142="",T142,ENTRADA!$K142))</f>
      </c>
      <c r="V142" s="37">
        <f>IF(B142="","",U142*INDEX(PRECIOS!$E$6:$E$55,K142))</f>
      </c>
      <c r="W142" s="37">
        <f>IF(B142="","",IF(ENTRADA!$L142="",R142*INDEX(PRECIOS!$G$6:$G$55,K142),ENTRADA!$L142))</f>
      </c>
      <c r="X142" s="37">
        <f>IF(B142="","",R142*Km_Puerto_Viaje*INDEX(PRECIOS!$N$6:$N$55,K142))</f>
      </c>
      <c r="Y142" s="70">
        <f>IF(B142="","",S142+V142+W142+X142)</f>
      </c>
      <c r="Z142" s="71">
        <f>IF(B142="","",IF(J142=0,0,ROUNDUP(J142/Rend_Desagrupe,0)))</f>
      </c>
      <c r="AA142" s="71">
        <f>IF(B142="","",IF(ENTRADA!$M142="",Z142,ENTRADA!$M142))</f>
      </c>
      <c r="AB142" s="37">
        <f>IF(B142="","",AA142*INDEX(PRECIOS!$H$6:$H$55,K142))</f>
      </c>
      <c r="AC142" s="37">
        <f>IF(B142="","",IF(E142="ENCI",INDEX(PRECIOS!$J$6:$J$55,K142),IF(E142="A.V",INDEX(PRECIOS!$K$6:$K$55,K142),0)))</f>
      </c>
      <c r="AD142" s="37">
        <f>IF(B142="","",N(ENTRADA!$N142))</f>
      </c>
      <c r="AE142" s="70">
        <f>IF(B142="","",AB142+AC142+AD142)</f>
      </c>
      <c r="AF142" s="71">
        <f>IF(B142="","",IF(G142=0,0,ROUNDUP(G142/Cap_Camion_OCC,0)))</f>
      </c>
      <c r="AG142" s="71">
        <f>IF(B142="","",AF142*L_Dist_OCC)</f>
      </c>
      <c r="AH142" s="71">
        <f>IF(B142="","",IF(ENTRADA!$O142="",AG142,ENTRADA!$O142))</f>
      </c>
      <c r="AI142" s="37">
        <f>IF(B142="","",AH142*INDEX(PRECIOS!$E$6:$E$55,K142))</f>
      </c>
      <c r="AJ142" s="71">
        <f>IF(B142="","",IF(H142=0,0,ROUNDUP(H142/Cap_Camion_CEN,0)))</f>
      </c>
      <c r="AK142" s="71">
        <f>IF(B142="","",AJ142*L_Tras_CEN)</f>
      </c>
      <c r="AL142" s="71">
        <f>IF(B142="","",IF(ENTRADA!$P142="",AK142,ENTRADA!$P142))</f>
      </c>
      <c r="AM142" s="71">
        <f>IF(B142="","",AJ142*L_Dist_CEN)</f>
      </c>
      <c r="AN142" s="71">
        <f>IF(B142="","",IF(ENTRADA!$Q142="",AM142,ENTRADA!$Q142))</f>
      </c>
      <c r="AO142" s="37">
        <f>IF(B142="","",(AL142+AN142)*INDEX(PRECIOS!$E$6:$E$55,K142))</f>
      </c>
      <c r="AP142" s="71">
        <f>IF(B142="","",IF(H142=0,0,ROUNDUP(H142/Rend_Desagrupe_CT,0)))</f>
      </c>
      <c r="AQ142" s="71">
        <f>IF(B142="","",IF(ENTRADA!$R142="",AP142,ENTRADA!$R142))</f>
      </c>
      <c r="AR142" s="37">
        <f>IF(B142="","",AQ142*INDEX(PRECIOS!$I$6:$I$55,K142))</f>
      </c>
      <c r="AS142" s="37">
        <f>IF(B142="","",AO142+AR142)</f>
      </c>
      <c r="AT142" s="71">
        <f>IF(B142="","",IF(I142=0,0,ROUNDUP(I142/Cap_Camion_ORI,0)))</f>
      </c>
      <c r="AU142" s="71">
        <f>IF(B142="","",AT142*L_Tras_ORI)</f>
      </c>
      <c r="AV142" s="71">
        <f>IF(B142="","",IF(ENTRADA!$S142="",AU142,ENTRADA!$S142))</f>
      </c>
      <c r="AW142" s="71">
        <f>IF(B142="","",AT142*L_Dist_ORI)</f>
      </c>
      <c r="AX142" s="71">
        <f>IF(B142="","",IF(ENTRADA!$T142="",AW142,ENTRADA!$T142))</f>
      </c>
      <c r="AY142" s="37">
        <f>IF(B142="","",(AV142+AX142)*INDEX(PRECIOS!$E$6:$E$55,K142))</f>
      </c>
      <c r="AZ142" s="71">
        <f>IF(B142="","",IF(I142=0,0,ROUNDUP(I142/Rend_Desagrupe_CT,0)))</f>
      </c>
      <c r="BA142" s="71">
        <f>IF(B142="","",IF(ENTRADA!$U142="",AZ142,ENTRADA!$U142))</f>
      </c>
      <c r="BB142" s="37">
        <f>IF(B142="","",BA142*INDEX(PRECIOS!$I$6:$I$55,K142))</f>
      </c>
      <c r="BC142" s="37">
        <f>IF(B142="","",AY142+BB142)</f>
      </c>
      <c r="BD142" s="70">
        <f>IF(B142="","",AI142+AS142+BC142)</f>
      </c>
      <c r="BE142" s="37">
        <f>IF(B142="","",IF(Base_Comision="% DEL INGRESO",M142*INDEX(PRECIOS!$L$6:$L$55,K142),G142*INDEX(PRECIOS!$M$6:$M$55,K142)))</f>
      </c>
      <c r="BF142" s="37">
        <f>IF(B142="","",IF(Base_Comision="% DEL INGRESO",N142*INDEX(PRECIOS!$L$6:$L$55,K142),H142*INDEX(PRECIOS!$M$6:$M$55,K142)))</f>
      </c>
      <c r="BG142" s="37">
        <f>IF(B142="","",IF(Base_Comision="% DEL INGRESO",O142*INDEX(PRECIOS!$L$6:$L$55,K142),I142*INDEX(PRECIOS!$M$6:$M$55,K142)))</f>
      </c>
      <c r="BH142" s="70">
        <f>IF(B142="","",BE142+BF142+BG142)</f>
      </c>
      <c r="BI142" s="37">
        <f>IF(B142="","",Q142*Pct_Reclamaciones)</f>
      </c>
      <c r="BJ142" s="37">
        <f>IF(B142="","",Q142*Pct_Banco)</f>
      </c>
      <c r="BK142" s="37">
        <f>IF(B142="","",N(ENTRADA!$V142))</f>
      </c>
      <c r="BL142" s="70">
        <f>IF(B142="","",Y142+AE142+BD142+BH142+BI142+BJ142+BK142)</f>
      </c>
      <c r="BM142" s="70">
        <f>IF(B142="","",Q142-BL142)</f>
      </c>
      <c r="BN142" s="72">
        <f>IF(B142="","",IF(Q142=0,0,BM142/Q142))</f>
      </c>
      <c r="BO142" s="73">
        <f>IF(B142="","",IF(J142=0,0,BM142/J142))</f>
      </c>
      <c r="BP142" s="60">
        <f>IF(B142="","",IFERROR(MATCH(D142,COSTOS_FIJOS!$G$5:$AD$5,0),0))</f>
      </c>
      <c r="BQ142" s="60">
        <f>IF(B142="","",COUNTIFS($D$6:$D$305,D142))</f>
      </c>
      <c r="BR142" s="67">
        <f>IF(B142="","",SUMIFS($J$6:$J$305,$D$6:$D$305,D142))</f>
      </c>
      <c r="BS142" s="72">
        <f>IF(B142="","",IF(Metodo_Prorrateo="KG",IF(BR142=0,0,J142/BR142),1/BQ142))</f>
      </c>
      <c r="BT142" s="37">
        <f>IF(B142="","",IF(BP142=0,0,INDEX(COSTOS_FIJOS!$G$38:$AD$38,BP142))*BS142)</f>
      </c>
      <c r="BU142" s="72">
        <f>IF(B142="","",IF(Metodo_Prorrateo="KG",IF(SUMIFS($G$6:$G$305,$D$6:$D$305,D142)=0,0,G142/SUMIFS($G$6:$G$305,$D$6:$D$305,D142)),IF(G142&gt;0,1/COUNTIFS($D$6:$D$305,D142,$G$6:$G$305,"&gt;0"),0)))</f>
      </c>
      <c r="BV142" s="37">
        <f>IF(B142="","",IF(BP142=0,0,INDEX(COSTOS_FIJOS!$G$39:$AD$39,BP142))*BU142)</f>
      </c>
      <c r="BW142" s="72">
        <f>IF(B142="","",IF(Metodo_Prorrateo="KG",IF(SUMIFS($H$6:$H$305,$D$6:$D$305,D142)=0,0,H142/SUMIFS($H$6:$H$305,$D$6:$D$305,D142)),IF(H142&gt;0,1/COUNTIFS($D$6:$D$305,D142,$H$6:$H$305,"&gt;0"),0)))</f>
      </c>
      <c r="BX142" s="37">
        <f>IF(B142="","",IF(BP142=0,0,INDEX(COSTOS_FIJOS!$G$40:$AD$40,BP142))*BW142)</f>
      </c>
      <c r="BY142" s="72">
        <f>IF(B142="","",IF(Metodo_Prorrateo="KG",IF(SUMIFS($I$6:$I$305,$D$6:$D$305,D142)=0,0,I142/SUMIFS($I$6:$I$305,$D$6:$D$305,D142)),IF(I142&gt;0,1/COUNTIFS($D$6:$D$305,D142,$I$6:$I$305,"&gt;0"),0)))</f>
      </c>
      <c r="BZ142" s="37">
        <f>IF(B142="","",IF(BP142=0,0,INDEX(COSTOS_FIJOS!$G$41:$AD$41,BP142))*BY142)</f>
      </c>
      <c r="CA142" s="70">
        <f>IF(B142="","",BT142+BV142+BX142+BZ142)</f>
      </c>
      <c r="CB142" s="37">
        <f>IF(B142="","",Q142*Imp_Ventas_Serv)</f>
      </c>
      <c r="CC142" s="37">
        <f>IF(B142="","",Q142*Contrib_Territorial)</f>
      </c>
      <c r="CD142" s="70">
        <f>IF(B142="","",BM142-CA142-CB142-CC142)</f>
      </c>
      <c r="CE142" s="37">
        <f>IF(B142="","",MAX(0,CD142)*Imp_Utilidades)</f>
      </c>
      <c r="CF142" s="70">
        <f>IF(B142="","",CD142-CE142)</f>
      </c>
      <c r="CG142" s="72">
        <f>IF(B142="","",IF(Q142=0,0,CF142/Q142))</f>
      </c>
      <c r="CH142" s="73">
        <f>IF(B142="","",IF(J142=0,0,(BL142+CA142+CB142+CC142)/J142))</f>
      </c>
      <c r="CI142" s="73">
        <f>IF(B142="","",IF(J142=0,0,Q142/J142))</f>
      </c>
      <c r="CJ142" s="73">
        <f>IF(B142="","",IF(J142=0,0,CD142/J142))</f>
      </c>
      <c r="CK142" s="37">
        <f>IF(B142="","",Y142+AE142+BK142+BT142)</f>
      </c>
      <c r="CL142" s="37">
        <f>IF(B142="","",IF(J142=0,0,(M142+P142*G142/J142)*(1-Pct_Reclamaciones-Pct_Banco-Imp_Ventas_Serv-Contrib_Territorial)-AI142-BE142-BV142-CK142*G142/J142))</f>
      </c>
      <c r="CM142" s="37">
        <f>IF(B142="","",IF(J142=0,0,(N142+P142*H142/J142)*(1-Pct_Reclamaciones-Pct_Banco-Imp_Ventas_Serv-Contrib_Territorial)-AS142-BF142-BX142-CK142*H142/J142))</f>
      </c>
      <c r="CN142" s="37">
        <f>IF(B142="","",IF(J142=0,0,(O142+P142*I142/J142)*(1-Pct_Reclamaciones-Pct_Banco-Imp_Ventas_Serv-Contrib_Territorial)-BC142-BG142-BZ142-CK142*I142/J142))</f>
      </c>
      <c r="CO142" s="37">
        <f>IF(B142="","",IF(J142=0,0,ROUND(CD142-CL142-CM142-CN142,4)))</f>
      </c>
      <c r="CP142" s="71">
        <f>IF(B142="","",T142+AG142+AK142+AM142+AU142+AW142)</f>
      </c>
      <c r="CQ142" s="71">
        <f>IF(B142="","",U142+AH142+AL142+AN142+AV142+AX142)</f>
      </c>
      <c r="CR142" s="72">
        <f>IF(B142="","",IF(CP142=0,0,CQ142/CP142-1))</f>
      </c>
      <c r="CS142" s="60">
        <f>IF(B142="","",IF(ENTRADA!$Y142="","",ENTRADA!$Y142-C142))</f>
      </c>
      <c r="CT142" s="66">
        <f>IF(B142="","",IF(ENTRADA!$C142="","Falta fecha. ","")&amp;IF(BP142=0,"Mes fuera del rango de COSTOS_FIJOS. ","")&amp;IF(J142=0,"Sin kg. ","")&amp;IF(E142="","Falta transitaria. ","")&amp;IF(AND(T142&gt;0,U142/T142-1&gt;Tolerancia_Comb),"Combustible al puerto "&amp;TEXT(U142/T142-1,"+0%")&amp;" sobre norma. ","")&amp;IF(AND(AG142&gt;0,AH142/AG142-1&gt;Tolerancia_Comb),"Combustible distribución Occidente "&amp;TEXT(AH142/AG142-1,"+0%")&amp;" sobre norma. ","")&amp;IF(AND(AK142&gt;0,AL142/AK142-1&gt;Tolerancia_Comb),"Combustible traslado Centro "&amp;TEXT(AL142/AK142-1,"+0%")&amp;" sobre norma. ","")&amp;IF(AND(AM142&gt;0,AN142/AM142-1&gt;Tolerancia_Comb),"Combustible distribución Centro "&amp;TEXT(AN142/AM142-1,"+0%")&amp;" sobre norma. ","")&amp;IF(AND(AU142&gt;0,AV142/AU142-1&gt;Tolerancia_Comb),"Combustible traslado Oriente "&amp;TEXT(AV142/AU142-1,"+0%")&amp;" sobre norma. ","")&amp;IF(AND(AW142&gt;0,AX142/AW142-1&gt;Tolerancia_Comb),"Combustible distribución Oriente "&amp;TEXT(AX142/AW142-1,"+0%")&amp;" sobre norma. ","")&amp;IF(AND(ENTRADA!$C142&lt;&gt;"",C142&lt;PRECIOS!$A$6),"Fecha anterior a la 1ª vigencia de precios. ","")&amp;IF(CD142&lt;0,"Contenedor con pérdida. ",""))</f>
      </c>
    </row>
    <row r="143">
      <c r="A143" s="60">
        <f>IF(B143="","",ROW()-5)</f>
      </c>
      <c r="B143" s="63">
        <f>IF(ENTRADA!$B143="","",ENTRADA!$B143)</f>
      </c>
      <c r="C143" s="64">
        <f>IF(B143="","",ENTRADA!$C143)</f>
      </c>
      <c r="D143" s="65">
        <f>IF(B143="","",DATE(YEAR(C143),MONTH(C143),1))</f>
      </c>
      <c r="E143" s="66">
        <f>IF(B143="","",ENTRADA!$D143&amp;"")</f>
      </c>
      <c r="F143" s="66">
        <f>IF(B143="","",ENTRADA!$Z143&amp;"")</f>
      </c>
      <c r="G143" s="67">
        <f>IF(B143="","",N(ENTRADA!$G143))</f>
      </c>
      <c r="H143" s="67">
        <f>IF(B143="","",N(ENTRADA!$H143))</f>
      </c>
      <c r="I143" s="67">
        <f>IF(B143="","",N(ENTRADA!$I143))</f>
      </c>
      <c r="J143" s="68">
        <f>IF(B143="","",G143+H143+I143)</f>
      </c>
      <c r="K143" s="60">
        <f>IF(B143="","",IFERROR(MATCH(SUMPRODUCT(MAX((PRECIOS!$A$6:$A$55&lt;=C143)*PRECIOS!$A$6:$A$55)),PRECIOS!$A$6:$A$55,0),1))</f>
      </c>
      <c r="L143" s="69">
        <f>IF(B143="","",INDEX(PRECIOS!$A$6:$A$55,K143))</f>
      </c>
      <c r="M143" s="37">
        <f>IF(B143="","",G143*INDEX(PRECIOS!$B$6:$B$55,K143))</f>
      </c>
      <c r="N143" s="37">
        <f>IF(B143="","",H143*INDEX(PRECIOS!$C$6:$C$55,K143))</f>
      </c>
      <c r="O143" s="37">
        <f>IF(B143="","",I143*INDEX(PRECIOS!$D$6:$D$55,K143))</f>
      </c>
      <c r="P143" s="37">
        <f>IF(B143="","",N(ENTRADA!$X143))</f>
      </c>
      <c r="Q143" s="70">
        <f>IF(B143="","",M143+N143+O143+P143)</f>
      </c>
      <c r="R143" s="71">
        <f>IF(B143="","",IF(ENTRADA!$J143="",Std_Viajes_Puerto,ENTRADA!$J143))</f>
      </c>
      <c r="S143" s="37">
        <f>IF(B143="","",R143*INDEX(PRECIOS!$F$6:$F$55,K143))</f>
      </c>
      <c r="T143" s="71">
        <f>IF(B143="","",R143*Litros_Puerto_Viaje)</f>
      </c>
      <c r="U143" s="71">
        <f>IF(B143="","",IF(ENTRADA!$K143="",T143,ENTRADA!$K143))</f>
      </c>
      <c r="V143" s="37">
        <f>IF(B143="","",U143*INDEX(PRECIOS!$E$6:$E$55,K143))</f>
      </c>
      <c r="W143" s="37">
        <f>IF(B143="","",IF(ENTRADA!$L143="",R143*INDEX(PRECIOS!$G$6:$G$55,K143),ENTRADA!$L143))</f>
      </c>
      <c r="X143" s="37">
        <f>IF(B143="","",R143*Km_Puerto_Viaje*INDEX(PRECIOS!$N$6:$N$55,K143))</f>
      </c>
      <c r="Y143" s="70">
        <f>IF(B143="","",S143+V143+W143+X143)</f>
      </c>
      <c r="Z143" s="71">
        <f>IF(B143="","",IF(J143=0,0,ROUNDUP(J143/Rend_Desagrupe,0)))</f>
      </c>
      <c r="AA143" s="71">
        <f>IF(B143="","",IF(ENTRADA!$M143="",Z143,ENTRADA!$M143))</f>
      </c>
      <c r="AB143" s="37">
        <f>IF(B143="","",AA143*INDEX(PRECIOS!$H$6:$H$55,K143))</f>
      </c>
      <c r="AC143" s="37">
        <f>IF(B143="","",IF(E143="ENCI",INDEX(PRECIOS!$J$6:$J$55,K143),IF(E143="A.V",INDEX(PRECIOS!$K$6:$K$55,K143),0)))</f>
      </c>
      <c r="AD143" s="37">
        <f>IF(B143="","",N(ENTRADA!$N143))</f>
      </c>
      <c r="AE143" s="70">
        <f>IF(B143="","",AB143+AC143+AD143)</f>
      </c>
      <c r="AF143" s="71">
        <f>IF(B143="","",IF(G143=0,0,ROUNDUP(G143/Cap_Camion_OCC,0)))</f>
      </c>
      <c r="AG143" s="71">
        <f>IF(B143="","",AF143*L_Dist_OCC)</f>
      </c>
      <c r="AH143" s="71">
        <f>IF(B143="","",IF(ENTRADA!$O143="",AG143,ENTRADA!$O143))</f>
      </c>
      <c r="AI143" s="37">
        <f>IF(B143="","",AH143*INDEX(PRECIOS!$E$6:$E$55,K143))</f>
      </c>
      <c r="AJ143" s="71">
        <f>IF(B143="","",IF(H143=0,0,ROUNDUP(H143/Cap_Camion_CEN,0)))</f>
      </c>
      <c r="AK143" s="71">
        <f>IF(B143="","",AJ143*L_Tras_CEN)</f>
      </c>
      <c r="AL143" s="71">
        <f>IF(B143="","",IF(ENTRADA!$P143="",AK143,ENTRADA!$P143))</f>
      </c>
      <c r="AM143" s="71">
        <f>IF(B143="","",AJ143*L_Dist_CEN)</f>
      </c>
      <c r="AN143" s="71">
        <f>IF(B143="","",IF(ENTRADA!$Q143="",AM143,ENTRADA!$Q143))</f>
      </c>
      <c r="AO143" s="37">
        <f>IF(B143="","",(AL143+AN143)*INDEX(PRECIOS!$E$6:$E$55,K143))</f>
      </c>
      <c r="AP143" s="71">
        <f>IF(B143="","",IF(H143=0,0,ROUNDUP(H143/Rend_Desagrupe_CT,0)))</f>
      </c>
      <c r="AQ143" s="71">
        <f>IF(B143="","",IF(ENTRADA!$R143="",AP143,ENTRADA!$R143))</f>
      </c>
      <c r="AR143" s="37">
        <f>IF(B143="","",AQ143*INDEX(PRECIOS!$I$6:$I$55,K143))</f>
      </c>
      <c r="AS143" s="37">
        <f>IF(B143="","",AO143+AR143)</f>
      </c>
      <c r="AT143" s="71">
        <f>IF(B143="","",IF(I143=0,0,ROUNDUP(I143/Cap_Camion_ORI,0)))</f>
      </c>
      <c r="AU143" s="71">
        <f>IF(B143="","",AT143*L_Tras_ORI)</f>
      </c>
      <c r="AV143" s="71">
        <f>IF(B143="","",IF(ENTRADA!$S143="",AU143,ENTRADA!$S143))</f>
      </c>
      <c r="AW143" s="71">
        <f>IF(B143="","",AT143*L_Dist_ORI)</f>
      </c>
      <c r="AX143" s="71">
        <f>IF(B143="","",IF(ENTRADA!$T143="",AW143,ENTRADA!$T143))</f>
      </c>
      <c r="AY143" s="37">
        <f>IF(B143="","",(AV143+AX143)*INDEX(PRECIOS!$E$6:$E$55,K143))</f>
      </c>
      <c r="AZ143" s="71">
        <f>IF(B143="","",IF(I143=0,0,ROUNDUP(I143/Rend_Desagrupe_CT,0)))</f>
      </c>
      <c r="BA143" s="71">
        <f>IF(B143="","",IF(ENTRADA!$U143="",AZ143,ENTRADA!$U143))</f>
      </c>
      <c r="BB143" s="37">
        <f>IF(B143="","",BA143*INDEX(PRECIOS!$I$6:$I$55,K143))</f>
      </c>
      <c r="BC143" s="37">
        <f>IF(B143="","",AY143+BB143)</f>
      </c>
      <c r="BD143" s="70">
        <f>IF(B143="","",AI143+AS143+BC143)</f>
      </c>
      <c r="BE143" s="37">
        <f>IF(B143="","",IF(Base_Comision="% DEL INGRESO",M143*INDEX(PRECIOS!$L$6:$L$55,K143),G143*INDEX(PRECIOS!$M$6:$M$55,K143)))</f>
      </c>
      <c r="BF143" s="37">
        <f>IF(B143="","",IF(Base_Comision="% DEL INGRESO",N143*INDEX(PRECIOS!$L$6:$L$55,K143),H143*INDEX(PRECIOS!$M$6:$M$55,K143)))</f>
      </c>
      <c r="BG143" s="37">
        <f>IF(B143="","",IF(Base_Comision="% DEL INGRESO",O143*INDEX(PRECIOS!$L$6:$L$55,K143),I143*INDEX(PRECIOS!$M$6:$M$55,K143)))</f>
      </c>
      <c r="BH143" s="70">
        <f>IF(B143="","",BE143+BF143+BG143)</f>
      </c>
      <c r="BI143" s="37">
        <f>IF(B143="","",Q143*Pct_Reclamaciones)</f>
      </c>
      <c r="BJ143" s="37">
        <f>IF(B143="","",Q143*Pct_Banco)</f>
      </c>
      <c r="BK143" s="37">
        <f>IF(B143="","",N(ENTRADA!$V143))</f>
      </c>
      <c r="BL143" s="70">
        <f>IF(B143="","",Y143+AE143+BD143+BH143+BI143+BJ143+BK143)</f>
      </c>
      <c r="BM143" s="70">
        <f>IF(B143="","",Q143-BL143)</f>
      </c>
      <c r="BN143" s="72">
        <f>IF(B143="","",IF(Q143=0,0,BM143/Q143))</f>
      </c>
      <c r="BO143" s="73">
        <f>IF(B143="","",IF(J143=0,0,BM143/J143))</f>
      </c>
      <c r="BP143" s="60">
        <f>IF(B143="","",IFERROR(MATCH(D143,COSTOS_FIJOS!$G$5:$AD$5,0),0))</f>
      </c>
      <c r="BQ143" s="60">
        <f>IF(B143="","",COUNTIFS($D$6:$D$305,D143))</f>
      </c>
      <c r="BR143" s="67">
        <f>IF(B143="","",SUMIFS($J$6:$J$305,$D$6:$D$305,D143))</f>
      </c>
      <c r="BS143" s="72">
        <f>IF(B143="","",IF(Metodo_Prorrateo="KG",IF(BR143=0,0,J143/BR143),1/BQ143))</f>
      </c>
      <c r="BT143" s="37">
        <f>IF(B143="","",IF(BP143=0,0,INDEX(COSTOS_FIJOS!$G$38:$AD$38,BP143))*BS143)</f>
      </c>
      <c r="BU143" s="72">
        <f>IF(B143="","",IF(Metodo_Prorrateo="KG",IF(SUMIFS($G$6:$G$305,$D$6:$D$305,D143)=0,0,G143/SUMIFS($G$6:$G$305,$D$6:$D$305,D143)),IF(G143&gt;0,1/COUNTIFS($D$6:$D$305,D143,$G$6:$G$305,"&gt;0"),0)))</f>
      </c>
      <c r="BV143" s="37">
        <f>IF(B143="","",IF(BP143=0,0,INDEX(COSTOS_FIJOS!$G$39:$AD$39,BP143))*BU143)</f>
      </c>
      <c r="BW143" s="72">
        <f>IF(B143="","",IF(Metodo_Prorrateo="KG",IF(SUMIFS($H$6:$H$305,$D$6:$D$305,D143)=0,0,H143/SUMIFS($H$6:$H$305,$D$6:$D$305,D143)),IF(H143&gt;0,1/COUNTIFS($D$6:$D$305,D143,$H$6:$H$305,"&gt;0"),0)))</f>
      </c>
      <c r="BX143" s="37">
        <f>IF(B143="","",IF(BP143=0,0,INDEX(COSTOS_FIJOS!$G$40:$AD$40,BP143))*BW143)</f>
      </c>
      <c r="BY143" s="72">
        <f>IF(B143="","",IF(Metodo_Prorrateo="KG",IF(SUMIFS($I$6:$I$305,$D$6:$D$305,D143)=0,0,I143/SUMIFS($I$6:$I$305,$D$6:$D$305,D143)),IF(I143&gt;0,1/COUNTIFS($D$6:$D$305,D143,$I$6:$I$305,"&gt;0"),0)))</f>
      </c>
      <c r="BZ143" s="37">
        <f>IF(B143="","",IF(BP143=0,0,INDEX(COSTOS_FIJOS!$G$41:$AD$41,BP143))*BY143)</f>
      </c>
      <c r="CA143" s="70">
        <f>IF(B143="","",BT143+BV143+BX143+BZ143)</f>
      </c>
      <c r="CB143" s="37">
        <f>IF(B143="","",Q143*Imp_Ventas_Serv)</f>
      </c>
      <c r="CC143" s="37">
        <f>IF(B143="","",Q143*Contrib_Territorial)</f>
      </c>
      <c r="CD143" s="70">
        <f>IF(B143="","",BM143-CA143-CB143-CC143)</f>
      </c>
      <c r="CE143" s="37">
        <f>IF(B143="","",MAX(0,CD143)*Imp_Utilidades)</f>
      </c>
      <c r="CF143" s="70">
        <f>IF(B143="","",CD143-CE143)</f>
      </c>
      <c r="CG143" s="72">
        <f>IF(B143="","",IF(Q143=0,0,CF143/Q143))</f>
      </c>
      <c r="CH143" s="73">
        <f>IF(B143="","",IF(J143=0,0,(BL143+CA143+CB143+CC143)/J143))</f>
      </c>
      <c r="CI143" s="73">
        <f>IF(B143="","",IF(J143=0,0,Q143/J143))</f>
      </c>
      <c r="CJ143" s="73">
        <f>IF(B143="","",IF(J143=0,0,CD143/J143))</f>
      </c>
      <c r="CK143" s="37">
        <f>IF(B143="","",Y143+AE143+BK143+BT143)</f>
      </c>
      <c r="CL143" s="37">
        <f>IF(B143="","",IF(J143=0,0,(M143+P143*G143/J143)*(1-Pct_Reclamaciones-Pct_Banco-Imp_Ventas_Serv-Contrib_Territorial)-AI143-BE143-BV143-CK143*G143/J143))</f>
      </c>
      <c r="CM143" s="37">
        <f>IF(B143="","",IF(J143=0,0,(N143+P143*H143/J143)*(1-Pct_Reclamaciones-Pct_Banco-Imp_Ventas_Serv-Contrib_Territorial)-AS143-BF143-BX143-CK143*H143/J143))</f>
      </c>
      <c r="CN143" s="37">
        <f>IF(B143="","",IF(J143=0,0,(O143+P143*I143/J143)*(1-Pct_Reclamaciones-Pct_Banco-Imp_Ventas_Serv-Contrib_Territorial)-BC143-BG143-BZ143-CK143*I143/J143))</f>
      </c>
      <c r="CO143" s="37">
        <f>IF(B143="","",IF(J143=0,0,ROUND(CD143-CL143-CM143-CN143,4)))</f>
      </c>
      <c r="CP143" s="71">
        <f>IF(B143="","",T143+AG143+AK143+AM143+AU143+AW143)</f>
      </c>
      <c r="CQ143" s="71">
        <f>IF(B143="","",U143+AH143+AL143+AN143+AV143+AX143)</f>
      </c>
      <c r="CR143" s="72">
        <f>IF(B143="","",IF(CP143=0,0,CQ143/CP143-1))</f>
      </c>
      <c r="CS143" s="60">
        <f>IF(B143="","",IF(ENTRADA!$Y143="","",ENTRADA!$Y143-C143))</f>
      </c>
      <c r="CT143" s="66">
        <f>IF(B143="","",IF(ENTRADA!$C143="","Falta fecha. ","")&amp;IF(BP143=0,"Mes fuera del rango de COSTOS_FIJOS. ","")&amp;IF(J143=0,"Sin kg. ","")&amp;IF(E143="","Falta transitaria. ","")&amp;IF(AND(T143&gt;0,U143/T143-1&gt;Tolerancia_Comb),"Combustible al puerto "&amp;TEXT(U143/T143-1,"+0%")&amp;" sobre norma. ","")&amp;IF(AND(AG143&gt;0,AH143/AG143-1&gt;Tolerancia_Comb),"Combustible distribución Occidente "&amp;TEXT(AH143/AG143-1,"+0%")&amp;" sobre norma. ","")&amp;IF(AND(AK143&gt;0,AL143/AK143-1&gt;Tolerancia_Comb),"Combustible traslado Centro "&amp;TEXT(AL143/AK143-1,"+0%")&amp;" sobre norma. ","")&amp;IF(AND(AM143&gt;0,AN143/AM143-1&gt;Tolerancia_Comb),"Combustible distribución Centro "&amp;TEXT(AN143/AM143-1,"+0%")&amp;" sobre norma. ","")&amp;IF(AND(AU143&gt;0,AV143/AU143-1&gt;Tolerancia_Comb),"Combustible traslado Oriente "&amp;TEXT(AV143/AU143-1,"+0%")&amp;" sobre norma. ","")&amp;IF(AND(AW143&gt;0,AX143/AW143-1&gt;Tolerancia_Comb),"Combustible distribución Oriente "&amp;TEXT(AX143/AW143-1,"+0%")&amp;" sobre norma. ","")&amp;IF(AND(ENTRADA!$C143&lt;&gt;"",C143&lt;PRECIOS!$A$6),"Fecha anterior a la 1ª vigencia de precios. ","")&amp;IF(CD143&lt;0,"Contenedor con pérdida. ",""))</f>
      </c>
    </row>
    <row r="144">
      <c r="A144" s="60">
        <f>IF(B144="","",ROW()-5)</f>
      </c>
      <c r="B144" s="63">
        <f>IF(ENTRADA!$B144="","",ENTRADA!$B144)</f>
      </c>
      <c r="C144" s="64">
        <f>IF(B144="","",ENTRADA!$C144)</f>
      </c>
      <c r="D144" s="65">
        <f>IF(B144="","",DATE(YEAR(C144),MONTH(C144),1))</f>
      </c>
      <c r="E144" s="66">
        <f>IF(B144="","",ENTRADA!$D144&amp;"")</f>
      </c>
      <c r="F144" s="66">
        <f>IF(B144="","",ENTRADA!$Z144&amp;"")</f>
      </c>
      <c r="G144" s="67">
        <f>IF(B144="","",N(ENTRADA!$G144))</f>
      </c>
      <c r="H144" s="67">
        <f>IF(B144="","",N(ENTRADA!$H144))</f>
      </c>
      <c r="I144" s="67">
        <f>IF(B144="","",N(ENTRADA!$I144))</f>
      </c>
      <c r="J144" s="68">
        <f>IF(B144="","",G144+H144+I144)</f>
      </c>
      <c r="K144" s="60">
        <f>IF(B144="","",IFERROR(MATCH(SUMPRODUCT(MAX((PRECIOS!$A$6:$A$55&lt;=C144)*PRECIOS!$A$6:$A$55)),PRECIOS!$A$6:$A$55,0),1))</f>
      </c>
      <c r="L144" s="69">
        <f>IF(B144="","",INDEX(PRECIOS!$A$6:$A$55,K144))</f>
      </c>
      <c r="M144" s="37">
        <f>IF(B144="","",G144*INDEX(PRECIOS!$B$6:$B$55,K144))</f>
      </c>
      <c r="N144" s="37">
        <f>IF(B144="","",H144*INDEX(PRECIOS!$C$6:$C$55,K144))</f>
      </c>
      <c r="O144" s="37">
        <f>IF(B144="","",I144*INDEX(PRECIOS!$D$6:$D$55,K144))</f>
      </c>
      <c r="P144" s="37">
        <f>IF(B144="","",N(ENTRADA!$X144))</f>
      </c>
      <c r="Q144" s="70">
        <f>IF(B144="","",M144+N144+O144+P144)</f>
      </c>
      <c r="R144" s="71">
        <f>IF(B144="","",IF(ENTRADA!$J144="",Std_Viajes_Puerto,ENTRADA!$J144))</f>
      </c>
      <c r="S144" s="37">
        <f>IF(B144="","",R144*INDEX(PRECIOS!$F$6:$F$55,K144))</f>
      </c>
      <c r="T144" s="71">
        <f>IF(B144="","",R144*Litros_Puerto_Viaje)</f>
      </c>
      <c r="U144" s="71">
        <f>IF(B144="","",IF(ENTRADA!$K144="",T144,ENTRADA!$K144))</f>
      </c>
      <c r="V144" s="37">
        <f>IF(B144="","",U144*INDEX(PRECIOS!$E$6:$E$55,K144))</f>
      </c>
      <c r="W144" s="37">
        <f>IF(B144="","",IF(ENTRADA!$L144="",R144*INDEX(PRECIOS!$G$6:$G$55,K144),ENTRADA!$L144))</f>
      </c>
      <c r="X144" s="37">
        <f>IF(B144="","",R144*Km_Puerto_Viaje*INDEX(PRECIOS!$N$6:$N$55,K144))</f>
      </c>
      <c r="Y144" s="70">
        <f>IF(B144="","",S144+V144+W144+X144)</f>
      </c>
      <c r="Z144" s="71">
        <f>IF(B144="","",IF(J144=0,0,ROUNDUP(J144/Rend_Desagrupe,0)))</f>
      </c>
      <c r="AA144" s="71">
        <f>IF(B144="","",IF(ENTRADA!$M144="",Z144,ENTRADA!$M144))</f>
      </c>
      <c r="AB144" s="37">
        <f>IF(B144="","",AA144*INDEX(PRECIOS!$H$6:$H$55,K144))</f>
      </c>
      <c r="AC144" s="37">
        <f>IF(B144="","",IF(E144="ENCI",INDEX(PRECIOS!$J$6:$J$55,K144),IF(E144="A.V",INDEX(PRECIOS!$K$6:$K$55,K144),0)))</f>
      </c>
      <c r="AD144" s="37">
        <f>IF(B144="","",N(ENTRADA!$N144))</f>
      </c>
      <c r="AE144" s="70">
        <f>IF(B144="","",AB144+AC144+AD144)</f>
      </c>
      <c r="AF144" s="71">
        <f>IF(B144="","",IF(G144=0,0,ROUNDUP(G144/Cap_Camion_OCC,0)))</f>
      </c>
      <c r="AG144" s="71">
        <f>IF(B144="","",AF144*L_Dist_OCC)</f>
      </c>
      <c r="AH144" s="71">
        <f>IF(B144="","",IF(ENTRADA!$O144="",AG144,ENTRADA!$O144))</f>
      </c>
      <c r="AI144" s="37">
        <f>IF(B144="","",AH144*INDEX(PRECIOS!$E$6:$E$55,K144))</f>
      </c>
      <c r="AJ144" s="71">
        <f>IF(B144="","",IF(H144=0,0,ROUNDUP(H144/Cap_Camion_CEN,0)))</f>
      </c>
      <c r="AK144" s="71">
        <f>IF(B144="","",AJ144*L_Tras_CEN)</f>
      </c>
      <c r="AL144" s="71">
        <f>IF(B144="","",IF(ENTRADA!$P144="",AK144,ENTRADA!$P144))</f>
      </c>
      <c r="AM144" s="71">
        <f>IF(B144="","",AJ144*L_Dist_CEN)</f>
      </c>
      <c r="AN144" s="71">
        <f>IF(B144="","",IF(ENTRADA!$Q144="",AM144,ENTRADA!$Q144))</f>
      </c>
      <c r="AO144" s="37">
        <f>IF(B144="","",(AL144+AN144)*INDEX(PRECIOS!$E$6:$E$55,K144))</f>
      </c>
      <c r="AP144" s="71">
        <f>IF(B144="","",IF(H144=0,0,ROUNDUP(H144/Rend_Desagrupe_CT,0)))</f>
      </c>
      <c r="AQ144" s="71">
        <f>IF(B144="","",IF(ENTRADA!$R144="",AP144,ENTRADA!$R144))</f>
      </c>
      <c r="AR144" s="37">
        <f>IF(B144="","",AQ144*INDEX(PRECIOS!$I$6:$I$55,K144))</f>
      </c>
      <c r="AS144" s="37">
        <f>IF(B144="","",AO144+AR144)</f>
      </c>
      <c r="AT144" s="71">
        <f>IF(B144="","",IF(I144=0,0,ROUNDUP(I144/Cap_Camion_ORI,0)))</f>
      </c>
      <c r="AU144" s="71">
        <f>IF(B144="","",AT144*L_Tras_ORI)</f>
      </c>
      <c r="AV144" s="71">
        <f>IF(B144="","",IF(ENTRADA!$S144="",AU144,ENTRADA!$S144))</f>
      </c>
      <c r="AW144" s="71">
        <f>IF(B144="","",AT144*L_Dist_ORI)</f>
      </c>
      <c r="AX144" s="71">
        <f>IF(B144="","",IF(ENTRADA!$T144="",AW144,ENTRADA!$T144))</f>
      </c>
      <c r="AY144" s="37">
        <f>IF(B144="","",(AV144+AX144)*INDEX(PRECIOS!$E$6:$E$55,K144))</f>
      </c>
      <c r="AZ144" s="71">
        <f>IF(B144="","",IF(I144=0,0,ROUNDUP(I144/Rend_Desagrupe_CT,0)))</f>
      </c>
      <c r="BA144" s="71">
        <f>IF(B144="","",IF(ENTRADA!$U144="",AZ144,ENTRADA!$U144))</f>
      </c>
      <c r="BB144" s="37">
        <f>IF(B144="","",BA144*INDEX(PRECIOS!$I$6:$I$55,K144))</f>
      </c>
      <c r="BC144" s="37">
        <f>IF(B144="","",AY144+BB144)</f>
      </c>
      <c r="BD144" s="70">
        <f>IF(B144="","",AI144+AS144+BC144)</f>
      </c>
      <c r="BE144" s="37">
        <f>IF(B144="","",IF(Base_Comision="% DEL INGRESO",M144*INDEX(PRECIOS!$L$6:$L$55,K144),G144*INDEX(PRECIOS!$M$6:$M$55,K144)))</f>
      </c>
      <c r="BF144" s="37">
        <f>IF(B144="","",IF(Base_Comision="% DEL INGRESO",N144*INDEX(PRECIOS!$L$6:$L$55,K144),H144*INDEX(PRECIOS!$M$6:$M$55,K144)))</f>
      </c>
      <c r="BG144" s="37">
        <f>IF(B144="","",IF(Base_Comision="% DEL INGRESO",O144*INDEX(PRECIOS!$L$6:$L$55,K144),I144*INDEX(PRECIOS!$M$6:$M$55,K144)))</f>
      </c>
      <c r="BH144" s="70">
        <f>IF(B144="","",BE144+BF144+BG144)</f>
      </c>
      <c r="BI144" s="37">
        <f>IF(B144="","",Q144*Pct_Reclamaciones)</f>
      </c>
      <c r="BJ144" s="37">
        <f>IF(B144="","",Q144*Pct_Banco)</f>
      </c>
      <c r="BK144" s="37">
        <f>IF(B144="","",N(ENTRADA!$V144))</f>
      </c>
      <c r="BL144" s="70">
        <f>IF(B144="","",Y144+AE144+BD144+BH144+BI144+BJ144+BK144)</f>
      </c>
      <c r="BM144" s="70">
        <f>IF(B144="","",Q144-BL144)</f>
      </c>
      <c r="BN144" s="72">
        <f>IF(B144="","",IF(Q144=0,0,BM144/Q144))</f>
      </c>
      <c r="BO144" s="73">
        <f>IF(B144="","",IF(J144=0,0,BM144/J144))</f>
      </c>
      <c r="BP144" s="60">
        <f>IF(B144="","",IFERROR(MATCH(D144,COSTOS_FIJOS!$G$5:$AD$5,0),0))</f>
      </c>
      <c r="BQ144" s="60">
        <f>IF(B144="","",COUNTIFS($D$6:$D$305,D144))</f>
      </c>
      <c r="BR144" s="67">
        <f>IF(B144="","",SUMIFS($J$6:$J$305,$D$6:$D$305,D144))</f>
      </c>
      <c r="BS144" s="72">
        <f>IF(B144="","",IF(Metodo_Prorrateo="KG",IF(BR144=0,0,J144/BR144),1/BQ144))</f>
      </c>
      <c r="BT144" s="37">
        <f>IF(B144="","",IF(BP144=0,0,INDEX(COSTOS_FIJOS!$G$38:$AD$38,BP144))*BS144)</f>
      </c>
      <c r="BU144" s="72">
        <f>IF(B144="","",IF(Metodo_Prorrateo="KG",IF(SUMIFS($G$6:$G$305,$D$6:$D$305,D144)=0,0,G144/SUMIFS($G$6:$G$305,$D$6:$D$305,D144)),IF(G144&gt;0,1/COUNTIFS($D$6:$D$305,D144,$G$6:$G$305,"&gt;0"),0)))</f>
      </c>
      <c r="BV144" s="37">
        <f>IF(B144="","",IF(BP144=0,0,INDEX(COSTOS_FIJOS!$G$39:$AD$39,BP144))*BU144)</f>
      </c>
      <c r="BW144" s="72">
        <f>IF(B144="","",IF(Metodo_Prorrateo="KG",IF(SUMIFS($H$6:$H$305,$D$6:$D$305,D144)=0,0,H144/SUMIFS($H$6:$H$305,$D$6:$D$305,D144)),IF(H144&gt;0,1/COUNTIFS($D$6:$D$305,D144,$H$6:$H$305,"&gt;0"),0)))</f>
      </c>
      <c r="BX144" s="37">
        <f>IF(B144="","",IF(BP144=0,0,INDEX(COSTOS_FIJOS!$G$40:$AD$40,BP144))*BW144)</f>
      </c>
      <c r="BY144" s="72">
        <f>IF(B144="","",IF(Metodo_Prorrateo="KG",IF(SUMIFS($I$6:$I$305,$D$6:$D$305,D144)=0,0,I144/SUMIFS($I$6:$I$305,$D$6:$D$305,D144)),IF(I144&gt;0,1/COUNTIFS($D$6:$D$305,D144,$I$6:$I$305,"&gt;0"),0)))</f>
      </c>
      <c r="BZ144" s="37">
        <f>IF(B144="","",IF(BP144=0,0,INDEX(COSTOS_FIJOS!$G$41:$AD$41,BP144))*BY144)</f>
      </c>
      <c r="CA144" s="70">
        <f>IF(B144="","",BT144+BV144+BX144+BZ144)</f>
      </c>
      <c r="CB144" s="37">
        <f>IF(B144="","",Q144*Imp_Ventas_Serv)</f>
      </c>
      <c r="CC144" s="37">
        <f>IF(B144="","",Q144*Contrib_Territorial)</f>
      </c>
      <c r="CD144" s="70">
        <f>IF(B144="","",BM144-CA144-CB144-CC144)</f>
      </c>
      <c r="CE144" s="37">
        <f>IF(B144="","",MAX(0,CD144)*Imp_Utilidades)</f>
      </c>
      <c r="CF144" s="70">
        <f>IF(B144="","",CD144-CE144)</f>
      </c>
      <c r="CG144" s="72">
        <f>IF(B144="","",IF(Q144=0,0,CF144/Q144))</f>
      </c>
      <c r="CH144" s="73">
        <f>IF(B144="","",IF(J144=0,0,(BL144+CA144+CB144+CC144)/J144))</f>
      </c>
      <c r="CI144" s="73">
        <f>IF(B144="","",IF(J144=0,0,Q144/J144))</f>
      </c>
      <c r="CJ144" s="73">
        <f>IF(B144="","",IF(J144=0,0,CD144/J144))</f>
      </c>
      <c r="CK144" s="37">
        <f>IF(B144="","",Y144+AE144+BK144+BT144)</f>
      </c>
      <c r="CL144" s="37">
        <f>IF(B144="","",IF(J144=0,0,(M144+P144*G144/J144)*(1-Pct_Reclamaciones-Pct_Banco-Imp_Ventas_Serv-Contrib_Territorial)-AI144-BE144-BV144-CK144*G144/J144))</f>
      </c>
      <c r="CM144" s="37">
        <f>IF(B144="","",IF(J144=0,0,(N144+P144*H144/J144)*(1-Pct_Reclamaciones-Pct_Banco-Imp_Ventas_Serv-Contrib_Territorial)-AS144-BF144-BX144-CK144*H144/J144))</f>
      </c>
      <c r="CN144" s="37">
        <f>IF(B144="","",IF(J144=0,0,(O144+P144*I144/J144)*(1-Pct_Reclamaciones-Pct_Banco-Imp_Ventas_Serv-Contrib_Territorial)-BC144-BG144-BZ144-CK144*I144/J144))</f>
      </c>
      <c r="CO144" s="37">
        <f>IF(B144="","",IF(J144=0,0,ROUND(CD144-CL144-CM144-CN144,4)))</f>
      </c>
      <c r="CP144" s="71">
        <f>IF(B144="","",T144+AG144+AK144+AM144+AU144+AW144)</f>
      </c>
      <c r="CQ144" s="71">
        <f>IF(B144="","",U144+AH144+AL144+AN144+AV144+AX144)</f>
      </c>
      <c r="CR144" s="72">
        <f>IF(B144="","",IF(CP144=0,0,CQ144/CP144-1))</f>
      </c>
      <c r="CS144" s="60">
        <f>IF(B144="","",IF(ENTRADA!$Y144="","",ENTRADA!$Y144-C144))</f>
      </c>
      <c r="CT144" s="66">
        <f>IF(B144="","",IF(ENTRADA!$C144="","Falta fecha. ","")&amp;IF(BP144=0,"Mes fuera del rango de COSTOS_FIJOS. ","")&amp;IF(J144=0,"Sin kg. ","")&amp;IF(E144="","Falta transitaria. ","")&amp;IF(AND(T144&gt;0,U144/T144-1&gt;Tolerancia_Comb),"Combustible al puerto "&amp;TEXT(U144/T144-1,"+0%")&amp;" sobre norma. ","")&amp;IF(AND(AG144&gt;0,AH144/AG144-1&gt;Tolerancia_Comb),"Combustible distribución Occidente "&amp;TEXT(AH144/AG144-1,"+0%")&amp;" sobre norma. ","")&amp;IF(AND(AK144&gt;0,AL144/AK144-1&gt;Tolerancia_Comb),"Combustible traslado Centro "&amp;TEXT(AL144/AK144-1,"+0%")&amp;" sobre norma. ","")&amp;IF(AND(AM144&gt;0,AN144/AM144-1&gt;Tolerancia_Comb),"Combustible distribución Centro "&amp;TEXT(AN144/AM144-1,"+0%")&amp;" sobre norma. ","")&amp;IF(AND(AU144&gt;0,AV144/AU144-1&gt;Tolerancia_Comb),"Combustible traslado Oriente "&amp;TEXT(AV144/AU144-1,"+0%")&amp;" sobre norma. ","")&amp;IF(AND(AW144&gt;0,AX144/AW144-1&gt;Tolerancia_Comb),"Combustible distribución Oriente "&amp;TEXT(AX144/AW144-1,"+0%")&amp;" sobre norma. ","")&amp;IF(AND(ENTRADA!$C144&lt;&gt;"",C144&lt;PRECIOS!$A$6),"Fecha anterior a la 1ª vigencia de precios. ","")&amp;IF(CD144&lt;0,"Contenedor con pérdida. ",""))</f>
      </c>
    </row>
    <row r="145">
      <c r="A145" s="60">
        <f>IF(B145="","",ROW()-5)</f>
      </c>
      <c r="B145" s="63">
        <f>IF(ENTRADA!$B145="","",ENTRADA!$B145)</f>
      </c>
      <c r="C145" s="64">
        <f>IF(B145="","",ENTRADA!$C145)</f>
      </c>
      <c r="D145" s="65">
        <f>IF(B145="","",DATE(YEAR(C145),MONTH(C145),1))</f>
      </c>
      <c r="E145" s="66">
        <f>IF(B145="","",ENTRADA!$D145&amp;"")</f>
      </c>
      <c r="F145" s="66">
        <f>IF(B145="","",ENTRADA!$Z145&amp;"")</f>
      </c>
      <c r="G145" s="67">
        <f>IF(B145="","",N(ENTRADA!$G145))</f>
      </c>
      <c r="H145" s="67">
        <f>IF(B145="","",N(ENTRADA!$H145))</f>
      </c>
      <c r="I145" s="67">
        <f>IF(B145="","",N(ENTRADA!$I145))</f>
      </c>
      <c r="J145" s="68">
        <f>IF(B145="","",G145+H145+I145)</f>
      </c>
      <c r="K145" s="60">
        <f>IF(B145="","",IFERROR(MATCH(SUMPRODUCT(MAX((PRECIOS!$A$6:$A$55&lt;=C145)*PRECIOS!$A$6:$A$55)),PRECIOS!$A$6:$A$55,0),1))</f>
      </c>
      <c r="L145" s="69">
        <f>IF(B145="","",INDEX(PRECIOS!$A$6:$A$55,K145))</f>
      </c>
      <c r="M145" s="37">
        <f>IF(B145="","",G145*INDEX(PRECIOS!$B$6:$B$55,K145))</f>
      </c>
      <c r="N145" s="37">
        <f>IF(B145="","",H145*INDEX(PRECIOS!$C$6:$C$55,K145))</f>
      </c>
      <c r="O145" s="37">
        <f>IF(B145="","",I145*INDEX(PRECIOS!$D$6:$D$55,K145))</f>
      </c>
      <c r="P145" s="37">
        <f>IF(B145="","",N(ENTRADA!$X145))</f>
      </c>
      <c r="Q145" s="70">
        <f>IF(B145="","",M145+N145+O145+P145)</f>
      </c>
      <c r="R145" s="71">
        <f>IF(B145="","",IF(ENTRADA!$J145="",Std_Viajes_Puerto,ENTRADA!$J145))</f>
      </c>
      <c r="S145" s="37">
        <f>IF(B145="","",R145*INDEX(PRECIOS!$F$6:$F$55,K145))</f>
      </c>
      <c r="T145" s="71">
        <f>IF(B145="","",R145*Litros_Puerto_Viaje)</f>
      </c>
      <c r="U145" s="71">
        <f>IF(B145="","",IF(ENTRADA!$K145="",T145,ENTRADA!$K145))</f>
      </c>
      <c r="V145" s="37">
        <f>IF(B145="","",U145*INDEX(PRECIOS!$E$6:$E$55,K145))</f>
      </c>
      <c r="W145" s="37">
        <f>IF(B145="","",IF(ENTRADA!$L145="",R145*INDEX(PRECIOS!$G$6:$G$55,K145),ENTRADA!$L145))</f>
      </c>
      <c r="X145" s="37">
        <f>IF(B145="","",R145*Km_Puerto_Viaje*INDEX(PRECIOS!$N$6:$N$55,K145))</f>
      </c>
      <c r="Y145" s="70">
        <f>IF(B145="","",S145+V145+W145+X145)</f>
      </c>
      <c r="Z145" s="71">
        <f>IF(B145="","",IF(J145=0,0,ROUNDUP(J145/Rend_Desagrupe,0)))</f>
      </c>
      <c r="AA145" s="71">
        <f>IF(B145="","",IF(ENTRADA!$M145="",Z145,ENTRADA!$M145))</f>
      </c>
      <c r="AB145" s="37">
        <f>IF(B145="","",AA145*INDEX(PRECIOS!$H$6:$H$55,K145))</f>
      </c>
      <c r="AC145" s="37">
        <f>IF(B145="","",IF(E145="ENCI",INDEX(PRECIOS!$J$6:$J$55,K145),IF(E145="A.V",INDEX(PRECIOS!$K$6:$K$55,K145),0)))</f>
      </c>
      <c r="AD145" s="37">
        <f>IF(B145="","",N(ENTRADA!$N145))</f>
      </c>
      <c r="AE145" s="70">
        <f>IF(B145="","",AB145+AC145+AD145)</f>
      </c>
      <c r="AF145" s="71">
        <f>IF(B145="","",IF(G145=0,0,ROUNDUP(G145/Cap_Camion_OCC,0)))</f>
      </c>
      <c r="AG145" s="71">
        <f>IF(B145="","",AF145*L_Dist_OCC)</f>
      </c>
      <c r="AH145" s="71">
        <f>IF(B145="","",IF(ENTRADA!$O145="",AG145,ENTRADA!$O145))</f>
      </c>
      <c r="AI145" s="37">
        <f>IF(B145="","",AH145*INDEX(PRECIOS!$E$6:$E$55,K145))</f>
      </c>
      <c r="AJ145" s="71">
        <f>IF(B145="","",IF(H145=0,0,ROUNDUP(H145/Cap_Camion_CEN,0)))</f>
      </c>
      <c r="AK145" s="71">
        <f>IF(B145="","",AJ145*L_Tras_CEN)</f>
      </c>
      <c r="AL145" s="71">
        <f>IF(B145="","",IF(ENTRADA!$P145="",AK145,ENTRADA!$P145))</f>
      </c>
      <c r="AM145" s="71">
        <f>IF(B145="","",AJ145*L_Dist_CEN)</f>
      </c>
      <c r="AN145" s="71">
        <f>IF(B145="","",IF(ENTRADA!$Q145="",AM145,ENTRADA!$Q145))</f>
      </c>
      <c r="AO145" s="37">
        <f>IF(B145="","",(AL145+AN145)*INDEX(PRECIOS!$E$6:$E$55,K145))</f>
      </c>
      <c r="AP145" s="71">
        <f>IF(B145="","",IF(H145=0,0,ROUNDUP(H145/Rend_Desagrupe_CT,0)))</f>
      </c>
      <c r="AQ145" s="71">
        <f>IF(B145="","",IF(ENTRADA!$R145="",AP145,ENTRADA!$R145))</f>
      </c>
      <c r="AR145" s="37">
        <f>IF(B145="","",AQ145*INDEX(PRECIOS!$I$6:$I$55,K145))</f>
      </c>
      <c r="AS145" s="37">
        <f>IF(B145="","",AO145+AR145)</f>
      </c>
      <c r="AT145" s="71">
        <f>IF(B145="","",IF(I145=0,0,ROUNDUP(I145/Cap_Camion_ORI,0)))</f>
      </c>
      <c r="AU145" s="71">
        <f>IF(B145="","",AT145*L_Tras_ORI)</f>
      </c>
      <c r="AV145" s="71">
        <f>IF(B145="","",IF(ENTRADA!$S145="",AU145,ENTRADA!$S145))</f>
      </c>
      <c r="AW145" s="71">
        <f>IF(B145="","",AT145*L_Dist_ORI)</f>
      </c>
      <c r="AX145" s="71">
        <f>IF(B145="","",IF(ENTRADA!$T145="",AW145,ENTRADA!$T145))</f>
      </c>
      <c r="AY145" s="37">
        <f>IF(B145="","",(AV145+AX145)*INDEX(PRECIOS!$E$6:$E$55,K145))</f>
      </c>
      <c r="AZ145" s="71">
        <f>IF(B145="","",IF(I145=0,0,ROUNDUP(I145/Rend_Desagrupe_CT,0)))</f>
      </c>
      <c r="BA145" s="71">
        <f>IF(B145="","",IF(ENTRADA!$U145="",AZ145,ENTRADA!$U145))</f>
      </c>
      <c r="BB145" s="37">
        <f>IF(B145="","",BA145*INDEX(PRECIOS!$I$6:$I$55,K145))</f>
      </c>
      <c r="BC145" s="37">
        <f>IF(B145="","",AY145+BB145)</f>
      </c>
      <c r="BD145" s="70">
        <f>IF(B145="","",AI145+AS145+BC145)</f>
      </c>
      <c r="BE145" s="37">
        <f>IF(B145="","",IF(Base_Comision="% DEL INGRESO",M145*INDEX(PRECIOS!$L$6:$L$55,K145),G145*INDEX(PRECIOS!$M$6:$M$55,K145)))</f>
      </c>
      <c r="BF145" s="37">
        <f>IF(B145="","",IF(Base_Comision="% DEL INGRESO",N145*INDEX(PRECIOS!$L$6:$L$55,K145),H145*INDEX(PRECIOS!$M$6:$M$55,K145)))</f>
      </c>
      <c r="BG145" s="37">
        <f>IF(B145="","",IF(Base_Comision="% DEL INGRESO",O145*INDEX(PRECIOS!$L$6:$L$55,K145),I145*INDEX(PRECIOS!$M$6:$M$55,K145)))</f>
      </c>
      <c r="BH145" s="70">
        <f>IF(B145="","",BE145+BF145+BG145)</f>
      </c>
      <c r="BI145" s="37">
        <f>IF(B145="","",Q145*Pct_Reclamaciones)</f>
      </c>
      <c r="BJ145" s="37">
        <f>IF(B145="","",Q145*Pct_Banco)</f>
      </c>
      <c r="BK145" s="37">
        <f>IF(B145="","",N(ENTRADA!$V145))</f>
      </c>
      <c r="BL145" s="70">
        <f>IF(B145="","",Y145+AE145+BD145+BH145+BI145+BJ145+BK145)</f>
      </c>
      <c r="BM145" s="70">
        <f>IF(B145="","",Q145-BL145)</f>
      </c>
      <c r="BN145" s="72">
        <f>IF(B145="","",IF(Q145=0,0,BM145/Q145))</f>
      </c>
      <c r="BO145" s="73">
        <f>IF(B145="","",IF(J145=0,0,BM145/J145))</f>
      </c>
      <c r="BP145" s="60">
        <f>IF(B145="","",IFERROR(MATCH(D145,COSTOS_FIJOS!$G$5:$AD$5,0),0))</f>
      </c>
      <c r="BQ145" s="60">
        <f>IF(B145="","",COUNTIFS($D$6:$D$305,D145))</f>
      </c>
      <c r="BR145" s="67">
        <f>IF(B145="","",SUMIFS($J$6:$J$305,$D$6:$D$305,D145))</f>
      </c>
      <c r="BS145" s="72">
        <f>IF(B145="","",IF(Metodo_Prorrateo="KG",IF(BR145=0,0,J145/BR145),1/BQ145))</f>
      </c>
      <c r="BT145" s="37">
        <f>IF(B145="","",IF(BP145=0,0,INDEX(COSTOS_FIJOS!$G$38:$AD$38,BP145))*BS145)</f>
      </c>
      <c r="BU145" s="72">
        <f>IF(B145="","",IF(Metodo_Prorrateo="KG",IF(SUMIFS($G$6:$G$305,$D$6:$D$305,D145)=0,0,G145/SUMIFS($G$6:$G$305,$D$6:$D$305,D145)),IF(G145&gt;0,1/COUNTIFS($D$6:$D$305,D145,$G$6:$G$305,"&gt;0"),0)))</f>
      </c>
      <c r="BV145" s="37">
        <f>IF(B145="","",IF(BP145=0,0,INDEX(COSTOS_FIJOS!$G$39:$AD$39,BP145))*BU145)</f>
      </c>
      <c r="BW145" s="72">
        <f>IF(B145="","",IF(Metodo_Prorrateo="KG",IF(SUMIFS($H$6:$H$305,$D$6:$D$305,D145)=0,0,H145/SUMIFS($H$6:$H$305,$D$6:$D$305,D145)),IF(H145&gt;0,1/COUNTIFS($D$6:$D$305,D145,$H$6:$H$305,"&gt;0"),0)))</f>
      </c>
      <c r="BX145" s="37">
        <f>IF(B145="","",IF(BP145=0,0,INDEX(COSTOS_FIJOS!$G$40:$AD$40,BP145))*BW145)</f>
      </c>
      <c r="BY145" s="72">
        <f>IF(B145="","",IF(Metodo_Prorrateo="KG",IF(SUMIFS($I$6:$I$305,$D$6:$D$305,D145)=0,0,I145/SUMIFS($I$6:$I$305,$D$6:$D$305,D145)),IF(I145&gt;0,1/COUNTIFS($D$6:$D$305,D145,$I$6:$I$305,"&gt;0"),0)))</f>
      </c>
      <c r="BZ145" s="37">
        <f>IF(B145="","",IF(BP145=0,0,INDEX(COSTOS_FIJOS!$G$41:$AD$41,BP145))*BY145)</f>
      </c>
      <c r="CA145" s="70">
        <f>IF(B145="","",BT145+BV145+BX145+BZ145)</f>
      </c>
      <c r="CB145" s="37">
        <f>IF(B145="","",Q145*Imp_Ventas_Serv)</f>
      </c>
      <c r="CC145" s="37">
        <f>IF(B145="","",Q145*Contrib_Territorial)</f>
      </c>
      <c r="CD145" s="70">
        <f>IF(B145="","",BM145-CA145-CB145-CC145)</f>
      </c>
      <c r="CE145" s="37">
        <f>IF(B145="","",MAX(0,CD145)*Imp_Utilidades)</f>
      </c>
      <c r="CF145" s="70">
        <f>IF(B145="","",CD145-CE145)</f>
      </c>
      <c r="CG145" s="72">
        <f>IF(B145="","",IF(Q145=0,0,CF145/Q145))</f>
      </c>
      <c r="CH145" s="73">
        <f>IF(B145="","",IF(J145=0,0,(BL145+CA145+CB145+CC145)/J145))</f>
      </c>
      <c r="CI145" s="73">
        <f>IF(B145="","",IF(J145=0,0,Q145/J145))</f>
      </c>
      <c r="CJ145" s="73">
        <f>IF(B145="","",IF(J145=0,0,CD145/J145))</f>
      </c>
      <c r="CK145" s="37">
        <f>IF(B145="","",Y145+AE145+BK145+BT145)</f>
      </c>
      <c r="CL145" s="37">
        <f>IF(B145="","",IF(J145=0,0,(M145+P145*G145/J145)*(1-Pct_Reclamaciones-Pct_Banco-Imp_Ventas_Serv-Contrib_Territorial)-AI145-BE145-BV145-CK145*G145/J145))</f>
      </c>
      <c r="CM145" s="37">
        <f>IF(B145="","",IF(J145=0,0,(N145+P145*H145/J145)*(1-Pct_Reclamaciones-Pct_Banco-Imp_Ventas_Serv-Contrib_Territorial)-AS145-BF145-BX145-CK145*H145/J145))</f>
      </c>
      <c r="CN145" s="37">
        <f>IF(B145="","",IF(J145=0,0,(O145+P145*I145/J145)*(1-Pct_Reclamaciones-Pct_Banco-Imp_Ventas_Serv-Contrib_Territorial)-BC145-BG145-BZ145-CK145*I145/J145))</f>
      </c>
      <c r="CO145" s="37">
        <f>IF(B145="","",IF(J145=0,0,ROUND(CD145-CL145-CM145-CN145,4)))</f>
      </c>
      <c r="CP145" s="71">
        <f>IF(B145="","",T145+AG145+AK145+AM145+AU145+AW145)</f>
      </c>
      <c r="CQ145" s="71">
        <f>IF(B145="","",U145+AH145+AL145+AN145+AV145+AX145)</f>
      </c>
      <c r="CR145" s="72">
        <f>IF(B145="","",IF(CP145=0,0,CQ145/CP145-1))</f>
      </c>
      <c r="CS145" s="60">
        <f>IF(B145="","",IF(ENTRADA!$Y145="","",ENTRADA!$Y145-C145))</f>
      </c>
      <c r="CT145" s="66">
        <f>IF(B145="","",IF(ENTRADA!$C145="","Falta fecha. ","")&amp;IF(BP145=0,"Mes fuera del rango de COSTOS_FIJOS. ","")&amp;IF(J145=0,"Sin kg. ","")&amp;IF(E145="","Falta transitaria. ","")&amp;IF(AND(T145&gt;0,U145/T145-1&gt;Tolerancia_Comb),"Combustible al puerto "&amp;TEXT(U145/T145-1,"+0%")&amp;" sobre norma. ","")&amp;IF(AND(AG145&gt;0,AH145/AG145-1&gt;Tolerancia_Comb),"Combustible distribución Occidente "&amp;TEXT(AH145/AG145-1,"+0%")&amp;" sobre norma. ","")&amp;IF(AND(AK145&gt;0,AL145/AK145-1&gt;Tolerancia_Comb),"Combustible traslado Centro "&amp;TEXT(AL145/AK145-1,"+0%")&amp;" sobre norma. ","")&amp;IF(AND(AM145&gt;0,AN145/AM145-1&gt;Tolerancia_Comb),"Combustible distribución Centro "&amp;TEXT(AN145/AM145-1,"+0%")&amp;" sobre norma. ","")&amp;IF(AND(AU145&gt;0,AV145/AU145-1&gt;Tolerancia_Comb),"Combustible traslado Oriente "&amp;TEXT(AV145/AU145-1,"+0%")&amp;" sobre norma. ","")&amp;IF(AND(AW145&gt;0,AX145/AW145-1&gt;Tolerancia_Comb),"Combustible distribución Oriente "&amp;TEXT(AX145/AW145-1,"+0%")&amp;" sobre norma. ","")&amp;IF(AND(ENTRADA!$C145&lt;&gt;"",C145&lt;PRECIOS!$A$6),"Fecha anterior a la 1ª vigencia de precios. ","")&amp;IF(CD145&lt;0,"Contenedor con pérdida. ",""))</f>
      </c>
    </row>
    <row r="146">
      <c r="A146" s="60">
        <f>IF(B146="","",ROW()-5)</f>
      </c>
      <c r="B146" s="63">
        <f>IF(ENTRADA!$B146="","",ENTRADA!$B146)</f>
      </c>
      <c r="C146" s="64">
        <f>IF(B146="","",ENTRADA!$C146)</f>
      </c>
      <c r="D146" s="65">
        <f>IF(B146="","",DATE(YEAR(C146),MONTH(C146),1))</f>
      </c>
      <c r="E146" s="66">
        <f>IF(B146="","",ENTRADA!$D146&amp;"")</f>
      </c>
      <c r="F146" s="66">
        <f>IF(B146="","",ENTRADA!$Z146&amp;"")</f>
      </c>
      <c r="G146" s="67">
        <f>IF(B146="","",N(ENTRADA!$G146))</f>
      </c>
      <c r="H146" s="67">
        <f>IF(B146="","",N(ENTRADA!$H146))</f>
      </c>
      <c r="I146" s="67">
        <f>IF(B146="","",N(ENTRADA!$I146))</f>
      </c>
      <c r="J146" s="68">
        <f>IF(B146="","",G146+H146+I146)</f>
      </c>
      <c r="K146" s="60">
        <f>IF(B146="","",IFERROR(MATCH(SUMPRODUCT(MAX((PRECIOS!$A$6:$A$55&lt;=C146)*PRECIOS!$A$6:$A$55)),PRECIOS!$A$6:$A$55,0),1))</f>
      </c>
      <c r="L146" s="69">
        <f>IF(B146="","",INDEX(PRECIOS!$A$6:$A$55,K146))</f>
      </c>
      <c r="M146" s="37">
        <f>IF(B146="","",G146*INDEX(PRECIOS!$B$6:$B$55,K146))</f>
      </c>
      <c r="N146" s="37">
        <f>IF(B146="","",H146*INDEX(PRECIOS!$C$6:$C$55,K146))</f>
      </c>
      <c r="O146" s="37">
        <f>IF(B146="","",I146*INDEX(PRECIOS!$D$6:$D$55,K146))</f>
      </c>
      <c r="P146" s="37">
        <f>IF(B146="","",N(ENTRADA!$X146))</f>
      </c>
      <c r="Q146" s="70">
        <f>IF(B146="","",M146+N146+O146+P146)</f>
      </c>
      <c r="R146" s="71">
        <f>IF(B146="","",IF(ENTRADA!$J146="",Std_Viajes_Puerto,ENTRADA!$J146))</f>
      </c>
      <c r="S146" s="37">
        <f>IF(B146="","",R146*INDEX(PRECIOS!$F$6:$F$55,K146))</f>
      </c>
      <c r="T146" s="71">
        <f>IF(B146="","",R146*Litros_Puerto_Viaje)</f>
      </c>
      <c r="U146" s="71">
        <f>IF(B146="","",IF(ENTRADA!$K146="",T146,ENTRADA!$K146))</f>
      </c>
      <c r="V146" s="37">
        <f>IF(B146="","",U146*INDEX(PRECIOS!$E$6:$E$55,K146))</f>
      </c>
      <c r="W146" s="37">
        <f>IF(B146="","",IF(ENTRADA!$L146="",R146*INDEX(PRECIOS!$G$6:$G$55,K146),ENTRADA!$L146))</f>
      </c>
      <c r="X146" s="37">
        <f>IF(B146="","",R146*Km_Puerto_Viaje*INDEX(PRECIOS!$N$6:$N$55,K146))</f>
      </c>
      <c r="Y146" s="70">
        <f>IF(B146="","",S146+V146+W146+X146)</f>
      </c>
      <c r="Z146" s="71">
        <f>IF(B146="","",IF(J146=0,0,ROUNDUP(J146/Rend_Desagrupe,0)))</f>
      </c>
      <c r="AA146" s="71">
        <f>IF(B146="","",IF(ENTRADA!$M146="",Z146,ENTRADA!$M146))</f>
      </c>
      <c r="AB146" s="37">
        <f>IF(B146="","",AA146*INDEX(PRECIOS!$H$6:$H$55,K146))</f>
      </c>
      <c r="AC146" s="37">
        <f>IF(B146="","",IF(E146="ENCI",INDEX(PRECIOS!$J$6:$J$55,K146),IF(E146="A.V",INDEX(PRECIOS!$K$6:$K$55,K146),0)))</f>
      </c>
      <c r="AD146" s="37">
        <f>IF(B146="","",N(ENTRADA!$N146))</f>
      </c>
      <c r="AE146" s="70">
        <f>IF(B146="","",AB146+AC146+AD146)</f>
      </c>
      <c r="AF146" s="71">
        <f>IF(B146="","",IF(G146=0,0,ROUNDUP(G146/Cap_Camion_OCC,0)))</f>
      </c>
      <c r="AG146" s="71">
        <f>IF(B146="","",AF146*L_Dist_OCC)</f>
      </c>
      <c r="AH146" s="71">
        <f>IF(B146="","",IF(ENTRADA!$O146="",AG146,ENTRADA!$O146))</f>
      </c>
      <c r="AI146" s="37">
        <f>IF(B146="","",AH146*INDEX(PRECIOS!$E$6:$E$55,K146))</f>
      </c>
      <c r="AJ146" s="71">
        <f>IF(B146="","",IF(H146=0,0,ROUNDUP(H146/Cap_Camion_CEN,0)))</f>
      </c>
      <c r="AK146" s="71">
        <f>IF(B146="","",AJ146*L_Tras_CEN)</f>
      </c>
      <c r="AL146" s="71">
        <f>IF(B146="","",IF(ENTRADA!$P146="",AK146,ENTRADA!$P146))</f>
      </c>
      <c r="AM146" s="71">
        <f>IF(B146="","",AJ146*L_Dist_CEN)</f>
      </c>
      <c r="AN146" s="71">
        <f>IF(B146="","",IF(ENTRADA!$Q146="",AM146,ENTRADA!$Q146))</f>
      </c>
      <c r="AO146" s="37">
        <f>IF(B146="","",(AL146+AN146)*INDEX(PRECIOS!$E$6:$E$55,K146))</f>
      </c>
      <c r="AP146" s="71">
        <f>IF(B146="","",IF(H146=0,0,ROUNDUP(H146/Rend_Desagrupe_CT,0)))</f>
      </c>
      <c r="AQ146" s="71">
        <f>IF(B146="","",IF(ENTRADA!$R146="",AP146,ENTRADA!$R146))</f>
      </c>
      <c r="AR146" s="37">
        <f>IF(B146="","",AQ146*INDEX(PRECIOS!$I$6:$I$55,K146))</f>
      </c>
      <c r="AS146" s="37">
        <f>IF(B146="","",AO146+AR146)</f>
      </c>
      <c r="AT146" s="71">
        <f>IF(B146="","",IF(I146=0,0,ROUNDUP(I146/Cap_Camion_ORI,0)))</f>
      </c>
      <c r="AU146" s="71">
        <f>IF(B146="","",AT146*L_Tras_ORI)</f>
      </c>
      <c r="AV146" s="71">
        <f>IF(B146="","",IF(ENTRADA!$S146="",AU146,ENTRADA!$S146))</f>
      </c>
      <c r="AW146" s="71">
        <f>IF(B146="","",AT146*L_Dist_ORI)</f>
      </c>
      <c r="AX146" s="71">
        <f>IF(B146="","",IF(ENTRADA!$T146="",AW146,ENTRADA!$T146))</f>
      </c>
      <c r="AY146" s="37">
        <f>IF(B146="","",(AV146+AX146)*INDEX(PRECIOS!$E$6:$E$55,K146))</f>
      </c>
      <c r="AZ146" s="71">
        <f>IF(B146="","",IF(I146=0,0,ROUNDUP(I146/Rend_Desagrupe_CT,0)))</f>
      </c>
      <c r="BA146" s="71">
        <f>IF(B146="","",IF(ENTRADA!$U146="",AZ146,ENTRADA!$U146))</f>
      </c>
      <c r="BB146" s="37">
        <f>IF(B146="","",BA146*INDEX(PRECIOS!$I$6:$I$55,K146))</f>
      </c>
      <c r="BC146" s="37">
        <f>IF(B146="","",AY146+BB146)</f>
      </c>
      <c r="BD146" s="70">
        <f>IF(B146="","",AI146+AS146+BC146)</f>
      </c>
      <c r="BE146" s="37">
        <f>IF(B146="","",IF(Base_Comision="% DEL INGRESO",M146*INDEX(PRECIOS!$L$6:$L$55,K146),G146*INDEX(PRECIOS!$M$6:$M$55,K146)))</f>
      </c>
      <c r="BF146" s="37">
        <f>IF(B146="","",IF(Base_Comision="% DEL INGRESO",N146*INDEX(PRECIOS!$L$6:$L$55,K146),H146*INDEX(PRECIOS!$M$6:$M$55,K146)))</f>
      </c>
      <c r="BG146" s="37">
        <f>IF(B146="","",IF(Base_Comision="% DEL INGRESO",O146*INDEX(PRECIOS!$L$6:$L$55,K146),I146*INDEX(PRECIOS!$M$6:$M$55,K146)))</f>
      </c>
      <c r="BH146" s="70">
        <f>IF(B146="","",BE146+BF146+BG146)</f>
      </c>
      <c r="BI146" s="37">
        <f>IF(B146="","",Q146*Pct_Reclamaciones)</f>
      </c>
      <c r="BJ146" s="37">
        <f>IF(B146="","",Q146*Pct_Banco)</f>
      </c>
      <c r="BK146" s="37">
        <f>IF(B146="","",N(ENTRADA!$V146))</f>
      </c>
      <c r="BL146" s="70">
        <f>IF(B146="","",Y146+AE146+BD146+BH146+BI146+BJ146+BK146)</f>
      </c>
      <c r="BM146" s="70">
        <f>IF(B146="","",Q146-BL146)</f>
      </c>
      <c r="BN146" s="72">
        <f>IF(B146="","",IF(Q146=0,0,BM146/Q146))</f>
      </c>
      <c r="BO146" s="73">
        <f>IF(B146="","",IF(J146=0,0,BM146/J146))</f>
      </c>
      <c r="BP146" s="60">
        <f>IF(B146="","",IFERROR(MATCH(D146,COSTOS_FIJOS!$G$5:$AD$5,0),0))</f>
      </c>
      <c r="BQ146" s="60">
        <f>IF(B146="","",COUNTIFS($D$6:$D$305,D146))</f>
      </c>
      <c r="BR146" s="67">
        <f>IF(B146="","",SUMIFS($J$6:$J$305,$D$6:$D$305,D146))</f>
      </c>
      <c r="BS146" s="72">
        <f>IF(B146="","",IF(Metodo_Prorrateo="KG",IF(BR146=0,0,J146/BR146),1/BQ146))</f>
      </c>
      <c r="BT146" s="37">
        <f>IF(B146="","",IF(BP146=0,0,INDEX(COSTOS_FIJOS!$G$38:$AD$38,BP146))*BS146)</f>
      </c>
      <c r="BU146" s="72">
        <f>IF(B146="","",IF(Metodo_Prorrateo="KG",IF(SUMIFS($G$6:$G$305,$D$6:$D$305,D146)=0,0,G146/SUMIFS($G$6:$G$305,$D$6:$D$305,D146)),IF(G146&gt;0,1/COUNTIFS($D$6:$D$305,D146,$G$6:$G$305,"&gt;0"),0)))</f>
      </c>
      <c r="BV146" s="37">
        <f>IF(B146="","",IF(BP146=0,0,INDEX(COSTOS_FIJOS!$G$39:$AD$39,BP146))*BU146)</f>
      </c>
      <c r="BW146" s="72">
        <f>IF(B146="","",IF(Metodo_Prorrateo="KG",IF(SUMIFS($H$6:$H$305,$D$6:$D$305,D146)=0,0,H146/SUMIFS($H$6:$H$305,$D$6:$D$305,D146)),IF(H146&gt;0,1/COUNTIFS($D$6:$D$305,D146,$H$6:$H$305,"&gt;0"),0)))</f>
      </c>
      <c r="BX146" s="37">
        <f>IF(B146="","",IF(BP146=0,0,INDEX(COSTOS_FIJOS!$G$40:$AD$40,BP146))*BW146)</f>
      </c>
      <c r="BY146" s="72">
        <f>IF(B146="","",IF(Metodo_Prorrateo="KG",IF(SUMIFS($I$6:$I$305,$D$6:$D$305,D146)=0,0,I146/SUMIFS($I$6:$I$305,$D$6:$D$305,D146)),IF(I146&gt;0,1/COUNTIFS($D$6:$D$305,D146,$I$6:$I$305,"&gt;0"),0)))</f>
      </c>
      <c r="BZ146" s="37">
        <f>IF(B146="","",IF(BP146=0,0,INDEX(COSTOS_FIJOS!$G$41:$AD$41,BP146))*BY146)</f>
      </c>
      <c r="CA146" s="70">
        <f>IF(B146="","",BT146+BV146+BX146+BZ146)</f>
      </c>
      <c r="CB146" s="37">
        <f>IF(B146="","",Q146*Imp_Ventas_Serv)</f>
      </c>
      <c r="CC146" s="37">
        <f>IF(B146="","",Q146*Contrib_Territorial)</f>
      </c>
      <c r="CD146" s="70">
        <f>IF(B146="","",BM146-CA146-CB146-CC146)</f>
      </c>
      <c r="CE146" s="37">
        <f>IF(B146="","",MAX(0,CD146)*Imp_Utilidades)</f>
      </c>
      <c r="CF146" s="70">
        <f>IF(B146="","",CD146-CE146)</f>
      </c>
      <c r="CG146" s="72">
        <f>IF(B146="","",IF(Q146=0,0,CF146/Q146))</f>
      </c>
      <c r="CH146" s="73">
        <f>IF(B146="","",IF(J146=0,0,(BL146+CA146+CB146+CC146)/J146))</f>
      </c>
      <c r="CI146" s="73">
        <f>IF(B146="","",IF(J146=0,0,Q146/J146))</f>
      </c>
      <c r="CJ146" s="73">
        <f>IF(B146="","",IF(J146=0,0,CD146/J146))</f>
      </c>
      <c r="CK146" s="37">
        <f>IF(B146="","",Y146+AE146+BK146+BT146)</f>
      </c>
      <c r="CL146" s="37">
        <f>IF(B146="","",IF(J146=0,0,(M146+P146*G146/J146)*(1-Pct_Reclamaciones-Pct_Banco-Imp_Ventas_Serv-Contrib_Territorial)-AI146-BE146-BV146-CK146*G146/J146))</f>
      </c>
      <c r="CM146" s="37">
        <f>IF(B146="","",IF(J146=0,0,(N146+P146*H146/J146)*(1-Pct_Reclamaciones-Pct_Banco-Imp_Ventas_Serv-Contrib_Territorial)-AS146-BF146-BX146-CK146*H146/J146))</f>
      </c>
      <c r="CN146" s="37">
        <f>IF(B146="","",IF(J146=0,0,(O146+P146*I146/J146)*(1-Pct_Reclamaciones-Pct_Banco-Imp_Ventas_Serv-Contrib_Territorial)-BC146-BG146-BZ146-CK146*I146/J146))</f>
      </c>
      <c r="CO146" s="37">
        <f>IF(B146="","",IF(J146=0,0,ROUND(CD146-CL146-CM146-CN146,4)))</f>
      </c>
      <c r="CP146" s="71">
        <f>IF(B146="","",T146+AG146+AK146+AM146+AU146+AW146)</f>
      </c>
      <c r="CQ146" s="71">
        <f>IF(B146="","",U146+AH146+AL146+AN146+AV146+AX146)</f>
      </c>
      <c r="CR146" s="72">
        <f>IF(B146="","",IF(CP146=0,0,CQ146/CP146-1))</f>
      </c>
      <c r="CS146" s="60">
        <f>IF(B146="","",IF(ENTRADA!$Y146="","",ENTRADA!$Y146-C146))</f>
      </c>
      <c r="CT146" s="66">
        <f>IF(B146="","",IF(ENTRADA!$C146="","Falta fecha. ","")&amp;IF(BP146=0,"Mes fuera del rango de COSTOS_FIJOS. ","")&amp;IF(J146=0,"Sin kg. ","")&amp;IF(E146="","Falta transitaria. ","")&amp;IF(AND(T146&gt;0,U146/T146-1&gt;Tolerancia_Comb),"Combustible al puerto "&amp;TEXT(U146/T146-1,"+0%")&amp;" sobre norma. ","")&amp;IF(AND(AG146&gt;0,AH146/AG146-1&gt;Tolerancia_Comb),"Combustible distribución Occidente "&amp;TEXT(AH146/AG146-1,"+0%")&amp;" sobre norma. ","")&amp;IF(AND(AK146&gt;0,AL146/AK146-1&gt;Tolerancia_Comb),"Combustible traslado Centro "&amp;TEXT(AL146/AK146-1,"+0%")&amp;" sobre norma. ","")&amp;IF(AND(AM146&gt;0,AN146/AM146-1&gt;Tolerancia_Comb),"Combustible distribución Centro "&amp;TEXT(AN146/AM146-1,"+0%")&amp;" sobre norma. ","")&amp;IF(AND(AU146&gt;0,AV146/AU146-1&gt;Tolerancia_Comb),"Combustible traslado Oriente "&amp;TEXT(AV146/AU146-1,"+0%")&amp;" sobre norma. ","")&amp;IF(AND(AW146&gt;0,AX146/AW146-1&gt;Tolerancia_Comb),"Combustible distribución Oriente "&amp;TEXT(AX146/AW146-1,"+0%")&amp;" sobre norma. ","")&amp;IF(AND(ENTRADA!$C146&lt;&gt;"",C146&lt;PRECIOS!$A$6),"Fecha anterior a la 1ª vigencia de precios. ","")&amp;IF(CD146&lt;0,"Contenedor con pérdida. ",""))</f>
      </c>
    </row>
    <row r="147">
      <c r="A147" s="60">
        <f>IF(B147="","",ROW()-5)</f>
      </c>
      <c r="B147" s="63">
        <f>IF(ENTRADA!$B147="","",ENTRADA!$B147)</f>
      </c>
      <c r="C147" s="64">
        <f>IF(B147="","",ENTRADA!$C147)</f>
      </c>
      <c r="D147" s="65">
        <f>IF(B147="","",DATE(YEAR(C147),MONTH(C147),1))</f>
      </c>
      <c r="E147" s="66">
        <f>IF(B147="","",ENTRADA!$D147&amp;"")</f>
      </c>
      <c r="F147" s="66">
        <f>IF(B147="","",ENTRADA!$Z147&amp;"")</f>
      </c>
      <c r="G147" s="67">
        <f>IF(B147="","",N(ENTRADA!$G147))</f>
      </c>
      <c r="H147" s="67">
        <f>IF(B147="","",N(ENTRADA!$H147))</f>
      </c>
      <c r="I147" s="67">
        <f>IF(B147="","",N(ENTRADA!$I147))</f>
      </c>
      <c r="J147" s="68">
        <f>IF(B147="","",G147+H147+I147)</f>
      </c>
      <c r="K147" s="60">
        <f>IF(B147="","",IFERROR(MATCH(SUMPRODUCT(MAX((PRECIOS!$A$6:$A$55&lt;=C147)*PRECIOS!$A$6:$A$55)),PRECIOS!$A$6:$A$55,0),1))</f>
      </c>
      <c r="L147" s="69">
        <f>IF(B147="","",INDEX(PRECIOS!$A$6:$A$55,K147))</f>
      </c>
      <c r="M147" s="37">
        <f>IF(B147="","",G147*INDEX(PRECIOS!$B$6:$B$55,K147))</f>
      </c>
      <c r="N147" s="37">
        <f>IF(B147="","",H147*INDEX(PRECIOS!$C$6:$C$55,K147))</f>
      </c>
      <c r="O147" s="37">
        <f>IF(B147="","",I147*INDEX(PRECIOS!$D$6:$D$55,K147))</f>
      </c>
      <c r="P147" s="37">
        <f>IF(B147="","",N(ENTRADA!$X147))</f>
      </c>
      <c r="Q147" s="70">
        <f>IF(B147="","",M147+N147+O147+P147)</f>
      </c>
      <c r="R147" s="71">
        <f>IF(B147="","",IF(ENTRADA!$J147="",Std_Viajes_Puerto,ENTRADA!$J147))</f>
      </c>
      <c r="S147" s="37">
        <f>IF(B147="","",R147*INDEX(PRECIOS!$F$6:$F$55,K147))</f>
      </c>
      <c r="T147" s="71">
        <f>IF(B147="","",R147*Litros_Puerto_Viaje)</f>
      </c>
      <c r="U147" s="71">
        <f>IF(B147="","",IF(ENTRADA!$K147="",T147,ENTRADA!$K147))</f>
      </c>
      <c r="V147" s="37">
        <f>IF(B147="","",U147*INDEX(PRECIOS!$E$6:$E$55,K147))</f>
      </c>
      <c r="W147" s="37">
        <f>IF(B147="","",IF(ENTRADA!$L147="",R147*INDEX(PRECIOS!$G$6:$G$55,K147),ENTRADA!$L147))</f>
      </c>
      <c r="X147" s="37">
        <f>IF(B147="","",R147*Km_Puerto_Viaje*INDEX(PRECIOS!$N$6:$N$55,K147))</f>
      </c>
      <c r="Y147" s="70">
        <f>IF(B147="","",S147+V147+W147+X147)</f>
      </c>
      <c r="Z147" s="71">
        <f>IF(B147="","",IF(J147=0,0,ROUNDUP(J147/Rend_Desagrupe,0)))</f>
      </c>
      <c r="AA147" s="71">
        <f>IF(B147="","",IF(ENTRADA!$M147="",Z147,ENTRADA!$M147))</f>
      </c>
      <c r="AB147" s="37">
        <f>IF(B147="","",AA147*INDEX(PRECIOS!$H$6:$H$55,K147))</f>
      </c>
      <c r="AC147" s="37">
        <f>IF(B147="","",IF(E147="ENCI",INDEX(PRECIOS!$J$6:$J$55,K147),IF(E147="A.V",INDEX(PRECIOS!$K$6:$K$55,K147),0)))</f>
      </c>
      <c r="AD147" s="37">
        <f>IF(B147="","",N(ENTRADA!$N147))</f>
      </c>
      <c r="AE147" s="70">
        <f>IF(B147="","",AB147+AC147+AD147)</f>
      </c>
      <c r="AF147" s="71">
        <f>IF(B147="","",IF(G147=0,0,ROUNDUP(G147/Cap_Camion_OCC,0)))</f>
      </c>
      <c r="AG147" s="71">
        <f>IF(B147="","",AF147*L_Dist_OCC)</f>
      </c>
      <c r="AH147" s="71">
        <f>IF(B147="","",IF(ENTRADA!$O147="",AG147,ENTRADA!$O147))</f>
      </c>
      <c r="AI147" s="37">
        <f>IF(B147="","",AH147*INDEX(PRECIOS!$E$6:$E$55,K147))</f>
      </c>
      <c r="AJ147" s="71">
        <f>IF(B147="","",IF(H147=0,0,ROUNDUP(H147/Cap_Camion_CEN,0)))</f>
      </c>
      <c r="AK147" s="71">
        <f>IF(B147="","",AJ147*L_Tras_CEN)</f>
      </c>
      <c r="AL147" s="71">
        <f>IF(B147="","",IF(ENTRADA!$P147="",AK147,ENTRADA!$P147))</f>
      </c>
      <c r="AM147" s="71">
        <f>IF(B147="","",AJ147*L_Dist_CEN)</f>
      </c>
      <c r="AN147" s="71">
        <f>IF(B147="","",IF(ENTRADA!$Q147="",AM147,ENTRADA!$Q147))</f>
      </c>
      <c r="AO147" s="37">
        <f>IF(B147="","",(AL147+AN147)*INDEX(PRECIOS!$E$6:$E$55,K147))</f>
      </c>
      <c r="AP147" s="71">
        <f>IF(B147="","",IF(H147=0,0,ROUNDUP(H147/Rend_Desagrupe_CT,0)))</f>
      </c>
      <c r="AQ147" s="71">
        <f>IF(B147="","",IF(ENTRADA!$R147="",AP147,ENTRADA!$R147))</f>
      </c>
      <c r="AR147" s="37">
        <f>IF(B147="","",AQ147*INDEX(PRECIOS!$I$6:$I$55,K147))</f>
      </c>
      <c r="AS147" s="37">
        <f>IF(B147="","",AO147+AR147)</f>
      </c>
      <c r="AT147" s="71">
        <f>IF(B147="","",IF(I147=0,0,ROUNDUP(I147/Cap_Camion_ORI,0)))</f>
      </c>
      <c r="AU147" s="71">
        <f>IF(B147="","",AT147*L_Tras_ORI)</f>
      </c>
      <c r="AV147" s="71">
        <f>IF(B147="","",IF(ENTRADA!$S147="",AU147,ENTRADA!$S147))</f>
      </c>
      <c r="AW147" s="71">
        <f>IF(B147="","",AT147*L_Dist_ORI)</f>
      </c>
      <c r="AX147" s="71">
        <f>IF(B147="","",IF(ENTRADA!$T147="",AW147,ENTRADA!$T147))</f>
      </c>
      <c r="AY147" s="37">
        <f>IF(B147="","",(AV147+AX147)*INDEX(PRECIOS!$E$6:$E$55,K147))</f>
      </c>
      <c r="AZ147" s="71">
        <f>IF(B147="","",IF(I147=0,0,ROUNDUP(I147/Rend_Desagrupe_CT,0)))</f>
      </c>
      <c r="BA147" s="71">
        <f>IF(B147="","",IF(ENTRADA!$U147="",AZ147,ENTRADA!$U147))</f>
      </c>
      <c r="BB147" s="37">
        <f>IF(B147="","",BA147*INDEX(PRECIOS!$I$6:$I$55,K147))</f>
      </c>
      <c r="BC147" s="37">
        <f>IF(B147="","",AY147+BB147)</f>
      </c>
      <c r="BD147" s="70">
        <f>IF(B147="","",AI147+AS147+BC147)</f>
      </c>
      <c r="BE147" s="37">
        <f>IF(B147="","",IF(Base_Comision="% DEL INGRESO",M147*INDEX(PRECIOS!$L$6:$L$55,K147),G147*INDEX(PRECIOS!$M$6:$M$55,K147)))</f>
      </c>
      <c r="BF147" s="37">
        <f>IF(B147="","",IF(Base_Comision="% DEL INGRESO",N147*INDEX(PRECIOS!$L$6:$L$55,K147),H147*INDEX(PRECIOS!$M$6:$M$55,K147)))</f>
      </c>
      <c r="BG147" s="37">
        <f>IF(B147="","",IF(Base_Comision="% DEL INGRESO",O147*INDEX(PRECIOS!$L$6:$L$55,K147),I147*INDEX(PRECIOS!$M$6:$M$55,K147)))</f>
      </c>
      <c r="BH147" s="70">
        <f>IF(B147="","",BE147+BF147+BG147)</f>
      </c>
      <c r="BI147" s="37">
        <f>IF(B147="","",Q147*Pct_Reclamaciones)</f>
      </c>
      <c r="BJ147" s="37">
        <f>IF(B147="","",Q147*Pct_Banco)</f>
      </c>
      <c r="BK147" s="37">
        <f>IF(B147="","",N(ENTRADA!$V147))</f>
      </c>
      <c r="BL147" s="70">
        <f>IF(B147="","",Y147+AE147+BD147+BH147+BI147+BJ147+BK147)</f>
      </c>
      <c r="BM147" s="70">
        <f>IF(B147="","",Q147-BL147)</f>
      </c>
      <c r="BN147" s="72">
        <f>IF(B147="","",IF(Q147=0,0,BM147/Q147))</f>
      </c>
      <c r="BO147" s="73">
        <f>IF(B147="","",IF(J147=0,0,BM147/J147))</f>
      </c>
      <c r="BP147" s="60">
        <f>IF(B147="","",IFERROR(MATCH(D147,COSTOS_FIJOS!$G$5:$AD$5,0),0))</f>
      </c>
      <c r="BQ147" s="60">
        <f>IF(B147="","",COUNTIFS($D$6:$D$305,D147))</f>
      </c>
      <c r="BR147" s="67">
        <f>IF(B147="","",SUMIFS($J$6:$J$305,$D$6:$D$305,D147))</f>
      </c>
      <c r="BS147" s="72">
        <f>IF(B147="","",IF(Metodo_Prorrateo="KG",IF(BR147=0,0,J147/BR147),1/BQ147))</f>
      </c>
      <c r="BT147" s="37">
        <f>IF(B147="","",IF(BP147=0,0,INDEX(COSTOS_FIJOS!$G$38:$AD$38,BP147))*BS147)</f>
      </c>
      <c r="BU147" s="72">
        <f>IF(B147="","",IF(Metodo_Prorrateo="KG",IF(SUMIFS($G$6:$G$305,$D$6:$D$305,D147)=0,0,G147/SUMIFS($G$6:$G$305,$D$6:$D$305,D147)),IF(G147&gt;0,1/COUNTIFS($D$6:$D$305,D147,$G$6:$G$305,"&gt;0"),0)))</f>
      </c>
      <c r="BV147" s="37">
        <f>IF(B147="","",IF(BP147=0,0,INDEX(COSTOS_FIJOS!$G$39:$AD$39,BP147))*BU147)</f>
      </c>
      <c r="BW147" s="72">
        <f>IF(B147="","",IF(Metodo_Prorrateo="KG",IF(SUMIFS($H$6:$H$305,$D$6:$D$305,D147)=0,0,H147/SUMIFS($H$6:$H$305,$D$6:$D$305,D147)),IF(H147&gt;0,1/COUNTIFS($D$6:$D$305,D147,$H$6:$H$305,"&gt;0"),0)))</f>
      </c>
      <c r="BX147" s="37">
        <f>IF(B147="","",IF(BP147=0,0,INDEX(COSTOS_FIJOS!$G$40:$AD$40,BP147))*BW147)</f>
      </c>
      <c r="BY147" s="72">
        <f>IF(B147="","",IF(Metodo_Prorrateo="KG",IF(SUMIFS($I$6:$I$305,$D$6:$D$305,D147)=0,0,I147/SUMIFS($I$6:$I$305,$D$6:$D$305,D147)),IF(I147&gt;0,1/COUNTIFS($D$6:$D$305,D147,$I$6:$I$305,"&gt;0"),0)))</f>
      </c>
      <c r="BZ147" s="37">
        <f>IF(B147="","",IF(BP147=0,0,INDEX(COSTOS_FIJOS!$G$41:$AD$41,BP147))*BY147)</f>
      </c>
      <c r="CA147" s="70">
        <f>IF(B147="","",BT147+BV147+BX147+BZ147)</f>
      </c>
      <c r="CB147" s="37">
        <f>IF(B147="","",Q147*Imp_Ventas_Serv)</f>
      </c>
      <c r="CC147" s="37">
        <f>IF(B147="","",Q147*Contrib_Territorial)</f>
      </c>
      <c r="CD147" s="70">
        <f>IF(B147="","",BM147-CA147-CB147-CC147)</f>
      </c>
      <c r="CE147" s="37">
        <f>IF(B147="","",MAX(0,CD147)*Imp_Utilidades)</f>
      </c>
      <c r="CF147" s="70">
        <f>IF(B147="","",CD147-CE147)</f>
      </c>
      <c r="CG147" s="72">
        <f>IF(B147="","",IF(Q147=0,0,CF147/Q147))</f>
      </c>
      <c r="CH147" s="73">
        <f>IF(B147="","",IF(J147=0,0,(BL147+CA147+CB147+CC147)/J147))</f>
      </c>
      <c r="CI147" s="73">
        <f>IF(B147="","",IF(J147=0,0,Q147/J147))</f>
      </c>
      <c r="CJ147" s="73">
        <f>IF(B147="","",IF(J147=0,0,CD147/J147))</f>
      </c>
      <c r="CK147" s="37">
        <f>IF(B147="","",Y147+AE147+BK147+BT147)</f>
      </c>
      <c r="CL147" s="37">
        <f>IF(B147="","",IF(J147=0,0,(M147+P147*G147/J147)*(1-Pct_Reclamaciones-Pct_Banco-Imp_Ventas_Serv-Contrib_Territorial)-AI147-BE147-BV147-CK147*G147/J147))</f>
      </c>
      <c r="CM147" s="37">
        <f>IF(B147="","",IF(J147=0,0,(N147+P147*H147/J147)*(1-Pct_Reclamaciones-Pct_Banco-Imp_Ventas_Serv-Contrib_Territorial)-AS147-BF147-BX147-CK147*H147/J147))</f>
      </c>
      <c r="CN147" s="37">
        <f>IF(B147="","",IF(J147=0,0,(O147+P147*I147/J147)*(1-Pct_Reclamaciones-Pct_Banco-Imp_Ventas_Serv-Contrib_Territorial)-BC147-BG147-BZ147-CK147*I147/J147))</f>
      </c>
      <c r="CO147" s="37">
        <f>IF(B147="","",IF(J147=0,0,ROUND(CD147-CL147-CM147-CN147,4)))</f>
      </c>
      <c r="CP147" s="71">
        <f>IF(B147="","",T147+AG147+AK147+AM147+AU147+AW147)</f>
      </c>
      <c r="CQ147" s="71">
        <f>IF(B147="","",U147+AH147+AL147+AN147+AV147+AX147)</f>
      </c>
      <c r="CR147" s="72">
        <f>IF(B147="","",IF(CP147=0,0,CQ147/CP147-1))</f>
      </c>
      <c r="CS147" s="60">
        <f>IF(B147="","",IF(ENTRADA!$Y147="","",ENTRADA!$Y147-C147))</f>
      </c>
      <c r="CT147" s="66">
        <f>IF(B147="","",IF(ENTRADA!$C147="","Falta fecha. ","")&amp;IF(BP147=0,"Mes fuera del rango de COSTOS_FIJOS. ","")&amp;IF(J147=0,"Sin kg. ","")&amp;IF(E147="","Falta transitaria. ","")&amp;IF(AND(T147&gt;0,U147/T147-1&gt;Tolerancia_Comb),"Combustible al puerto "&amp;TEXT(U147/T147-1,"+0%")&amp;" sobre norma. ","")&amp;IF(AND(AG147&gt;0,AH147/AG147-1&gt;Tolerancia_Comb),"Combustible distribución Occidente "&amp;TEXT(AH147/AG147-1,"+0%")&amp;" sobre norma. ","")&amp;IF(AND(AK147&gt;0,AL147/AK147-1&gt;Tolerancia_Comb),"Combustible traslado Centro "&amp;TEXT(AL147/AK147-1,"+0%")&amp;" sobre norma. ","")&amp;IF(AND(AM147&gt;0,AN147/AM147-1&gt;Tolerancia_Comb),"Combustible distribución Centro "&amp;TEXT(AN147/AM147-1,"+0%")&amp;" sobre norma. ","")&amp;IF(AND(AU147&gt;0,AV147/AU147-1&gt;Tolerancia_Comb),"Combustible traslado Oriente "&amp;TEXT(AV147/AU147-1,"+0%")&amp;" sobre norma. ","")&amp;IF(AND(AW147&gt;0,AX147/AW147-1&gt;Tolerancia_Comb),"Combustible distribución Oriente "&amp;TEXT(AX147/AW147-1,"+0%")&amp;" sobre norma. ","")&amp;IF(AND(ENTRADA!$C147&lt;&gt;"",C147&lt;PRECIOS!$A$6),"Fecha anterior a la 1ª vigencia de precios. ","")&amp;IF(CD147&lt;0,"Contenedor con pérdida. ",""))</f>
      </c>
    </row>
    <row r="148">
      <c r="A148" s="60">
        <f>IF(B148="","",ROW()-5)</f>
      </c>
      <c r="B148" s="63">
        <f>IF(ENTRADA!$B148="","",ENTRADA!$B148)</f>
      </c>
      <c r="C148" s="64">
        <f>IF(B148="","",ENTRADA!$C148)</f>
      </c>
      <c r="D148" s="65">
        <f>IF(B148="","",DATE(YEAR(C148),MONTH(C148),1))</f>
      </c>
      <c r="E148" s="66">
        <f>IF(B148="","",ENTRADA!$D148&amp;"")</f>
      </c>
      <c r="F148" s="66">
        <f>IF(B148="","",ENTRADA!$Z148&amp;"")</f>
      </c>
      <c r="G148" s="67">
        <f>IF(B148="","",N(ENTRADA!$G148))</f>
      </c>
      <c r="H148" s="67">
        <f>IF(B148="","",N(ENTRADA!$H148))</f>
      </c>
      <c r="I148" s="67">
        <f>IF(B148="","",N(ENTRADA!$I148))</f>
      </c>
      <c r="J148" s="68">
        <f>IF(B148="","",G148+H148+I148)</f>
      </c>
      <c r="K148" s="60">
        <f>IF(B148="","",IFERROR(MATCH(SUMPRODUCT(MAX((PRECIOS!$A$6:$A$55&lt;=C148)*PRECIOS!$A$6:$A$55)),PRECIOS!$A$6:$A$55,0),1))</f>
      </c>
      <c r="L148" s="69">
        <f>IF(B148="","",INDEX(PRECIOS!$A$6:$A$55,K148))</f>
      </c>
      <c r="M148" s="37">
        <f>IF(B148="","",G148*INDEX(PRECIOS!$B$6:$B$55,K148))</f>
      </c>
      <c r="N148" s="37">
        <f>IF(B148="","",H148*INDEX(PRECIOS!$C$6:$C$55,K148))</f>
      </c>
      <c r="O148" s="37">
        <f>IF(B148="","",I148*INDEX(PRECIOS!$D$6:$D$55,K148))</f>
      </c>
      <c r="P148" s="37">
        <f>IF(B148="","",N(ENTRADA!$X148))</f>
      </c>
      <c r="Q148" s="70">
        <f>IF(B148="","",M148+N148+O148+P148)</f>
      </c>
      <c r="R148" s="71">
        <f>IF(B148="","",IF(ENTRADA!$J148="",Std_Viajes_Puerto,ENTRADA!$J148))</f>
      </c>
      <c r="S148" s="37">
        <f>IF(B148="","",R148*INDEX(PRECIOS!$F$6:$F$55,K148))</f>
      </c>
      <c r="T148" s="71">
        <f>IF(B148="","",R148*Litros_Puerto_Viaje)</f>
      </c>
      <c r="U148" s="71">
        <f>IF(B148="","",IF(ENTRADA!$K148="",T148,ENTRADA!$K148))</f>
      </c>
      <c r="V148" s="37">
        <f>IF(B148="","",U148*INDEX(PRECIOS!$E$6:$E$55,K148))</f>
      </c>
      <c r="W148" s="37">
        <f>IF(B148="","",IF(ENTRADA!$L148="",R148*INDEX(PRECIOS!$G$6:$G$55,K148),ENTRADA!$L148))</f>
      </c>
      <c r="X148" s="37">
        <f>IF(B148="","",R148*Km_Puerto_Viaje*INDEX(PRECIOS!$N$6:$N$55,K148))</f>
      </c>
      <c r="Y148" s="70">
        <f>IF(B148="","",S148+V148+W148+X148)</f>
      </c>
      <c r="Z148" s="71">
        <f>IF(B148="","",IF(J148=0,0,ROUNDUP(J148/Rend_Desagrupe,0)))</f>
      </c>
      <c r="AA148" s="71">
        <f>IF(B148="","",IF(ENTRADA!$M148="",Z148,ENTRADA!$M148))</f>
      </c>
      <c r="AB148" s="37">
        <f>IF(B148="","",AA148*INDEX(PRECIOS!$H$6:$H$55,K148))</f>
      </c>
      <c r="AC148" s="37">
        <f>IF(B148="","",IF(E148="ENCI",INDEX(PRECIOS!$J$6:$J$55,K148),IF(E148="A.V",INDEX(PRECIOS!$K$6:$K$55,K148),0)))</f>
      </c>
      <c r="AD148" s="37">
        <f>IF(B148="","",N(ENTRADA!$N148))</f>
      </c>
      <c r="AE148" s="70">
        <f>IF(B148="","",AB148+AC148+AD148)</f>
      </c>
      <c r="AF148" s="71">
        <f>IF(B148="","",IF(G148=0,0,ROUNDUP(G148/Cap_Camion_OCC,0)))</f>
      </c>
      <c r="AG148" s="71">
        <f>IF(B148="","",AF148*L_Dist_OCC)</f>
      </c>
      <c r="AH148" s="71">
        <f>IF(B148="","",IF(ENTRADA!$O148="",AG148,ENTRADA!$O148))</f>
      </c>
      <c r="AI148" s="37">
        <f>IF(B148="","",AH148*INDEX(PRECIOS!$E$6:$E$55,K148))</f>
      </c>
      <c r="AJ148" s="71">
        <f>IF(B148="","",IF(H148=0,0,ROUNDUP(H148/Cap_Camion_CEN,0)))</f>
      </c>
      <c r="AK148" s="71">
        <f>IF(B148="","",AJ148*L_Tras_CEN)</f>
      </c>
      <c r="AL148" s="71">
        <f>IF(B148="","",IF(ENTRADA!$P148="",AK148,ENTRADA!$P148))</f>
      </c>
      <c r="AM148" s="71">
        <f>IF(B148="","",AJ148*L_Dist_CEN)</f>
      </c>
      <c r="AN148" s="71">
        <f>IF(B148="","",IF(ENTRADA!$Q148="",AM148,ENTRADA!$Q148))</f>
      </c>
      <c r="AO148" s="37">
        <f>IF(B148="","",(AL148+AN148)*INDEX(PRECIOS!$E$6:$E$55,K148))</f>
      </c>
      <c r="AP148" s="71">
        <f>IF(B148="","",IF(H148=0,0,ROUNDUP(H148/Rend_Desagrupe_CT,0)))</f>
      </c>
      <c r="AQ148" s="71">
        <f>IF(B148="","",IF(ENTRADA!$R148="",AP148,ENTRADA!$R148))</f>
      </c>
      <c r="AR148" s="37">
        <f>IF(B148="","",AQ148*INDEX(PRECIOS!$I$6:$I$55,K148))</f>
      </c>
      <c r="AS148" s="37">
        <f>IF(B148="","",AO148+AR148)</f>
      </c>
      <c r="AT148" s="71">
        <f>IF(B148="","",IF(I148=0,0,ROUNDUP(I148/Cap_Camion_ORI,0)))</f>
      </c>
      <c r="AU148" s="71">
        <f>IF(B148="","",AT148*L_Tras_ORI)</f>
      </c>
      <c r="AV148" s="71">
        <f>IF(B148="","",IF(ENTRADA!$S148="",AU148,ENTRADA!$S148))</f>
      </c>
      <c r="AW148" s="71">
        <f>IF(B148="","",AT148*L_Dist_ORI)</f>
      </c>
      <c r="AX148" s="71">
        <f>IF(B148="","",IF(ENTRADA!$T148="",AW148,ENTRADA!$T148))</f>
      </c>
      <c r="AY148" s="37">
        <f>IF(B148="","",(AV148+AX148)*INDEX(PRECIOS!$E$6:$E$55,K148))</f>
      </c>
      <c r="AZ148" s="71">
        <f>IF(B148="","",IF(I148=0,0,ROUNDUP(I148/Rend_Desagrupe_CT,0)))</f>
      </c>
      <c r="BA148" s="71">
        <f>IF(B148="","",IF(ENTRADA!$U148="",AZ148,ENTRADA!$U148))</f>
      </c>
      <c r="BB148" s="37">
        <f>IF(B148="","",BA148*INDEX(PRECIOS!$I$6:$I$55,K148))</f>
      </c>
      <c r="BC148" s="37">
        <f>IF(B148="","",AY148+BB148)</f>
      </c>
      <c r="BD148" s="70">
        <f>IF(B148="","",AI148+AS148+BC148)</f>
      </c>
      <c r="BE148" s="37">
        <f>IF(B148="","",IF(Base_Comision="% DEL INGRESO",M148*INDEX(PRECIOS!$L$6:$L$55,K148),G148*INDEX(PRECIOS!$M$6:$M$55,K148)))</f>
      </c>
      <c r="BF148" s="37">
        <f>IF(B148="","",IF(Base_Comision="% DEL INGRESO",N148*INDEX(PRECIOS!$L$6:$L$55,K148),H148*INDEX(PRECIOS!$M$6:$M$55,K148)))</f>
      </c>
      <c r="BG148" s="37">
        <f>IF(B148="","",IF(Base_Comision="% DEL INGRESO",O148*INDEX(PRECIOS!$L$6:$L$55,K148),I148*INDEX(PRECIOS!$M$6:$M$55,K148)))</f>
      </c>
      <c r="BH148" s="70">
        <f>IF(B148="","",BE148+BF148+BG148)</f>
      </c>
      <c r="BI148" s="37">
        <f>IF(B148="","",Q148*Pct_Reclamaciones)</f>
      </c>
      <c r="BJ148" s="37">
        <f>IF(B148="","",Q148*Pct_Banco)</f>
      </c>
      <c r="BK148" s="37">
        <f>IF(B148="","",N(ENTRADA!$V148))</f>
      </c>
      <c r="BL148" s="70">
        <f>IF(B148="","",Y148+AE148+BD148+BH148+BI148+BJ148+BK148)</f>
      </c>
      <c r="BM148" s="70">
        <f>IF(B148="","",Q148-BL148)</f>
      </c>
      <c r="BN148" s="72">
        <f>IF(B148="","",IF(Q148=0,0,BM148/Q148))</f>
      </c>
      <c r="BO148" s="73">
        <f>IF(B148="","",IF(J148=0,0,BM148/J148))</f>
      </c>
      <c r="BP148" s="60">
        <f>IF(B148="","",IFERROR(MATCH(D148,COSTOS_FIJOS!$G$5:$AD$5,0),0))</f>
      </c>
      <c r="BQ148" s="60">
        <f>IF(B148="","",COUNTIFS($D$6:$D$305,D148))</f>
      </c>
      <c r="BR148" s="67">
        <f>IF(B148="","",SUMIFS($J$6:$J$305,$D$6:$D$305,D148))</f>
      </c>
      <c r="BS148" s="72">
        <f>IF(B148="","",IF(Metodo_Prorrateo="KG",IF(BR148=0,0,J148/BR148),1/BQ148))</f>
      </c>
      <c r="BT148" s="37">
        <f>IF(B148="","",IF(BP148=0,0,INDEX(COSTOS_FIJOS!$G$38:$AD$38,BP148))*BS148)</f>
      </c>
      <c r="BU148" s="72">
        <f>IF(B148="","",IF(Metodo_Prorrateo="KG",IF(SUMIFS($G$6:$G$305,$D$6:$D$305,D148)=0,0,G148/SUMIFS($G$6:$G$305,$D$6:$D$305,D148)),IF(G148&gt;0,1/COUNTIFS($D$6:$D$305,D148,$G$6:$G$305,"&gt;0"),0)))</f>
      </c>
      <c r="BV148" s="37">
        <f>IF(B148="","",IF(BP148=0,0,INDEX(COSTOS_FIJOS!$G$39:$AD$39,BP148))*BU148)</f>
      </c>
      <c r="BW148" s="72">
        <f>IF(B148="","",IF(Metodo_Prorrateo="KG",IF(SUMIFS($H$6:$H$305,$D$6:$D$305,D148)=0,0,H148/SUMIFS($H$6:$H$305,$D$6:$D$305,D148)),IF(H148&gt;0,1/COUNTIFS($D$6:$D$305,D148,$H$6:$H$305,"&gt;0"),0)))</f>
      </c>
      <c r="BX148" s="37">
        <f>IF(B148="","",IF(BP148=0,0,INDEX(COSTOS_FIJOS!$G$40:$AD$40,BP148))*BW148)</f>
      </c>
      <c r="BY148" s="72">
        <f>IF(B148="","",IF(Metodo_Prorrateo="KG",IF(SUMIFS($I$6:$I$305,$D$6:$D$305,D148)=0,0,I148/SUMIFS($I$6:$I$305,$D$6:$D$305,D148)),IF(I148&gt;0,1/COUNTIFS($D$6:$D$305,D148,$I$6:$I$305,"&gt;0"),0)))</f>
      </c>
      <c r="BZ148" s="37">
        <f>IF(B148="","",IF(BP148=0,0,INDEX(COSTOS_FIJOS!$G$41:$AD$41,BP148))*BY148)</f>
      </c>
      <c r="CA148" s="70">
        <f>IF(B148="","",BT148+BV148+BX148+BZ148)</f>
      </c>
      <c r="CB148" s="37">
        <f>IF(B148="","",Q148*Imp_Ventas_Serv)</f>
      </c>
      <c r="CC148" s="37">
        <f>IF(B148="","",Q148*Contrib_Territorial)</f>
      </c>
      <c r="CD148" s="70">
        <f>IF(B148="","",BM148-CA148-CB148-CC148)</f>
      </c>
      <c r="CE148" s="37">
        <f>IF(B148="","",MAX(0,CD148)*Imp_Utilidades)</f>
      </c>
      <c r="CF148" s="70">
        <f>IF(B148="","",CD148-CE148)</f>
      </c>
      <c r="CG148" s="72">
        <f>IF(B148="","",IF(Q148=0,0,CF148/Q148))</f>
      </c>
      <c r="CH148" s="73">
        <f>IF(B148="","",IF(J148=0,0,(BL148+CA148+CB148+CC148)/J148))</f>
      </c>
      <c r="CI148" s="73">
        <f>IF(B148="","",IF(J148=0,0,Q148/J148))</f>
      </c>
      <c r="CJ148" s="73">
        <f>IF(B148="","",IF(J148=0,0,CD148/J148))</f>
      </c>
      <c r="CK148" s="37">
        <f>IF(B148="","",Y148+AE148+BK148+BT148)</f>
      </c>
      <c r="CL148" s="37">
        <f>IF(B148="","",IF(J148=0,0,(M148+P148*G148/J148)*(1-Pct_Reclamaciones-Pct_Banco-Imp_Ventas_Serv-Contrib_Territorial)-AI148-BE148-BV148-CK148*G148/J148))</f>
      </c>
      <c r="CM148" s="37">
        <f>IF(B148="","",IF(J148=0,0,(N148+P148*H148/J148)*(1-Pct_Reclamaciones-Pct_Banco-Imp_Ventas_Serv-Contrib_Territorial)-AS148-BF148-BX148-CK148*H148/J148))</f>
      </c>
      <c r="CN148" s="37">
        <f>IF(B148="","",IF(J148=0,0,(O148+P148*I148/J148)*(1-Pct_Reclamaciones-Pct_Banco-Imp_Ventas_Serv-Contrib_Territorial)-BC148-BG148-BZ148-CK148*I148/J148))</f>
      </c>
      <c r="CO148" s="37">
        <f>IF(B148="","",IF(J148=0,0,ROUND(CD148-CL148-CM148-CN148,4)))</f>
      </c>
      <c r="CP148" s="71">
        <f>IF(B148="","",T148+AG148+AK148+AM148+AU148+AW148)</f>
      </c>
      <c r="CQ148" s="71">
        <f>IF(B148="","",U148+AH148+AL148+AN148+AV148+AX148)</f>
      </c>
      <c r="CR148" s="72">
        <f>IF(B148="","",IF(CP148=0,0,CQ148/CP148-1))</f>
      </c>
      <c r="CS148" s="60">
        <f>IF(B148="","",IF(ENTRADA!$Y148="","",ENTRADA!$Y148-C148))</f>
      </c>
      <c r="CT148" s="66">
        <f>IF(B148="","",IF(ENTRADA!$C148="","Falta fecha. ","")&amp;IF(BP148=0,"Mes fuera del rango de COSTOS_FIJOS. ","")&amp;IF(J148=0,"Sin kg. ","")&amp;IF(E148="","Falta transitaria. ","")&amp;IF(AND(T148&gt;0,U148/T148-1&gt;Tolerancia_Comb),"Combustible al puerto "&amp;TEXT(U148/T148-1,"+0%")&amp;" sobre norma. ","")&amp;IF(AND(AG148&gt;0,AH148/AG148-1&gt;Tolerancia_Comb),"Combustible distribución Occidente "&amp;TEXT(AH148/AG148-1,"+0%")&amp;" sobre norma. ","")&amp;IF(AND(AK148&gt;0,AL148/AK148-1&gt;Tolerancia_Comb),"Combustible traslado Centro "&amp;TEXT(AL148/AK148-1,"+0%")&amp;" sobre norma. ","")&amp;IF(AND(AM148&gt;0,AN148/AM148-1&gt;Tolerancia_Comb),"Combustible distribución Centro "&amp;TEXT(AN148/AM148-1,"+0%")&amp;" sobre norma. ","")&amp;IF(AND(AU148&gt;0,AV148/AU148-1&gt;Tolerancia_Comb),"Combustible traslado Oriente "&amp;TEXT(AV148/AU148-1,"+0%")&amp;" sobre norma. ","")&amp;IF(AND(AW148&gt;0,AX148/AW148-1&gt;Tolerancia_Comb),"Combustible distribución Oriente "&amp;TEXT(AX148/AW148-1,"+0%")&amp;" sobre norma. ","")&amp;IF(AND(ENTRADA!$C148&lt;&gt;"",C148&lt;PRECIOS!$A$6),"Fecha anterior a la 1ª vigencia de precios. ","")&amp;IF(CD148&lt;0,"Contenedor con pérdida. ",""))</f>
      </c>
    </row>
    <row r="149">
      <c r="A149" s="60">
        <f>IF(B149="","",ROW()-5)</f>
      </c>
      <c r="B149" s="63">
        <f>IF(ENTRADA!$B149="","",ENTRADA!$B149)</f>
      </c>
      <c r="C149" s="64">
        <f>IF(B149="","",ENTRADA!$C149)</f>
      </c>
      <c r="D149" s="65">
        <f>IF(B149="","",DATE(YEAR(C149),MONTH(C149),1))</f>
      </c>
      <c r="E149" s="66">
        <f>IF(B149="","",ENTRADA!$D149&amp;"")</f>
      </c>
      <c r="F149" s="66">
        <f>IF(B149="","",ENTRADA!$Z149&amp;"")</f>
      </c>
      <c r="G149" s="67">
        <f>IF(B149="","",N(ENTRADA!$G149))</f>
      </c>
      <c r="H149" s="67">
        <f>IF(B149="","",N(ENTRADA!$H149))</f>
      </c>
      <c r="I149" s="67">
        <f>IF(B149="","",N(ENTRADA!$I149))</f>
      </c>
      <c r="J149" s="68">
        <f>IF(B149="","",G149+H149+I149)</f>
      </c>
      <c r="K149" s="60">
        <f>IF(B149="","",IFERROR(MATCH(SUMPRODUCT(MAX((PRECIOS!$A$6:$A$55&lt;=C149)*PRECIOS!$A$6:$A$55)),PRECIOS!$A$6:$A$55,0),1))</f>
      </c>
      <c r="L149" s="69">
        <f>IF(B149="","",INDEX(PRECIOS!$A$6:$A$55,K149))</f>
      </c>
      <c r="M149" s="37">
        <f>IF(B149="","",G149*INDEX(PRECIOS!$B$6:$B$55,K149))</f>
      </c>
      <c r="N149" s="37">
        <f>IF(B149="","",H149*INDEX(PRECIOS!$C$6:$C$55,K149))</f>
      </c>
      <c r="O149" s="37">
        <f>IF(B149="","",I149*INDEX(PRECIOS!$D$6:$D$55,K149))</f>
      </c>
      <c r="P149" s="37">
        <f>IF(B149="","",N(ENTRADA!$X149))</f>
      </c>
      <c r="Q149" s="70">
        <f>IF(B149="","",M149+N149+O149+P149)</f>
      </c>
      <c r="R149" s="71">
        <f>IF(B149="","",IF(ENTRADA!$J149="",Std_Viajes_Puerto,ENTRADA!$J149))</f>
      </c>
      <c r="S149" s="37">
        <f>IF(B149="","",R149*INDEX(PRECIOS!$F$6:$F$55,K149))</f>
      </c>
      <c r="T149" s="71">
        <f>IF(B149="","",R149*Litros_Puerto_Viaje)</f>
      </c>
      <c r="U149" s="71">
        <f>IF(B149="","",IF(ENTRADA!$K149="",T149,ENTRADA!$K149))</f>
      </c>
      <c r="V149" s="37">
        <f>IF(B149="","",U149*INDEX(PRECIOS!$E$6:$E$55,K149))</f>
      </c>
      <c r="W149" s="37">
        <f>IF(B149="","",IF(ENTRADA!$L149="",R149*INDEX(PRECIOS!$G$6:$G$55,K149),ENTRADA!$L149))</f>
      </c>
      <c r="X149" s="37">
        <f>IF(B149="","",R149*Km_Puerto_Viaje*INDEX(PRECIOS!$N$6:$N$55,K149))</f>
      </c>
      <c r="Y149" s="70">
        <f>IF(B149="","",S149+V149+W149+X149)</f>
      </c>
      <c r="Z149" s="71">
        <f>IF(B149="","",IF(J149=0,0,ROUNDUP(J149/Rend_Desagrupe,0)))</f>
      </c>
      <c r="AA149" s="71">
        <f>IF(B149="","",IF(ENTRADA!$M149="",Z149,ENTRADA!$M149))</f>
      </c>
      <c r="AB149" s="37">
        <f>IF(B149="","",AA149*INDEX(PRECIOS!$H$6:$H$55,K149))</f>
      </c>
      <c r="AC149" s="37">
        <f>IF(B149="","",IF(E149="ENCI",INDEX(PRECIOS!$J$6:$J$55,K149),IF(E149="A.V",INDEX(PRECIOS!$K$6:$K$55,K149),0)))</f>
      </c>
      <c r="AD149" s="37">
        <f>IF(B149="","",N(ENTRADA!$N149))</f>
      </c>
      <c r="AE149" s="70">
        <f>IF(B149="","",AB149+AC149+AD149)</f>
      </c>
      <c r="AF149" s="71">
        <f>IF(B149="","",IF(G149=0,0,ROUNDUP(G149/Cap_Camion_OCC,0)))</f>
      </c>
      <c r="AG149" s="71">
        <f>IF(B149="","",AF149*L_Dist_OCC)</f>
      </c>
      <c r="AH149" s="71">
        <f>IF(B149="","",IF(ENTRADA!$O149="",AG149,ENTRADA!$O149))</f>
      </c>
      <c r="AI149" s="37">
        <f>IF(B149="","",AH149*INDEX(PRECIOS!$E$6:$E$55,K149))</f>
      </c>
      <c r="AJ149" s="71">
        <f>IF(B149="","",IF(H149=0,0,ROUNDUP(H149/Cap_Camion_CEN,0)))</f>
      </c>
      <c r="AK149" s="71">
        <f>IF(B149="","",AJ149*L_Tras_CEN)</f>
      </c>
      <c r="AL149" s="71">
        <f>IF(B149="","",IF(ENTRADA!$P149="",AK149,ENTRADA!$P149))</f>
      </c>
      <c r="AM149" s="71">
        <f>IF(B149="","",AJ149*L_Dist_CEN)</f>
      </c>
      <c r="AN149" s="71">
        <f>IF(B149="","",IF(ENTRADA!$Q149="",AM149,ENTRADA!$Q149))</f>
      </c>
      <c r="AO149" s="37">
        <f>IF(B149="","",(AL149+AN149)*INDEX(PRECIOS!$E$6:$E$55,K149))</f>
      </c>
      <c r="AP149" s="71">
        <f>IF(B149="","",IF(H149=0,0,ROUNDUP(H149/Rend_Desagrupe_CT,0)))</f>
      </c>
      <c r="AQ149" s="71">
        <f>IF(B149="","",IF(ENTRADA!$R149="",AP149,ENTRADA!$R149))</f>
      </c>
      <c r="AR149" s="37">
        <f>IF(B149="","",AQ149*INDEX(PRECIOS!$I$6:$I$55,K149))</f>
      </c>
      <c r="AS149" s="37">
        <f>IF(B149="","",AO149+AR149)</f>
      </c>
      <c r="AT149" s="71">
        <f>IF(B149="","",IF(I149=0,0,ROUNDUP(I149/Cap_Camion_ORI,0)))</f>
      </c>
      <c r="AU149" s="71">
        <f>IF(B149="","",AT149*L_Tras_ORI)</f>
      </c>
      <c r="AV149" s="71">
        <f>IF(B149="","",IF(ENTRADA!$S149="",AU149,ENTRADA!$S149))</f>
      </c>
      <c r="AW149" s="71">
        <f>IF(B149="","",AT149*L_Dist_ORI)</f>
      </c>
      <c r="AX149" s="71">
        <f>IF(B149="","",IF(ENTRADA!$T149="",AW149,ENTRADA!$T149))</f>
      </c>
      <c r="AY149" s="37">
        <f>IF(B149="","",(AV149+AX149)*INDEX(PRECIOS!$E$6:$E$55,K149))</f>
      </c>
      <c r="AZ149" s="71">
        <f>IF(B149="","",IF(I149=0,0,ROUNDUP(I149/Rend_Desagrupe_CT,0)))</f>
      </c>
      <c r="BA149" s="71">
        <f>IF(B149="","",IF(ENTRADA!$U149="",AZ149,ENTRADA!$U149))</f>
      </c>
      <c r="BB149" s="37">
        <f>IF(B149="","",BA149*INDEX(PRECIOS!$I$6:$I$55,K149))</f>
      </c>
      <c r="BC149" s="37">
        <f>IF(B149="","",AY149+BB149)</f>
      </c>
      <c r="BD149" s="70">
        <f>IF(B149="","",AI149+AS149+BC149)</f>
      </c>
      <c r="BE149" s="37">
        <f>IF(B149="","",IF(Base_Comision="% DEL INGRESO",M149*INDEX(PRECIOS!$L$6:$L$55,K149),G149*INDEX(PRECIOS!$M$6:$M$55,K149)))</f>
      </c>
      <c r="BF149" s="37">
        <f>IF(B149="","",IF(Base_Comision="% DEL INGRESO",N149*INDEX(PRECIOS!$L$6:$L$55,K149),H149*INDEX(PRECIOS!$M$6:$M$55,K149)))</f>
      </c>
      <c r="BG149" s="37">
        <f>IF(B149="","",IF(Base_Comision="% DEL INGRESO",O149*INDEX(PRECIOS!$L$6:$L$55,K149),I149*INDEX(PRECIOS!$M$6:$M$55,K149)))</f>
      </c>
      <c r="BH149" s="70">
        <f>IF(B149="","",BE149+BF149+BG149)</f>
      </c>
      <c r="BI149" s="37">
        <f>IF(B149="","",Q149*Pct_Reclamaciones)</f>
      </c>
      <c r="BJ149" s="37">
        <f>IF(B149="","",Q149*Pct_Banco)</f>
      </c>
      <c r="BK149" s="37">
        <f>IF(B149="","",N(ENTRADA!$V149))</f>
      </c>
      <c r="BL149" s="70">
        <f>IF(B149="","",Y149+AE149+BD149+BH149+BI149+BJ149+BK149)</f>
      </c>
      <c r="BM149" s="70">
        <f>IF(B149="","",Q149-BL149)</f>
      </c>
      <c r="BN149" s="72">
        <f>IF(B149="","",IF(Q149=0,0,BM149/Q149))</f>
      </c>
      <c r="BO149" s="73">
        <f>IF(B149="","",IF(J149=0,0,BM149/J149))</f>
      </c>
      <c r="BP149" s="60">
        <f>IF(B149="","",IFERROR(MATCH(D149,COSTOS_FIJOS!$G$5:$AD$5,0),0))</f>
      </c>
      <c r="BQ149" s="60">
        <f>IF(B149="","",COUNTIFS($D$6:$D$305,D149))</f>
      </c>
      <c r="BR149" s="67">
        <f>IF(B149="","",SUMIFS($J$6:$J$305,$D$6:$D$305,D149))</f>
      </c>
      <c r="BS149" s="72">
        <f>IF(B149="","",IF(Metodo_Prorrateo="KG",IF(BR149=0,0,J149/BR149),1/BQ149))</f>
      </c>
      <c r="BT149" s="37">
        <f>IF(B149="","",IF(BP149=0,0,INDEX(COSTOS_FIJOS!$G$38:$AD$38,BP149))*BS149)</f>
      </c>
      <c r="BU149" s="72">
        <f>IF(B149="","",IF(Metodo_Prorrateo="KG",IF(SUMIFS($G$6:$G$305,$D$6:$D$305,D149)=0,0,G149/SUMIFS($G$6:$G$305,$D$6:$D$305,D149)),IF(G149&gt;0,1/COUNTIFS($D$6:$D$305,D149,$G$6:$G$305,"&gt;0"),0)))</f>
      </c>
      <c r="BV149" s="37">
        <f>IF(B149="","",IF(BP149=0,0,INDEX(COSTOS_FIJOS!$G$39:$AD$39,BP149))*BU149)</f>
      </c>
      <c r="BW149" s="72">
        <f>IF(B149="","",IF(Metodo_Prorrateo="KG",IF(SUMIFS($H$6:$H$305,$D$6:$D$305,D149)=0,0,H149/SUMIFS($H$6:$H$305,$D$6:$D$305,D149)),IF(H149&gt;0,1/COUNTIFS($D$6:$D$305,D149,$H$6:$H$305,"&gt;0"),0)))</f>
      </c>
      <c r="BX149" s="37">
        <f>IF(B149="","",IF(BP149=0,0,INDEX(COSTOS_FIJOS!$G$40:$AD$40,BP149))*BW149)</f>
      </c>
      <c r="BY149" s="72">
        <f>IF(B149="","",IF(Metodo_Prorrateo="KG",IF(SUMIFS($I$6:$I$305,$D$6:$D$305,D149)=0,0,I149/SUMIFS($I$6:$I$305,$D$6:$D$305,D149)),IF(I149&gt;0,1/COUNTIFS($D$6:$D$305,D149,$I$6:$I$305,"&gt;0"),0)))</f>
      </c>
      <c r="BZ149" s="37">
        <f>IF(B149="","",IF(BP149=0,0,INDEX(COSTOS_FIJOS!$G$41:$AD$41,BP149))*BY149)</f>
      </c>
      <c r="CA149" s="70">
        <f>IF(B149="","",BT149+BV149+BX149+BZ149)</f>
      </c>
      <c r="CB149" s="37">
        <f>IF(B149="","",Q149*Imp_Ventas_Serv)</f>
      </c>
      <c r="CC149" s="37">
        <f>IF(B149="","",Q149*Contrib_Territorial)</f>
      </c>
      <c r="CD149" s="70">
        <f>IF(B149="","",BM149-CA149-CB149-CC149)</f>
      </c>
      <c r="CE149" s="37">
        <f>IF(B149="","",MAX(0,CD149)*Imp_Utilidades)</f>
      </c>
      <c r="CF149" s="70">
        <f>IF(B149="","",CD149-CE149)</f>
      </c>
      <c r="CG149" s="72">
        <f>IF(B149="","",IF(Q149=0,0,CF149/Q149))</f>
      </c>
      <c r="CH149" s="73">
        <f>IF(B149="","",IF(J149=0,0,(BL149+CA149+CB149+CC149)/J149))</f>
      </c>
      <c r="CI149" s="73">
        <f>IF(B149="","",IF(J149=0,0,Q149/J149))</f>
      </c>
      <c r="CJ149" s="73">
        <f>IF(B149="","",IF(J149=0,0,CD149/J149))</f>
      </c>
      <c r="CK149" s="37">
        <f>IF(B149="","",Y149+AE149+BK149+BT149)</f>
      </c>
      <c r="CL149" s="37">
        <f>IF(B149="","",IF(J149=0,0,(M149+P149*G149/J149)*(1-Pct_Reclamaciones-Pct_Banco-Imp_Ventas_Serv-Contrib_Territorial)-AI149-BE149-BV149-CK149*G149/J149))</f>
      </c>
      <c r="CM149" s="37">
        <f>IF(B149="","",IF(J149=0,0,(N149+P149*H149/J149)*(1-Pct_Reclamaciones-Pct_Banco-Imp_Ventas_Serv-Contrib_Territorial)-AS149-BF149-BX149-CK149*H149/J149))</f>
      </c>
      <c r="CN149" s="37">
        <f>IF(B149="","",IF(J149=0,0,(O149+P149*I149/J149)*(1-Pct_Reclamaciones-Pct_Banco-Imp_Ventas_Serv-Contrib_Territorial)-BC149-BG149-BZ149-CK149*I149/J149))</f>
      </c>
      <c r="CO149" s="37">
        <f>IF(B149="","",IF(J149=0,0,ROUND(CD149-CL149-CM149-CN149,4)))</f>
      </c>
      <c r="CP149" s="71">
        <f>IF(B149="","",T149+AG149+AK149+AM149+AU149+AW149)</f>
      </c>
      <c r="CQ149" s="71">
        <f>IF(B149="","",U149+AH149+AL149+AN149+AV149+AX149)</f>
      </c>
      <c r="CR149" s="72">
        <f>IF(B149="","",IF(CP149=0,0,CQ149/CP149-1))</f>
      </c>
      <c r="CS149" s="60">
        <f>IF(B149="","",IF(ENTRADA!$Y149="","",ENTRADA!$Y149-C149))</f>
      </c>
      <c r="CT149" s="66">
        <f>IF(B149="","",IF(ENTRADA!$C149="","Falta fecha. ","")&amp;IF(BP149=0,"Mes fuera del rango de COSTOS_FIJOS. ","")&amp;IF(J149=0,"Sin kg. ","")&amp;IF(E149="","Falta transitaria. ","")&amp;IF(AND(T149&gt;0,U149/T149-1&gt;Tolerancia_Comb),"Combustible al puerto "&amp;TEXT(U149/T149-1,"+0%")&amp;" sobre norma. ","")&amp;IF(AND(AG149&gt;0,AH149/AG149-1&gt;Tolerancia_Comb),"Combustible distribución Occidente "&amp;TEXT(AH149/AG149-1,"+0%")&amp;" sobre norma. ","")&amp;IF(AND(AK149&gt;0,AL149/AK149-1&gt;Tolerancia_Comb),"Combustible traslado Centro "&amp;TEXT(AL149/AK149-1,"+0%")&amp;" sobre norma. ","")&amp;IF(AND(AM149&gt;0,AN149/AM149-1&gt;Tolerancia_Comb),"Combustible distribución Centro "&amp;TEXT(AN149/AM149-1,"+0%")&amp;" sobre norma. ","")&amp;IF(AND(AU149&gt;0,AV149/AU149-1&gt;Tolerancia_Comb),"Combustible traslado Oriente "&amp;TEXT(AV149/AU149-1,"+0%")&amp;" sobre norma. ","")&amp;IF(AND(AW149&gt;0,AX149/AW149-1&gt;Tolerancia_Comb),"Combustible distribución Oriente "&amp;TEXT(AX149/AW149-1,"+0%")&amp;" sobre norma. ","")&amp;IF(AND(ENTRADA!$C149&lt;&gt;"",C149&lt;PRECIOS!$A$6),"Fecha anterior a la 1ª vigencia de precios. ","")&amp;IF(CD149&lt;0,"Contenedor con pérdida. ",""))</f>
      </c>
    </row>
    <row r="150">
      <c r="A150" s="60">
        <f>IF(B150="","",ROW()-5)</f>
      </c>
      <c r="B150" s="63">
        <f>IF(ENTRADA!$B150="","",ENTRADA!$B150)</f>
      </c>
      <c r="C150" s="64">
        <f>IF(B150="","",ENTRADA!$C150)</f>
      </c>
      <c r="D150" s="65">
        <f>IF(B150="","",DATE(YEAR(C150),MONTH(C150),1))</f>
      </c>
      <c r="E150" s="66">
        <f>IF(B150="","",ENTRADA!$D150&amp;"")</f>
      </c>
      <c r="F150" s="66">
        <f>IF(B150="","",ENTRADA!$Z150&amp;"")</f>
      </c>
      <c r="G150" s="67">
        <f>IF(B150="","",N(ENTRADA!$G150))</f>
      </c>
      <c r="H150" s="67">
        <f>IF(B150="","",N(ENTRADA!$H150))</f>
      </c>
      <c r="I150" s="67">
        <f>IF(B150="","",N(ENTRADA!$I150))</f>
      </c>
      <c r="J150" s="68">
        <f>IF(B150="","",G150+H150+I150)</f>
      </c>
      <c r="K150" s="60">
        <f>IF(B150="","",IFERROR(MATCH(SUMPRODUCT(MAX((PRECIOS!$A$6:$A$55&lt;=C150)*PRECIOS!$A$6:$A$55)),PRECIOS!$A$6:$A$55,0),1))</f>
      </c>
      <c r="L150" s="69">
        <f>IF(B150="","",INDEX(PRECIOS!$A$6:$A$55,K150))</f>
      </c>
      <c r="M150" s="37">
        <f>IF(B150="","",G150*INDEX(PRECIOS!$B$6:$B$55,K150))</f>
      </c>
      <c r="N150" s="37">
        <f>IF(B150="","",H150*INDEX(PRECIOS!$C$6:$C$55,K150))</f>
      </c>
      <c r="O150" s="37">
        <f>IF(B150="","",I150*INDEX(PRECIOS!$D$6:$D$55,K150))</f>
      </c>
      <c r="P150" s="37">
        <f>IF(B150="","",N(ENTRADA!$X150))</f>
      </c>
      <c r="Q150" s="70">
        <f>IF(B150="","",M150+N150+O150+P150)</f>
      </c>
      <c r="R150" s="71">
        <f>IF(B150="","",IF(ENTRADA!$J150="",Std_Viajes_Puerto,ENTRADA!$J150))</f>
      </c>
      <c r="S150" s="37">
        <f>IF(B150="","",R150*INDEX(PRECIOS!$F$6:$F$55,K150))</f>
      </c>
      <c r="T150" s="71">
        <f>IF(B150="","",R150*Litros_Puerto_Viaje)</f>
      </c>
      <c r="U150" s="71">
        <f>IF(B150="","",IF(ENTRADA!$K150="",T150,ENTRADA!$K150))</f>
      </c>
      <c r="V150" s="37">
        <f>IF(B150="","",U150*INDEX(PRECIOS!$E$6:$E$55,K150))</f>
      </c>
      <c r="W150" s="37">
        <f>IF(B150="","",IF(ENTRADA!$L150="",R150*INDEX(PRECIOS!$G$6:$G$55,K150),ENTRADA!$L150))</f>
      </c>
      <c r="X150" s="37">
        <f>IF(B150="","",R150*Km_Puerto_Viaje*INDEX(PRECIOS!$N$6:$N$55,K150))</f>
      </c>
      <c r="Y150" s="70">
        <f>IF(B150="","",S150+V150+W150+X150)</f>
      </c>
      <c r="Z150" s="71">
        <f>IF(B150="","",IF(J150=0,0,ROUNDUP(J150/Rend_Desagrupe,0)))</f>
      </c>
      <c r="AA150" s="71">
        <f>IF(B150="","",IF(ENTRADA!$M150="",Z150,ENTRADA!$M150))</f>
      </c>
      <c r="AB150" s="37">
        <f>IF(B150="","",AA150*INDEX(PRECIOS!$H$6:$H$55,K150))</f>
      </c>
      <c r="AC150" s="37">
        <f>IF(B150="","",IF(E150="ENCI",INDEX(PRECIOS!$J$6:$J$55,K150),IF(E150="A.V",INDEX(PRECIOS!$K$6:$K$55,K150),0)))</f>
      </c>
      <c r="AD150" s="37">
        <f>IF(B150="","",N(ENTRADA!$N150))</f>
      </c>
      <c r="AE150" s="70">
        <f>IF(B150="","",AB150+AC150+AD150)</f>
      </c>
      <c r="AF150" s="71">
        <f>IF(B150="","",IF(G150=0,0,ROUNDUP(G150/Cap_Camion_OCC,0)))</f>
      </c>
      <c r="AG150" s="71">
        <f>IF(B150="","",AF150*L_Dist_OCC)</f>
      </c>
      <c r="AH150" s="71">
        <f>IF(B150="","",IF(ENTRADA!$O150="",AG150,ENTRADA!$O150))</f>
      </c>
      <c r="AI150" s="37">
        <f>IF(B150="","",AH150*INDEX(PRECIOS!$E$6:$E$55,K150))</f>
      </c>
      <c r="AJ150" s="71">
        <f>IF(B150="","",IF(H150=0,0,ROUNDUP(H150/Cap_Camion_CEN,0)))</f>
      </c>
      <c r="AK150" s="71">
        <f>IF(B150="","",AJ150*L_Tras_CEN)</f>
      </c>
      <c r="AL150" s="71">
        <f>IF(B150="","",IF(ENTRADA!$P150="",AK150,ENTRADA!$P150))</f>
      </c>
      <c r="AM150" s="71">
        <f>IF(B150="","",AJ150*L_Dist_CEN)</f>
      </c>
      <c r="AN150" s="71">
        <f>IF(B150="","",IF(ENTRADA!$Q150="",AM150,ENTRADA!$Q150))</f>
      </c>
      <c r="AO150" s="37">
        <f>IF(B150="","",(AL150+AN150)*INDEX(PRECIOS!$E$6:$E$55,K150))</f>
      </c>
      <c r="AP150" s="71">
        <f>IF(B150="","",IF(H150=0,0,ROUNDUP(H150/Rend_Desagrupe_CT,0)))</f>
      </c>
      <c r="AQ150" s="71">
        <f>IF(B150="","",IF(ENTRADA!$R150="",AP150,ENTRADA!$R150))</f>
      </c>
      <c r="AR150" s="37">
        <f>IF(B150="","",AQ150*INDEX(PRECIOS!$I$6:$I$55,K150))</f>
      </c>
      <c r="AS150" s="37">
        <f>IF(B150="","",AO150+AR150)</f>
      </c>
      <c r="AT150" s="71">
        <f>IF(B150="","",IF(I150=0,0,ROUNDUP(I150/Cap_Camion_ORI,0)))</f>
      </c>
      <c r="AU150" s="71">
        <f>IF(B150="","",AT150*L_Tras_ORI)</f>
      </c>
      <c r="AV150" s="71">
        <f>IF(B150="","",IF(ENTRADA!$S150="",AU150,ENTRADA!$S150))</f>
      </c>
      <c r="AW150" s="71">
        <f>IF(B150="","",AT150*L_Dist_ORI)</f>
      </c>
      <c r="AX150" s="71">
        <f>IF(B150="","",IF(ENTRADA!$T150="",AW150,ENTRADA!$T150))</f>
      </c>
      <c r="AY150" s="37">
        <f>IF(B150="","",(AV150+AX150)*INDEX(PRECIOS!$E$6:$E$55,K150))</f>
      </c>
      <c r="AZ150" s="71">
        <f>IF(B150="","",IF(I150=0,0,ROUNDUP(I150/Rend_Desagrupe_CT,0)))</f>
      </c>
      <c r="BA150" s="71">
        <f>IF(B150="","",IF(ENTRADA!$U150="",AZ150,ENTRADA!$U150))</f>
      </c>
      <c r="BB150" s="37">
        <f>IF(B150="","",BA150*INDEX(PRECIOS!$I$6:$I$55,K150))</f>
      </c>
      <c r="BC150" s="37">
        <f>IF(B150="","",AY150+BB150)</f>
      </c>
      <c r="BD150" s="70">
        <f>IF(B150="","",AI150+AS150+BC150)</f>
      </c>
      <c r="BE150" s="37">
        <f>IF(B150="","",IF(Base_Comision="% DEL INGRESO",M150*INDEX(PRECIOS!$L$6:$L$55,K150),G150*INDEX(PRECIOS!$M$6:$M$55,K150)))</f>
      </c>
      <c r="BF150" s="37">
        <f>IF(B150="","",IF(Base_Comision="% DEL INGRESO",N150*INDEX(PRECIOS!$L$6:$L$55,K150),H150*INDEX(PRECIOS!$M$6:$M$55,K150)))</f>
      </c>
      <c r="BG150" s="37">
        <f>IF(B150="","",IF(Base_Comision="% DEL INGRESO",O150*INDEX(PRECIOS!$L$6:$L$55,K150),I150*INDEX(PRECIOS!$M$6:$M$55,K150)))</f>
      </c>
      <c r="BH150" s="70">
        <f>IF(B150="","",BE150+BF150+BG150)</f>
      </c>
      <c r="BI150" s="37">
        <f>IF(B150="","",Q150*Pct_Reclamaciones)</f>
      </c>
      <c r="BJ150" s="37">
        <f>IF(B150="","",Q150*Pct_Banco)</f>
      </c>
      <c r="BK150" s="37">
        <f>IF(B150="","",N(ENTRADA!$V150))</f>
      </c>
      <c r="BL150" s="70">
        <f>IF(B150="","",Y150+AE150+BD150+BH150+BI150+BJ150+BK150)</f>
      </c>
      <c r="BM150" s="70">
        <f>IF(B150="","",Q150-BL150)</f>
      </c>
      <c r="BN150" s="72">
        <f>IF(B150="","",IF(Q150=0,0,BM150/Q150))</f>
      </c>
      <c r="BO150" s="73">
        <f>IF(B150="","",IF(J150=0,0,BM150/J150))</f>
      </c>
      <c r="BP150" s="60">
        <f>IF(B150="","",IFERROR(MATCH(D150,COSTOS_FIJOS!$G$5:$AD$5,0),0))</f>
      </c>
      <c r="BQ150" s="60">
        <f>IF(B150="","",COUNTIFS($D$6:$D$305,D150))</f>
      </c>
      <c r="BR150" s="67">
        <f>IF(B150="","",SUMIFS($J$6:$J$305,$D$6:$D$305,D150))</f>
      </c>
      <c r="BS150" s="72">
        <f>IF(B150="","",IF(Metodo_Prorrateo="KG",IF(BR150=0,0,J150/BR150),1/BQ150))</f>
      </c>
      <c r="BT150" s="37">
        <f>IF(B150="","",IF(BP150=0,0,INDEX(COSTOS_FIJOS!$G$38:$AD$38,BP150))*BS150)</f>
      </c>
      <c r="BU150" s="72">
        <f>IF(B150="","",IF(Metodo_Prorrateo="KG",IF(SUMIFS($G$6:$G$305,$D$6:$D$305,D150)=0,0,G150/SUMIFS($G$6:$G$305,$D$6:$D$305,D150)),IF(G150&gt;0,1/COUNTIFS($D$6:$D$305,D150,$G$6:$G$305,"&gt;0"),0)))</f>
      </c>
      <c r="BV150" s="37">
        <f>IF(B150="","",IF(BP150=0,0,INDEX(COSTOS_FIJOS!$G$39:$AD$39,BP150))*BU150)</f>
      </c>
      <c r="BW150" s="72">
        <f>IF(B150="","",IF(Metodo_Prorrateo="KG",IF(SUMIFS($H$6:$H$305,$D$6:$D$305,D150)=0,0,H150/SUMIFS($H$6:$H$305,$D$6:$D$305,D150)),IF(H150&gt;0,1/COUNTIFS($D$6:$D$305,D150,$H$6:$H$305,"&gt;0"),0)))</f>
      </c>
      <c r="BX150" s="37">
        <f>IF(B150="","",IF(BP150=0,0,INDEX(COSTOS_FIJOS!$G$40:$AD$40,BP150))*BW150)</f>
      </c>
      <c r="BY150" s="72">
        <f>IF(B150="","",IF(Metodo_Prorrateo="KG",IF(SUMIFS($I$6:$I$305,$D$6:$D$305,D150)=0,0,I150/SUMIFS($I$6:$I$305,$D$6:$D$305,D150)),IF(I150&gt;0,1/COUNTIFS($D$6:$D$305,D150,$I$6:$I$305,"&gt;0"),0)))</f>
      </c>
      <c r="BZ150" s="37">
        <f>IF(B150="","",IF(BP150=0,0,INDEX(COSTOS_FIJOS!$G$41:$AD$41,BP150))*BY150)</f>
      </c>
      <c r="CA150" s="70">
        <f>IF(B150="","",BT150+BV150+BX150+BZ150)</f>
      </c>
      <c r="CB150" s="37">
        <f>IF(B150="","",Q150*Imp_Ventas_Serv)</f>
      </c>
      <c r="CC150" s="37">
        <f>IF(B150="","",Q150*Contrib_Territorial)</f>
      </c>
      <c r="CD150" s="70">
        <f>IF(B150="","",BM150-CA150-CB150-CC150)</f>
      </c>
      <c r="CE150" s="37">
        <f>IF(B150="","",MAX(0,CD150)*Imp_Utilidades)</f>
      </c>
      <c r="CF150" s="70">
        <f>IF(B150="","",CD150-CE150)</f>
      </c>
      <c r="CG150" s="72">
        <f>IF(B150="","",IF(Q150=0,0,CF150/Q150))</f>
      </c>
      <c r="CH150" s="73">
        <f>IF(B150="","",IF(J150=0,0,(BL150+CA150+CB150+CC150)/J150))</f>
      </c>
      <c r="CI150" s="73">
        <f>IF(B150="","",IF(J150=0,0,Q150/J150))</f>
      </c>
      <c r="CJ150" s="73">
        <f>IF(B150="","",IF(J150=0,0,CD150/J150))</f>
      </c>
      <c r="CK150" s="37">
        <f>IF(B150="","",Y150+AE150+BK150+BT150)</f>
      </c>
      <c r="CL150" s="37">
        <f>IF(B150="","",IF(J150=0,0,(M150+P150*G150/J150)*(1-Pct_Reclamaciones-Pct_Banco-Imp_Ventas_Serv-Contrib_Territorial)-AI150-BE150-BV150-CK150*G150/J150))</f>
      </c>
      <c r="CM150" s="37">
        <f>IF(B150="","",IF(J150=0,0,(N150+P150*H150/J150)*(1-Pct_Reclamaciones-Pct_Banco-Imp_Ventas_Serv-Contrib_Territorial)-AS150-BF150-BX150-CK150*H150/J150))</f>
      </c>
      <c r="CN150" s="37">
        <f>IF(B150="","",IF(J150=0,0,(O150+P150*I150/J150)*(1-Pct_Reclamaciones-Pct_Banco-Imp_Ventas_Serv-Contrib_Territorial)-BC150-BG150-BZ150-CK150*I150/J150))</f>
      </c>
      <c r="CO150" s="37">
        <f>IF(B150="","",IF(J150=0,0,ROUND(CD150-CL150-CM150-CN150,4)))</f>
      </c>
      <c r="CP150" s="71">
        <f>IF(B150="","",T150+AG150+AK150+AM150+AU150+AW150)</f>
      </c>
      <c r="CQ150" s="71">
        <f>IF(B150="","",U150+AH150+AL150+AN150+AV150+AX150)</f>
      </c>
      <c r="CR150" s="72">
        <f>IF(B150="","",IF(CP150=0,0,CQ150/CP150-1))</f>
      </c>
      <c r="CS150" s="60">
        <f>IF(B150="","",IF(ENTRADA!$Y150="","",ENTRADA!$Y150-C150))</f>
      </c>
      <c r="CT150" s="66">
        <f>IF(B150="","",IF(ENTRADA!$C150="","Falta fecha. ","")&amp;IF(BP150=0,"Mes fuera del rango de COSTOS_FIJOS. ","")&amp;IF(J150=0,"Sin kg. ","")&amp;IF(E150="","Falta transitaria. ","")&amp;IF(AND(T150&gt;0,U150/T150-1&gt;Tolerancia_Comb),"Combustible al puerto "&amp;TEXT(U150/T150-1,"+0%")&amp;" sobre norma. ","")&amp;IF(AND(AG150&gt;0,AH150/AG150-1&gt;Tolerancia_Comb),"Combustible distribución Occidente "&amp;TEXT(AH150/AG150-1,"+0%")&amp;" sobre norma. ","")&amp;IF(AND(AK150&gt;0,AL150/AK150-1&gt;Tolerancia_Comb),"Combustible traslado Centro "&amp;TEXT(AL150/AK150-1,"+0%")&amp;" sobre norma. ","")&amp;IF(AND(AM150&gt;0,AN150/AM150-1&gt;Tolerancia_Comb),"Combustible distribución Centro "&amp;TEXT(AN150/AM150-1,"+0%")&amp;" sobre norma. ","")&amp;IF(AND(AU150&gt;0,AV150/AU150-1&gt;Tolerancia_Comb),"Combustible traslado Oriente "&amp;TEXT(AV150/AU150-1,"+0%")&amp;" sobre norma. ","")&amp;IF(AND(AW150&gt;0,AX150/AW150-1&gt;Tolerancia_Comb),"Combustible distribución Oriente "&amp;TEXT(AX150/AW150-1,"+0%")&amp;" sobre norma. ","")&amp;IF(AND(ENTRADA!$C150&lt;&gt;"",C150&lt;PRECIOS!$A$6),"Fecha anterior a la 1ª vigencia de precios. ","")&amp;IF(CD150&lt;0,"Contenedor con pérdida. ",""))</f>
      </c>
    </row>
    <row r="151">
      <c r="A151" s="60">
        <f>IF(B151="","",ROW()-5)</f>
      </c>
      <c r="B151" s="63">
        <f>IF(ENTRADA!$B151="","",ENTRADA!$B151)</f>
      </c>
      <c r="C151" s="64">
        <f>IF(B151="","",ENTRADA!$C151)</f>
      </c>
      <c r="D151" s="65">
        <f>IF(B151="","",DATE(YEAR(C151),MONTH(C151),1))</f>
      </c>
      <c r="E151" s="66">
        <f>IF(B151="","",ENTRADA!$D151&amp;"")</f>
      </c>
      <c r="F151" s="66">
        <f>IF(B151="","",ENTRADA!$Z151&amp;"")</f>
      </c>
      <c r="G151" s="67">
        <f>IF(B151="","",N(ENTRADA!$G151))</f>
      </c>
      <c r="H151" s="67">
        <f>IF(B151="","",N(ENTRADA!$H151))</f>
      </c>
      <c r="I151" s="67">
        <f>IF(B151="","",N(ENTRADA!$I151))</f>
      </c>
      <c r="J151" s="68">
        <f>IF(B151="","",G151+H151+I151)</f>
      </c>
      <c r="K151" s="60">
        <f>IF(B151="","",IFERROR(MATCH(SUMPRODUCT(MAX((PRECIOS!$A$6:$A$55&lt;=C151)*PRECIOS!$A$6:$A$55)),PRECIOS!$A$6:$A$55,0),1))</f>
      </c>
      <c r="L151" s="69">
        <f>IF(B151="","",INDEX(PRECIOS!$A$6:$A$55,K151))</f>
      </c>
      <c r="M151" s="37">
        <f>IF(B151="","",G151*INDEX(PRECIOS!$B$6:$B$55,K151))</f>
      </c>
      <c r="N151" s="37">
        <f>IF(B151="","",H151*INDEX(PRECIOS!$C$6:$C$55,K151))</f>
      </c>
      <c r="O151" s="37">
        <f>IF(B151="","",I151*INDEX(PRECIOS!$D$6:$D$55,K151))</f>
      </c>
      <c r="P151" s="37">
        <f>IF(B151="","",N(ENTRADA!$X151))</f>
      </c>
      <c r="Q151" s="70">
        <f>IF(B151="","",M151+N151+O151+P151)</f>
      </c>
      <c r="R151" s="71">
        <f>IF(B151="","",IF(ENTRADA!$J151="",Std_Viajes_Puerto,ENTRADA!$J151))</f>
      </c>
      <c r="S151" s="37">
        <f>IF(B151="","",R151*INDEX(PRECIOS!$F$6:$F$55,K151))</f>
      </c>
      <c r="T151" s="71">
        <f>IF(B151="","",R151*Litros_Puerto_Viaje)</f>
      </c>
      <c r="U151" s="71">
        <f>IF(B151="","",IF(ENTRADA!$K151="",T151,ENTRADA!$K151))</f>
      </c>
      <c r="V151" s="37">
        <f>IF(B151="","",U151*INDEX(PRECIOS!$E$6:$E$55,K151))</f>
      </c>
      <c r="W151" s="37">
        <f>IF(B151="","",IF(ENTRADA!$L151="",R151*INDEX(PRECIOS!$G$6:$G$55,K151),ENTRADA!$L151))</f>
      </c>
      <c r="X151" s="37">
        <f>IF(B151="","",R151*Km_Puerto_Viaje*INDEX(PRECIOS!$N$6:$N$55,K151))</f>
      </c>
      <c r="Y151" s="70">
        <f>IF(B151="","",S151+V151+W151+X151)</f>
      </c>
      <c r="Z151" s="71">
        <f>IF(B151="","",IF(J151=0,0,ROUNDUP(J151/Rend_Desagrupe,0)))</f>
      </c>
      <c r="AA151" s="71">
        <f>IF(B151="","",IF(ENTRADA!$M151="",Z151,ENTRADA!$M151))</f>
      </c>
      <c r="AB151" s="37">
        <f>IF(B151="","",AA151*INDEX(PRECIOS!$H$6:$H$55,K151))</f>
      </c>
      <c r="AC151" s="37">
        <f>IF(B151="","",IF(E151="ENCI",INDEX(PRECIOS!$J$6:$J$55,K151),IF(E151="A.V",INDEX(PRECIOS!$K$6:$K$55,K151),0)))</f>
      </c>
      <c r="AD151" s="37">
        <f>IF(B151="","",N(ENTRADA!$N151))</f>
      </c>
      <c r="AE151" s="70">
        <f>IF(B151="","",AB151+AC151+AD151)</f>
      </c>
      <c r="AF151" s="71">
        <f>IF(B151="","",IF(G151=0,0,ROUNDUP(G151/Cap_Camion_OCC,0)))</f>
      </c>
      <c r="AG151" s="71">
        <f>IF(B151="","",AF151*L_Dist_OCC)</f>
      </c>
      <c r="AH151" s="71">
        <f>IF(B151="","",IF(ENTRADA!$O151="",AG151,ENTRADA!$O151))</f>
      </c>
      <c r="AI151" s="37">
        <f>IF(B151="","",AH151*INDEX(PRECIOS!$E$6:$E$55,K151))</f>
      </c>
      <c r="AJ151" s="71">
        <f>IF(B151="","",IF(H151=0,0,ROUNDUP(H151/Cap_Camion_CEN,0)))</f>
      </c>
      <c r="AK151" s="71">
        <f>IF(B151="","",AJ151*L_Tras_CEN)</f>
      </c>
      <c r="AL151" s="71">
        <f>IF(B151="","",IF(ENTRADA!$P151="",AK151,ENTRADA!$P151))</f>
      </c>
      <c r="AM151" s="71">
        <f>IF(B151="","",AJ151*L_Dist_CEN)</f>
      </c>
      <c r="AN151" s="71">
        <f>IF(B151="","",IF(ENTRADA!$Q151="",AM151,ENTRADA!$Q151))</f>
      </c>
      <c r="AO151" s="37">
        <f>IF(B151="","",(AL151+AN151)*INDEX(PRECIOS!$E$6:$E$55,K151))</f>
      </c>
      <c r="AP151" s="71">
        <f>IF(B151="","",IF(H151=0,0,ROUNDUP(H151/Rend_Desagrupe_CT,0)))</f>
      </c>
      <c r="AQ151" s="71">
        <f>IF(B151="","",IF(ENTRADA!$R151="",AP151,ENTRADA!$R151))</f>
      </c>
      <c r="AR151" s="37">
        <f>IF(B151="","",AQ151*INDEX(PRECIOS!$I$6:$I$55,K151))</f>
      </c>
      <c r="AS151" s="37">
        <f>IF(B151="","",AO151+AR151)</f>
      </c>
      <c r="AT151" s="71">
        <f>IF(B151="","",IF(I151=0,0,ROUNDUP(I151/Cap_Camion_ORI,0)))</f>
      </c>
      <c r="AU151" s="71">
        <f>IF(B151="","",AT151*L_Tras_ORI)</f>
      </c>
      <c r="AV151" s="71">
        <f>IF(B151="","",IF(ENTRADA!$S151="",AU151,ENTRADA!$S151))</f>
      </c>
      <c r="AW151" s="71">
        <f>IF(B151="","",AT151*L_Dist_ORI)</f>
      </c>
      <c r="AX151" s="71">
        <f>IF(B151="","",IF(ENTRADA!$T151="",AW151,ENTRADA!$T151))</f>
      </c>
      <c r="AY151" s="37">
        <f>IF(B151="","",(AV151+AX151)*INDEX(PRECIOS!$E$6:$E$55,K151))</f>
      </c>
      <c r="AZ151" s="71">
        <f>IF(B151="","",IF(I151=0,0,ROUNDUP(I151/Rend_Desagrupe_CT,0)))</f>
      </c>
      <c r="BA151" s="71">
        <f>IF(B151="","",IF(ENTRADA!$U151="",AZ151,ENTRADA!$U151))</f>
      </c>
      <c r="BB151" s="37">
        <f>IF(B151="","",BA151*INDEX(PRECIOS!$I$6:$I$55,K151))</f>
      </c>
      <c r="BC151" s="37">
        <f>IF(B151="","",AY151+BB151)</f>
      </c>
      <c r="BD151" s="70">
        <f>IF(B151="","",AI151+AS151+BC151)</f>
      </c>
      <c r="BE151" s="37">
        <f>IF(B151="","",IF(Base_Comision="% DEL INGRESO",M151*INDEX(PRECIOS!$L$6:$L$55,K151),G151*INDEX(PRECIOS!$M$6:$M$55,K151)))</f>
      </c>
      <c r="BF151" s="37">
        <f>IF(B151="","",IF(Base_Comision="% DEL INGRESO",N151*INDEX(PRECIOS!$L$6:$L$55,K151),H151*INDEX(PRECIOS!$M$6:$M$55,K151)))</f>
      </c>
      <c r="BG151" s="37">
        <f>IF(B151="","",IF(Base_Comision="% DEL INGRESO",O151*INDEX(PRECIOS!$L$6:$L$55,K151),I151*INDEX(PRECIOS!$M$6:$M$55,K151)))</f>
      </c>
      <c r="BH151" s="70">
        <f>IF(B151="","",BE151+BF151+BG151)</f>
      </c>
      <c r="BI151" s="37">
        <f>IF(B151="","",Q151*Pct_Reclamaciones)</f>
      </c>
      <c r="BJ151" s="37">
        <f>IF(B151="","",Q151*Pct_Banco)</f>
      </c>
      <c r="BK151" s="37">
        <f>IF(B151="","",N(ENTRADA!$V151))</f>
      </c>
      <c r="BL151" s="70">
        <f>IF(B151="","",Y151+AE151+BD151+BH151+BI151+BJ151+BK151)</f>
      </c>
      <c r="BM151" s="70">
        <f>IF(B151="","",Q151-BL151)</f>
      </c>
      <c r="BN151" s="72">
        <f>IF(B151="","",IF(Q151=0,0,BM151/Q151))</f>
      </c>
      <c r="BO151" s="73">
        <f>IF(B151="","",IF(J151=0,0,BM151/J151))</f>
      </c>
      <c r="BP151" s="60">
        <f>IF(B151="","",IFERROR(MATCH(D151,COSTOS_FIJOS!$G$5:$AD$5,0),0))</f>
      </c>
      <c r="BQ151" s="60">
        <f>IF(B151="","",COUNTIFS($D$6:$D$305,D151))</f>
      </c>
      <c r="BR151" s="67">
        <f>IF(B151="","",SUMIFS($J$6:$J$305,$D$6:$D$305,D151))</f>
      </c>
      <c r="BS151" s="72">
        <f>IF(B151="","",IF(Metodo_Prorrateo="KG",IF(BR151=0,0,J151/BR151),1/BQ151))</f>
      </c>
      <c r="BT151" s="37">
        <f>IF(B151="","",IF(BP151=0,0,INDEX(COSTOS_FIJOS!$G$38:$AD$38,BP151))*BS151)</f>
      </c>
      <c r="BU151" s="72">
        <f>IF(B151="","",IF(Metodo_Prorrateo="KG",IF(SUMIFS($G$6:$G$305,$D$6:$D$305,D151)=0,0,G151/SUMIFS($G$6:$G$305,$D$6:$D$305,D151)),IF(G151&gt;0,1/COUNTIFS($D$6:$D$305,D151,$G$6:$G$305,"&gt;0"),0)))</f>
      </c>
      <c r="BV151" s="37">
        <f>IF(B151="","",IF(BP151=0,0,INDEX(COSTOS_FIJOS!$G$39:$AD$39,BP151))*BU151)</f>
      </c>
      <c r="BW151" s="72">
        <f>IF(B151="","",IF(Metodo_Prorrateo="KG",IF(SUMIFS($H$6:$H$305,$D$6:$D$305,D151)=0,0,H151/SUMIFS($H$6:$H$305,$D$6:$D$305,D151)),IF(H151&gt;0,1/COUNTIFS($D$6:$D$305,D151,$H$6:$H$305,"&gt;0"),0)))</f>
      </c>
      <c r="BX151" s="37">
        <f>IF(B151="","",IF(BP151=0,0,INDEX(COSTOS_FIJOS!$G$40:$AD$40,BP151))*BW151)</f>
      </c>
      <c r="BY151" s="72">
        <f>IF(B151="","",IF(Metodo_Prorrateo="KG",IF(SUMIFS($I$6:$I$305,$D$6:$D$305,D151)=0,0,I151/SUMIFS($I$6:$I$305,$D$6:$D$305,D151)),IF(I151&gt;0,1/COUNTIFS($D$6:$D$305,D151,$I$6:$I$305,"&gt;0"),0)))</f>
      </c>
      <c r="BZ151" s="37">
        <f>IF(B151="","",IF(BP151=0,0,INDEX(COSTOS_FIJOS!$G$41:$AD$41,BP151))*BY151)</f>
      </c>
      <c r="CA151" s="70">
        <f>IF(B151="","",BT151+BV151+BX151+BZ151)</f>
      </c>
      <c r="CB151" s="37">
        <f>IF(B151="","",Q151*Imp_Ventas_Serv)</f>
      </c>
      <c r="CC151" s="37">
        <f>IF(B151="","",Q151*Contrib_Territorial)</f>
      </c>
      <c r="CD151" s="70">
        <f>IF(B151="","",BM151-CA151-CB151-CC151)</f>
      </c>
      <c r="CE151" s="37">
        <f>IF(B151="","",MAX(0,CD151)*Imp_Utilidades)</f>
      </c>
      <c r="CF151" s="70">
        <f>IF(B151="","",CD151-CE151)</f>
      </c>
      <c r="CG151" s="72">
        <f>IF(B151="","",IF(Q151=0,0,CF151/Q151))</f>
      </c>
      <c r="CH151" s="73">
        <f>IF(B151="","",IF(J151=0,0,(BL151+CA151+CB151+CC151)/J151))</f>
      </c>
      <c r="CI151" s="73">
        <f>IF(B151="","",IF(J151=0,0,Q151/J151))</f>
      </c>
      <c r="CJ151" s="73">
        <f>IF(B151="","",IF(J151=0,0,CD151/J151))</f>
      </c>
      <c r="CK151" s="37">
        <f>IF(B151="","",Y151+AE151+BK151+BT151)</f>
      </c>
      <c r="CL151" s="37">
        <f>IF(B151="","",IF(J151=0,0,(M151+P151*G151/J151)*(1-Pct_Reclamaciones-Pct_Banco-Imp_Ventas_Serv-Contrib_Territorial)-AI151-BE151-BV151-CK151*G151/J151))</f>
      </c>
      <c r="CM151" s="37">
        <f>IF(B151="","",IF(J151=0,0,(N151+P151*H151/J151)*(1-Pct_Reclamaciones-Pct_Banco-Imp_Ventas_Serv-Contrib_Territorial)-AS151-BF151-BX151-CK151*H151/J151))</f>
      </c>
      <c r="CN151" s="37">
        <f>IF(B151="","",IF(J151=0,0,(O151+P151*I151/J151)*(1-Pct_Reclamaciones-Pct_Banco-Imp_Ventas_Serv-Contrib_Territorial)-BC151-BG151-BZ151-CK151*I151/J151))</f>
      </c>
      <c r="CO151" s="37">
        <f>IF(B151="","",IF(J151=0,0,ROUND(CD151-CL151-CM151-CN151,4)))</f>
      </c>
      <c r="CP151" s="71">
        <f>IF(B151="","",T151+AG151+AK151+AM151+AU151+AW151)</f>
      </c>
      <c r="CQ151" s="71">
        <f>IF(B151="","",U151+AH151+AL151+AN151+AV151+AX151)</f>
      </c>
      <c r="CR151" s="72">
        <f>IF(B151="","",IF(CP151=0,0,CQ151/CP151-1))</f>
      </c>
      <c r="CS151" s="60">
        <f>IF(B151="","",IF(ENTRADA!$Y151="","",ENTRADA!$Y151-C151))</f>
      </c>
      <c r="CT151" s="66">
        <f>IF(B151="","",IF(ENTRADA!$C151="","Falta fecha. ","")&amp;IF(BP151=0,"Mes fuera del rango de COSTOS_FIJOS. ","")&amp;IF(J151=0,"Sin kg. ","")&amp;IF(E151="","Falta transitaria. ","")&amp;IF(AND(T151&gt;0,U151/T151-1&gt;Tolerancia_Comb),"Combustible al puerto "&amp;TEXT(U151/T151-1,"+0%")&amp;" sobre norma. ","")&amp;IF(AND(AG151&gt;0,AH151/AG151-1&gt;Tolerancia_Comb),"Combustible distribución Occidente "&amp;TEXT(AH151/AG151-1,"+0%")&amp;" sobre norma. ","")&amp;IF(AND(AK151&gt;0,AL151/AK151-1&gt;Tolerancia_Comb),"Combustible traslado Centro "&amp;TEXT(AL151/AK151-1,"+0%")&amp;" sobre norma. ","")&amp;IF(AND(AM151&gt;0,AN151/AM151-1&gt;Tolerancia_Comb),"Combustible distribución Centro "&amp;TEXT(AN151/AM151-1,"+0%")&amp;" sobre norma. ","")&amp;IF(AND(AU151&gt;0,AV151/AU151-1&gt;Tolerancia_Comb),"Combustible traslado Oriente "&amp;TEXT(AV151/AU151-1,"+0%")&amp;" sobre norma. ","")&amp;IF(AND(AW151&gt;0,AX151/AW151-1&gt;Tolerancia_Comb),"Combustible distribución Oriente "&amp;TEXT(AX151/AW151-1,"+0%")&amp;" sobre norma. ","")&amp;IF(AND(ENTRADA!$C151&lt;&gt;"",C151&lt;PRECIOS!$A$6),"Fecha anterior a la 1ª vigencia de precios. ","")&amp;IF(CD151&lt;0,"Contenedor con pérdida. ",""))</f>
      </c>
    </row>
    <row r="152">
      <c r="A152" s="60">
        <f>IF(B152="","",ROW()-5)</f>
      </c>
      <c r="B152" s="63">
        <f>IF(ENTRADA!$B152="","",ENTRADA!$B152)</f>
      </c>
      <c r="C152" s="64">
        <f>IF(B152="","",ENTRADA!$C152)</f>
      </c>
      <c r="D152" s="65">
        <f>IF(B152="","",DATE(YEAR(C152),MONTH(C152),1))</f>
      </c>
      <c r="E152" s="66">
        <f>IF(B152="","",ENTRADA!$D152&amp;"")</f>
      </c>
      <c r="F152" s="66">
        <f>IF(B152="","",ENTRADA!$Z152&amp;"")</f>
      </c>
      <c r="G152" s="67">
        <f>IF(B152="","",N(ENTRADA!$G152))</f>
      </c>
      <c r="H152" s="67">
        <f>IF(B152="","",N(ENTRADA!$H152))</f>
      </c>
      <c r="I152" s="67">
        <f>IF(B152="","",N(ENTRADA!$I152))</f>
      </c>
      <c r="J152" s="68">
        <f>IF(B152="","",G152+H152+I152)</f>
      </c>
      <c r="K152" s="60">
        <f>IF(B152="","",IFERROR(MATCH(SUMPRODUCT(MAX((PRECIOS!$A$6:$A$55&lt;=C152)*PRECIOS!$A$6:$A$55)),PRECIOS!$A$6:$A$55,0),1))</f>
      </c>
      <c r="L152" s="69">
        <f>IF(B152="","",INDEX(PRECIOS!$A$6:$A$55,K152))</f>
      </c>
      <c r="M152" s="37">
        <f>IF(B152="","",G152*INDEX(PRECIOS!$B$6:$B$55,K152))</f>
      </c>
      <c r="N152" s="37">
        <f>IF(B152="","",H152*INDEX(PRECIOS!$C$6:$C$55,K152))</f>
      </c>
      <c r="O152" s="37">
        <f>IF(B152="","",I152*INDEX(PRECIOS!$D$6:$D$55,K152))</f>
      </c>
      <c r="P152" s="37">
        <f>IF(B152="","",N(ENTRADA!$X152))</f>
      </c>
      <c r="Q152" s="70">
        <f>IF(B152="","",M152+N152+O152+P152)</f>
      </c>
      <c r="R152" s="71">
        <f>IF(B152="","",IF(ENTRADA!$J152="",Std_Viajes_Puerto,ENTRADA!$J152))</f>
      </c>
      <c r="S152" s="37">
        <f>IF(B152="","",R152*INDEX(PRECIOS!$F$6:$F$55,K152))</f>
      </c>
      <c r="T152" s="71">
        <f>IF(B152="","",R152*Litros_Puerto_Viaje)</f>
      </c>
      <c r="U152" s="71">
        <f>IF(B152="","",IF(ENTRADA!$K152="",T152,ENTRADA!$K152))</f>
      </c>
      <c r="V152" s="37">
        <f>IF(B152="","",U152*INDEX(PRECIOS!$E$6:$E$55,K152))</f>
      </c>
      <c r="W152" s="37">
        <f>IF(B152="","",IF(ENTRADA!$L152="",R152*INDEX(PRECIOS!$G$6:$G$55,K152),ENTRADA!$L152))</f>
      </c>
      <c r="X152" s="37">
        <f>IF(B152="","",R152*Km_Puerto_Viaje*INDEX(PRECIOS!$N$6:$N$55,K152))</f>
      </c>
      <c r="Y152" s="70">
        <f>IF(B152="","",S152+V152+W152+X152)</f>
      </c>
      <c r="Z152" s="71">
        <f>IF(B152="","",IF(J152=0,0,ROUNDUP(J152/Rend_Desagrupe,0)))</f>
      </c>
      <c r="AA152" s="71">
        <f>IF(B152="","",IF(ENTRADA!$M152="",Z152,ENTRADA!$M152))</f>
      </c>
      <c r="AB152" s="37">
        <f>IF(B152="","",AA152*INDEX(PRECIOS!$H$6:$H$55,K152))</f>
      </c>
      <c r="AC152" s="37">
        <f>IF(B152="","",IF(E152="ENCI",INDEX(PRECIOS!$J$6:$J$55,K152),IF(E152="A.V",INDEX(PRECIOS!$K$6:$K$55,K152),0)))</f>
      </c>
      <c r="AD152" s="37">
        <f>IF(B152="","",N(ENTRADA!$N152))</f>
      </c>
      <c r="AE152" s="70">
        <f>IF(B152="","",AB152+AC152+AD152)</f>
      </c>
      <c r="AF152" s="71">
        <f>IF(B152="","",IF(G152=0,0,ROUNDUP(G152/Cap_Camion_OCC,0)))</f>
      </c>
      <c r="AG152" s="71">
        <f>IF(B152="","",AF152*L_Dist_OCC)</f>
      </c>
      <c r="AH152" s="71">
        <f>IF(B152="","",IF(ENTRADA!$O152="",AG152,ENTRADA!$O152))</f>
      </c>
      <c r="AI152" s="37">
        <f>IF(B152="","",AH152*INDEX(PRECIOS!$E$6:$E$55,K152))</f>
      </c>
      <c r="AJ152" s="71">
        <f>IF(B152="","",IF(H152=0,0,ROUNDUP(H152/Cap_Camion_CEN,0)))</f>
      </c>
      <c r="AK152" s="71">
        <f>IF(B152="","",AJ152*L_Tras_CEN)</f>
      </c>
      <c r="AL152" s="71">
        <f>IF(B152="","",IF(ENTRADA!$P152="",AK152,ENTRADA!$P152))</f>
      </c>
      <c r="AM152" s="71">
        <f>IF(B152="","",AJ152*L_Dist_CEN)</f>
      </c>
      <c r="AN152" s="71">
        <f>IF(B152="","",IF(ENTRADA!$Q152="",AM152,ENTRADA!$Q152))</f>
      </c>
      <c r="AO152" s="37">
        <f>IF(B152="","",(AL152+AN152)*INDEX(PRECIOS!$E$6:$E$55,K152))</f>
      </c>
      <c r="AP152" s="71">
        <f>IF(B152="","",IF(H152=0,0,ROUNDUP(H152/Rend_Desagrupe_CT,0)))</f>
      </c>
      <c r="AQ152" s="71">
        <f>IF(B152="","",IF(ENTRADA!$R152="",AP152,ENTRADA!$R152))</f>
      </c>
      <c r="AR152" s="37">
        <f>IF(B152="","",AQ152*INDEX(PRECIOS!$I$6:$I$55,K152))</f>
      </c>
      <c r="AS152" s="37">
        <f>IF(B152="","",AO152+AR152)</f>
      </c>
      <c r="AT152" s="71">
        <f>IF(B152="","",IF(I152=0,0,ROUNDUP(I152/Cap_Camion_ORI,0)))</f>
      </c>
      <c r="AU152" s="71">
        <f>IF(B152="","",AT152*L_Tras_ORI)</f>
      </c>
      <c r="AV152" s="71">
        <f>IF(B152="","",IF(ENTRADA!$S152="",AU152,ENTRADA!$S152))</f>
      </c>
      <c r="AW152" s="71">
        <f>IF(B152="","",AT152*L_Dist_ORI)</f>
      </c>
      <c r="AX152" s="71">
        <f>IF(B152="","",IF(ENTRADA!$T152="",AW152,ENTRADA!$T152))</f>
      </c>
      <c r="AY152" s="37">
        <f>IF(B152="","",(AV152+AX152)*INDEX(PRECIOS!$E$6:$E$55,K152))</f>
      </c>
      <c r="AZ152" s="71">
        <f>IF(B152="","",IF(I152=0,0,ROUNDUP(I152/Rend_Desagrupe_CT,0)))</f>
      </c>
      <c r="BA152" s="71">
        <f>IF(B152="","",IF(ENTRADA!$U152="",AZ152,ENTRADA!$U152))</f>
      </c>
      <c r="BB152" s="37">
        <f>IF(B152="","",BA152*INDEX(PRECIOS!$I$6:$I$55,K152))</f>
      </c>
      <c r="BC152" s="37">
        <f>IF(B152="","",AY152+BB152)</f>
      </c>
      <c r="BD152" s="70">
        <f>IF(B152="","",AI152+AS152+BC152)</f>
      </c>
      <c r="BE152" s="37">
        <f>IF(B152="","",IF(Base_Comision="% DEL INGRESO",M152*INDEX(PRECIOS!$L$6:$L$55,K152),G152*INDEX(PRECIOS!$M$6:$M$55,K152)))</f>
      </c>
      <c r="BF152" s="37">
        <f>IF(B152="","",IF(Base_Comision="% DEL INGRESO",N152*INDEX(PRECIOS!$L$6:$L$55,K152),H152*INDEX(PRECIOS!$M$6:$M$55,K152)))</f>
      </c>
      <c r="BG152" s="37">
        <f>IF(B152="","",IF(Base_Comision="% DEL INGRESO",O152*INDEX(PRECIOS!$L$6:$L$55,K152),I152*INDEX(PRECIOS!$M$6:$M$55,K152)))</f>
      </c>
      <c r="BH152" s="70">
        <f>IF(B152="","",BE152+BF152+BG152)</f>
      </c>
      <c r="BI152" s="37">
        <f>IF(B152="","",Q152*Pct_Reclamaciones)</f>
      </c>
      <c r="BJ152" s="37">
        <f>IF(B152="","",Q152*Pct_Banco)</f>
      </c>
      <c r="BK152" s="37">
        <f>IF(B152="","",N(ENTRADA!$V152))</f>
      </c>
      <c r="BL152" s="70">
        <f>IF(B152="","",Y152+AE152+BD152+BH152+BI152+BJ152+BK152)</f>
      </c>
      <c r="BM152" s="70">
        <f>IF(B152="","",Q152-BL152)</f>
      </c>
      <c r="BN152" s="72">
        <f>IF(B152="","",IF(Q152=0,0,BM152/Q152))</f>
      </c>
      <c r="BO152" s="73">
        <f>IF(B152="","",IF(J152=0,0,BM152/J152))</f>
      </c>
      <c r="BP152" s="60">
        <f>IF(B152="","",IFERROR(MATCH(D152,COSTOS_FIJOS!$G$5:$AD$5,0),0))</f>
      </c>
      <c r="BQ152" s="60">
        <f>IF(B152="","",COUNTIFS($D$6:$D$305,D152))</f>
      </c>
      <c r="BR152" s="67">
        <f>IF(B152="","",SUMIFS($J$6:$J$305,$D$6:$D$305,D152))</f>
      </c>
      <c r="BS152" s="72">
        <f>IF(B152="","",IF(Metodo_Prorrateo="KG",IF(BR152=0,0,J152/BR152),1/BQ152))</f>
      </c>
      <c r="BT152" s="37">
        <f>IF(B152="","",IF(BP152=0,0,INDEX(COSTOS_FIJOS!$G$38:$AD$38,BP152))*BS152)</f>
      </c>
      <c r="BU152" s="72">
        <f>IF(B152="","",IF(Metodo_Prorrateo="KG",IF(SUMIFS($G$6:$G$305,$D$6:$D$305,D152)=0,0,G152/SUMIFS($G$6:$G$305,$D$6:$D$305,D152)),IF(G152&gt;0,1/COUNTIFS($D$6:$D$305,D152,$G$6:$G$305,"&gt;0"),0)))</f>
      </c>
      <c r="BV152" s="37">
        <f>IF(B152="","",IF(BP152=0,0,INDEX(COSTOS_FIJOS!$G$39:$AD$39,BP152))*BU152)</f>
      </c>
      <c r="BW152" s="72">
        <f>IF(B152="","",IF(Metodo_Prorrateo="KG",IF(SUMIFS($H$6:$H$305,$D$6:$D$305,D152)=0,0,H152/SUMIFS($H$6:$H$305,$D$6:$D$305,D152)),IF(H152&gt;0,1/COUNTIFS($D$6:$D$305,D152,$H$6:$H$305,"&gt;0"),0)))</f>
      </c>
      <c r="BX152" s="37">
        <f>IF(B152="","",IF(BP152=0,0,INDEX(COSTOS_FIJOS!$G$40:$AD$40,BP152))*BW152)</f>
      </c>
      <c r="BY152" s="72">
        <f>IF(B152="","",IF(Metodo_Prorrateo="KG",IF(SUMIFS($I$6:$I$305,$D$6:$D$305,D152)=0,0,I152/SUMIFS($I$6:$I$305,$D$6:$D$305,D152)),IF(I152&gt;0,1/COUNTIFS($D$6:$D$305,D152,$I$6:$I$305,"&gt;0"),0)))</f>
      </c>
      <c r="BZ152" s="37">
        <f>IF(B152="","",IF(BP152=0,0,INDEX(COSTOS_FIJOS!$G$41:$AD$41,BP152))*BY152)</f>
      </c>
      <c r="CA152" s="70">
        <f>IF(B152="","",BT152+BV152+BX152+BZ152)</f>
      </c>
      <c r="CB152" s="37">
        <f>IF(B152="","",Q152*Imp_Ventas_Serv)</f>
      </c>
      <c r="CC152" s="37">
        <f>IF(B152="","",Q152*Contrib_Territorial)</f>
      </c>
      <c r="CD152" s="70">
        <f>IF(B152="","",BM152-CA152-CB152-CC152)</f>
      </c>
      <c r="CE152" s="37">
        <f>IF(B152="","",MAX(0,CD152)*Imp_Utilidades)</f>
      </c>
      <c r="CF152" s="70">
        <f>IF(B152="","",CD152-CE152)</f>
      </c>
      <c r="CG152" s="72">
        <f>IF(B152="","",IF(Q152=0,0,CF152/Q152))</f>
      </c>
      <c r="CH152" s="73">
        <f>IF(B152="","",IF(J152=0,0,(BL152+CA152+CB152+CC152)/J152))</f>
      </c>
      <c r="CI152" s="73">
        <f>IF(B152="","",IF(J152=0,0,Q152/J152))</f>
      </c>
      <c r="CJ152" s="73">
        <f>IF(B152="","",IF(J152=0,0,CD152/J152))</f>
      </c>
      <c r="CK152" s="37">
        <f>IF(B152="","",Y152+AE152+BK152+BT152)</f>
      </c>
      <c r="CL152" s="37">
        <f>IF(B152="","",IF(J152=0,0,(M152+P152*G152/J152)*(1-Pct_Reclamaciones-Pct_Banco-Imp_Ventas_Serv-Contrib_Territorial)-AI152-BE152-BV152-CK152*G152/J152))</f>
      </c>
      <c r="CM152" s="37">
        <f>IF(B152="","",IF(J152=0,0,(N152+P152*H152/J152)*(1-Pct_Reclamaciones-Pct_Banco-Imp_Ventas_Serv-Contrib_Territorial)-AS152-BF152-BX152-CK152*H152/J152))</f>
      </c>
      <c r="CN152" s="37">
        <f>IF(B152="","",IF(J152=0,0,(O152+P152*I152/J152)*(1-Pct_Reclamaciones-Pct_Banco-Imp_Ventas_Serv-Contrib_Territorial)-BC152-BG152-BZ152-CK152*I152/J152))</f>
      </c>
      <c r="CO152" s="37">
        <f>IF(B152="","",IF(J152=0,0,ROUND(CD152-CL152-CM152-CN152,4)))</f>
      </c>
      <c r="CP152" s="71">
        <f>IF(B152="","",T152+AG152+AK152+AM152+AU152+AW152)</f>
      </c>
      <c r="CQ152" s="71">
        <f>IF(B152="","",U152+AH152+AL152+AN152+AV152+AX152)</f>
      </c>
      <c r="CR152" s="72">
        <f>IF(B152="","",IF(CP152=0,0,CQ152/CP152-1))</f>
      </c>
      <c r="CS152" s="60">
        <f>IF(B152="","",IF(ENTRADA!$Y152="","",ENTRADA!$Y152-C152))</f>
      </c>
      <c r="CT152" s="66">
        <f>IF(B152="","",IF(ENTRADA!$C152="","Falta fecha. ","")&amp;IF(BP152=0,"Mes fuera del rango de COSTOS_FIJOS. ","")&amp;IF(J152=0,"Sin kg. ","")&amp;IF(E152="","Falta transitaria. ","")&amp;IF(AND(T152&gt;0,U152/T152-1&gt;Tolerancia_Comb),"Combustible al puerto "&amp;TEXT(U152/T152-1,"+0%")&amp;" sobre norma. ","")&amp;IF(AND(AG152&gt;0,AH152/AG152-1&gt;Tolerancia_Comb),"Combustible distribución Occidente "&amp;TEXT(AH152/AG152-1,"+0%")&amp;" sobre norma. ","")&amp;IF(AND(AK152&gt;0,AL152/AK152-1&gt;Tolerancia_Comb),"Combustible traslado Centro "&amp;TEXT(AL152/AK152-1,"+0%")&amp;" sobre norma. ","")&amp;IF(AND(AM152&gt;0,AN152/AM152-1&gt;Tolerancia_Comb),"Combustible distribución Centro "&amp;TEXT(AN152/AM152-1,"+0%")&amp;" sobre norma. ","")&amp;IF(AND(AU152&gt;0,AV152/AU152-1&gt;Tolerancia_Comb),"Combustible traslado Oriente "&amp;TEXT(AV152/AU152-1,"+0%")&amp;" sobre norma. ","")&amp;IF(AND(AW152&gt;0,AX152/AW152-1&gt;Tolerancia_Comb),"Combustible distribución Oriente "&amp;TEXT(AX152/AW152-1,"+0%")&amp;" sobre norma. ","")&amp;IF(AND(ENTRADA!$C152&lt;&gt;"",C152&lt;PRECIOS!$A$6),"Fecha anterior a la 1ª vigencia de precios. ","")&amp;IF(CD152&lt;0,"Contenedor con pérdida. ",""))</f>
      </c>
    </row>
    <row r="153">
      <c r="A153" s="60">
        <f>IF(B153="","",ROW()-5)</f>
      </c>
      <c r="B153" s="63">
        <f>IF(ENTRADA!$B153="","",ENTRADA!$B153)</f>
      </c>
      <c r="C153" s="64">
        <f>IF(B153="","",ENTRADA!$C153)</f>
      </c>
      <c r="D153" s="65">
        <f>IF(B153="","",DATE(YEAR(C153),MONTH(C153),1))</f>
      </c>
      <c r="E153" s="66">
        <f>IF(B153="","",ENTRADA!$D153&amp;"")</f>
      </c>
      <c r="F153" s="66">
        <f>IF(B153="","",ENTRADA!$Z153&amp;"")</f>
      </c>
      <c r="G153" s="67">
        <f>IF(B153="","",N(ENTRADA!$G153))</f>
      </c>
      <c r="H153" s="67">
        <f>IF(B153="","",N(ENTRADA!$H153))</f>
      </c>
      <c r="I153" s="67">
        <f>IF(B153="","",N(ENTRADA!$I153))</f>
      </c>
      <c r="J153" s="68">
        <f>IF(B153="","",G153+H153+I153)</f>
      </c>
      <c r="K153" s="60">
        <f>IF(B153="","",IFERROR(MATCH(SUMPRODUCT(MAX((PRECIOS!$A$6:$A$55&lt;=C153)*PRECIOS!$A$6:$A$55)),PRECIOS!$A$6:$A$55,0),1))</f>
      </c>
      <c r="L153" s="69">
        <f>IF(B153="","",INDEX(PRECIOS!$A$6:$A$55,K153))</f>
      </c>
      <c r="M153" s="37">
        <f>IF(B153="","",G153*INDEX(PRECIOS!$B$6:$B$55,K153))</f>
      </c>
      <c r="N153" s="37">
        <f>IF(B153="","",H153*INDEX(PRECIOS!$C$6:$C$55,K153))</f>
      </c>
      <c r="O153" s="37">
        <f>IF(B153="","",I153*INDEX(PRECIOS!$D$6:$D$55,K153))</f>
      </c>
      <c r="P153" s="37">
        <f>IF(B153="","",N(ENTRADA!$X153))</f>
      </c>
      <c r="Q153" s="70">
        <f>IF(B153="","",M153+N153+O153+P153)</f>
      </c>
      <c r="R153" s="71">
        <f>IF(B153="","",IF(ENTRADA!$J153="",Std_Viajes_Puerto,ENTRADA!$J153))</f>
      </c>
      <c r="S153" s="37">
        <f>IF(B153="","",R153*INDEX(PRECIOS!$F$6:$F$55,K153))</f>
      </c>
      <c r="T153" s="71">
        <f>IF(B153="","",R153*Litros_Puerto_Viaje)</f>
      </c>
      <c r="U153" s="71">
        <f>IF(B153="","",IF(ENTRADA!$K153="",T153,ENTRADA!$K153))</f>
      </c>
      <c r="V153" s="37">
        <f>IF(B153="","",U153*INDEX(PRECIOS!$E$6:$E$55,K153))</f>
      </c>
      <c r="W153" s="37">
        <f>IF(B153="","",IF(ENTRADA!$L153="",R153*INDEX(PRECIOS!$G$6:$G$55,K153),ENTRADA!$L153))</f>
      </c>
      <c r="X153" s="37">
        <f>IF(B153="","",R153*Km_Puerto_Viaje*INDEX(PRECIOS!$N$6:$N$55,K153))</f>
      </c>
      <c r="Y153" s="70">
        <f>IF(B153="","",S153+V153+W153+X153)</f>
      </c>
      <c r="Z153" s="71">
        <f>IF(B153="","",IF(J153=0,0,ROUNDUP(J153/Rend_Desagrupe,0)))</f>
      </c>
      <c r="AA153" s="71">
        <f>IF(B153="","",IF(ENTRADA!$M153="",Z153,ENTRADA!$M153))</f>
      </c>
      <c r="AB153" s="37">
        <f>IF(B153="","",AA153*INDEX(PRECIOS!$H$6:$H$55,K153))</f>
      </c>
      <c r="AC153" s="37">
        <f>IF(B153="","",IF(E153="ENCI",INDEX(PRECIOS!$J$6:$J$55,K153),IF(E153="A.V",INDEX(PRECIOS!$K$6:$K$55,K153),0)))</f>
      </c>
      <c r="AD153" s="37">
        <f>IF(B153="","",N(ENTRADA!$N153))</f>
      </c>
      <c r="AE153" s="70">
        <f>IF(B153="","",AB153+AC153+AD153)</f>
      </c>
      <c r="AF153" s="71">
        <f>IF(B153="","",IF(G153=0,0,ROUNDUP(G153/Cap_Camion_OCC,0)))</f>
      </c>
      <c r="AG153" s="71">
        <f>IF(B153="","",AF153*L_Dist_OCC)</f>
      </c>
      <c r="AH153" s="71">
        <f>IF(B153="","",IF(ENTRADA!$O153="",AG153,ENTRADA!$O153))</f>
      </c>
      <c r="AI153" s="37">
        <f>IF(B153="","",AH153*INDEX(PRECIOS!$E$6:$E$55,K153))</f>
      </c>
      <c r="AJ153" s="71">
        <f>IF(B153="","",IF(H153=0,0,ROUNDUP(H153/Cap_Camion_CEN,0)))</f>
      </c>
      <c r="AK153" s="71">
        <f>IF(B153="","",AJ153*L_Tras_CEN)</f>
      </c>
      <c r="AL153" s="71">
        <f>IF(B153="","",IF(ENTRADA!$P153="",AK153,ENTRADA!$P153))</f>
      </c>
      <c r="AM153" s="71">
        <f>IF(B153="","",AJ153*L_Dist_CEN)</f>
      </c>
      <c r="AN153" s="71">
        <f>IF(B153="","",IF(ENTRADA!$Q153="",AM153,ENTRADA!$Q153))</f>
      </c>
      <c r="AO153" s="37">
        <f>IF(B153="","",(AL153+AN153)*INDEX(PRECIOS!$E$6:$E$55,K153))</f>
      </c>
      <c r="AP153" s="71">
        <f>IF(B153="","",IF(H153=0,0,ROUNDUP(H153/Rend_Desagrupe_CT,0)))</f>
      </c>
      <c r="AQ153" s="71">
        <f>IF(B153="","",IF(ENTRADA!$R153="",AP153,ENTRADA!$R153))</f>
      </c>
      <c r="AR153" s="37">
        <f>IF(B153="","",AQ153*INDEX(PRECIOS!$I$6:$I$55,K153))</f>
      </c>
      <c r="AS153" s="37">
        <f>IF(B153="","",AO153+AR153)</f>
      </c>
      <c r="AT153" s="71">
        <f>IF(B153="","",IF(I153=0,0,ROUNDUP(I153/Cap_Camion_ORI,0)))</f>
      </c>
      <c r="AU153" s="71">
        <f>IF(B153="","",AT153*L_Tras_ORI)</f>
      </c>
      <c r="AV153" s="71">
        <f>IF(B153="","",IF(ENTRADA!$S153="",AU153,ENTRADA!$S153))</f>
      </c>
      <c r="AW153" s="71">
        <f>IF(B153="","",AT153*L_Dist_ORI)</f>
      </c>
      <c r="AX153" s="71">
        <f>IF(B153="","",IF(ENTRADA!$T153="",AW153,ENTRADA!$T153))</f>
      </c>
      <c r="AY153" s="37">
        <f>IF(B153="","",(AV153+AX153)*INDEX(PRECIOS!$E$6:$E$55,K153))</f>
      </c>
      <c r="AZ153" s="71">
        <f>IF(B153="","",IF(I153=0,0,ROUNDUP(I153/Rend_Desagrupe_CT,0)))</f>
      </c>
      <c r="BA153" s="71">
        <f>IF(B153="","",IF(ENTRADA!$U153="",AZ153,ENTRADA!$U153))</f>
      </c>
      <c r="BB153" s="37">
        <f>IF(B153="","",BA153*INDEX(PRECIOS!$I$6:$I$55,K153))</f>
      </c>
      <c r="BC153" s="37">
        <f>IF(B153="","",AY153+BB153)</f>
      </c>
      <c r="BD153" s="70">
        <f>IF(B153="","",AI153+AS153+BC153)</f>
      </c>
      <c r="BE153" s="37">
        <f>IF(B153="","",IF(Base_Comision="% DEL INGRESO",M153*INDEX(PRECIOS!$L$6:$L$55,K153),G153*INDEX(PRECIOS!$M$6:$M$55,K153)))</f>
      </c>
      <c r="BF153" s="37">
        <f>IF(B153="","",IF(Base_Comision="% DEL INGRESO",N153*INDEX(PRECIOS!$L$6:$L$55,K153),H153*INDEX(PRECIOS!$M$6:$M$55,K153)))</f>
      </c>
      <c r="BG153" s="37">
        <f>IF(B153="","",IF(Base_Comision="% DEL INGRESO",O153*INDEX(PRECIOS!$L$6:$L$55,K153),I153*INDEX(PRECIOS!$M$6:$M$55,K153)))</f>
      </c>
      <c r="BH153" s="70">
        <f>IF(B153="","",BE153+BF153+BG153)</f>
      </c>
      <c r="BI153" s="37">
        <f>IF(B153="","",Q153*Pct_Reclamaciones)</f>
      </c>
      <c r="BJ153" s="37">
        <f>IF(B153="","",Q153*Pct_Banco)</f>
      </c>
      <c r="BK153" s="37">
        <f>IF(B153="","",N(ENTRADA!$V153))</f>
      </c>
      <c r="BL153" s="70">
        <f>IF(B153="","",Y153+AE153+BD153+BH153+BI153+BJ153+BK153)</f>
      </c>
      <c r="BM153" s="70">
        <f>IF(B153="","",Q153-BL153)</f>
      </c>
      <c r="BN153" s="72">
        <f>IF(B153="","",IF(Q153=0,0,BM153/Q153))</f>
      </c>
      <c r="BO153" s="73">
        <f>IF(B153="","",IF(J153=0,0,BM153/J153))</f>
      </c>
      <c r="BP153" s="60">
        <f>IF(B153="","",IFERROR(MATCH(D153,COSTOS_FIJOS!$G$5:$AD$5,0),0))</f>
      </c>
      <c r="BQ153" s="60">
        <f>IF(B153="","",COUNTIFS($D$6:$D$305,D153))</f>
      </c>
      <c r="BR153" s="67">
        <f>IF(B153="","",SUMIFS($J$6:$J$305,$D$6:$D$305,D153))</f>
      </c>
      <c r="BS153" s="72">
        <f>IF(B153="","",IF(Metodo_Prorrateo="KG",IF(BR153=0,0,J153/BR153),1/BQ153))</f>
      </c>
      <c r="BT153" s="37">
        <f>IF(B153="","",IF(BP153=0,0,INDEX(COSTOS_FIJOS!$G$38:$AD$38,BP153))*BS153)</f>
      </c>
      <c r="BU153" s="72">
        <f>IF(B153="","",IF(Metodo_Prorrateo="KG",IF(SUMIFS($G$6:$G$305,$D$6:$D$305,D153)=0,0,G153/SUMIFS($G$6:$G$305,$D$6:$D$305,D153)),IF(G153&gt;0,1/COUNTIFS($D$6:$D$305,D153,$G$6:$G$305,"&gt;0"),0)))</f>
      </c>
      <c r="BV153" s="37">
        <f>IF(B153="","",IF(BP153=0,0,INDEX(COSTOS_FIJOS!$G$39:$AD$39,BP153))*BU153)</f>
      </c>
      <c r="BW153" s="72">
        <f>IF(B153="","",IF(Metodo_Prorrateo="KG",IF(SUMIFS($H$6:$H$305,$D$6:$D$305,D153)=0,0,H153/SUMIFS($H$6:$H$305,$D$6:$D$305,D153)),IF(H153&gt;0,1/COUNTIFS($D$6:$D$305,D153,$H$6:$H$305,"&gt;0"),0)))</f>
      </c>
      <c r="BX153" s="37">
        <f>IF(B153="","",IF(BP153=0,0,INDEX(COSTOS_FIJOS!$G$40:$AD$40,BP153))*BW153)</f>
      </c>
      <c r="BY153" s="72">
        <f>IF(B153="","",IF(Metodo_Prorrateo="KG",IF(SUMIFS($I$6:$I$305,$D$6:$D$305,D153)=0,0,I153/SUMIFS($I$6:$I$305,$D$6:$D$305,D153)),IF(I153&gt;0,1/COUNTIFS($D$6:$D$305,D153,$I$6:$I$305,"&gt;0"),0)))</f>
      </c>
      <c r="BZ153" s="37">
        <f>IF(B153="","",IF(BP153=0,0,INDEX(COSTOS_FIJOS!$G$41:$AD$41,BP153))*BY153)</f>
      </c>
      <c r="CA153" s="70">
        <f>IF(B153="","",BT153+BV153+BX153+BZ153)</f>
      </c>
      <c r="CB153" s="37">
        <f>IF(B153="","",Q153*Imp_Ventas_Serv)</f>
      </c>
      <c r="CC153" s="37">
        <f>IF(B153="","",Q153*Contrib_Territorial)</f>
      </c>
      <c r="CD153" s="70">
        <f>IF(B153="","",BM153-CA153-CB153-CC153)</f>
      </c>
      <c r="CE153" s="37">
        <f>IF(B153="","",MAX(0,CD153)*Imp_Utilidades)</f>
      </c>
      <c r="CF153" s="70">
        <f>IF(B153="","",CD153-CE153)</f>
      </c>
      <c r="CG153" s="72">
        <f>IF(B153="","",IF(Q153=0,0,CF153/Q153))</f>
      </c>
      <c r="CH153" s="73">
        <f>IF(B153="","",IF(J153=0,0,(BL153+CA153+CB153+CC153)/J153))</f>
      </c>
      <c r="CI153" s="73">
        <f>IF(B153="","",IF(J153=0,0,Q153/J153))</f>
      </c>
      <c r="CJ153" s="73">
        <f>IF(B153="","",IF(J153=0,0,CD153/J153))</f>
      </c>
      <c r="CK153" s="37">
        <f>IF(B153="","",Y153+AE153+BK153+BT153)</f>
      </c>
      <c r="CL153" s="37">
        <f>IF(B153="","",IF(J153=0,0,(M153+P153*G153/J153)*(1-Pct_Reclamaciones-Pct_Banco-Imp_Ventas_Serv-Contrib_Territorial)-AI153-BE153-BV153-CK153*G153/J153))</f>
      </c>
      <c r="CM153" s="37">
        <f>IF(B153="","",IF(J153=0,0,(N153+P153*H153/J153)*(1-Pct_Reclamaciones-Pct_Banco-Imp_Ventas_Serv-Contrib_Territorial)-AS153-BF153-BX153-CK153*H153/J153))</f>
      </c>
      <c r="CN153" s="37">
        <f>IF(B153="","",IF(J153=0,0,(O153+P153*I153/J153)*(1-Pct_Reclamaciones-Pct_Banco-Imp_Ventas_Serv-Contrib_Territorial)-BC153-BG153-BZ153-CK153*I153/J153))</f>
      </c>
      <c r="CO153" s="37">
        <f>IF(B153="","",IF(J153=0,0,ROUND(CD153-CL153-CM153-CN153,4)))</f>
      </c>
      <c r="CP153" s="71">
        <f>IF(B153="","",T153+AG153+AK153+AM153+AU153+AW153)</f>
      </c>
      <c r="CQ153" s="71">
        <f>IF(B153="","",U153+AH153+AL153+AN153+AV153+AX153)</f>
      </c>
      <c r="CR153" s="72">
        <f>IF(B153="","",IF(CP153=0,0,CQ153/CP153-1))</f>
      </c>
      <c r="CS153" s="60">
        <f>IF(B153="","",IF(ENTRADA!$Y153="","",ENTRADA!$Y153-C153))</f>
      </c>
      <c r="CT153" s="66">
        <f>IF(B153="","",IF(ENTRADA!$C153="","Falta fecha. ","")&amp;IF(BP153=0,"Mes fuera del rango de COSTOS_FIJOS. ","")&amp;IF(J153=0,"Sin kg. ","")&amp;IF(E153="","Falta transitaria. ","")&amp;IF(AND(T153&gt;0,U153/T153-1&gt;Tolerancia_Comb),"Combustible al puerto "&amp;TEXT(U153/T153-1,"+0%")&amp;" sobre norma. ","")&amp;IF(AND(AG153&gt;0,AH153/AG153-1&gt;Tolerancia_Comb),"Combustible distribución Occidente "&amp;TEXT(AH153/AG153-1,"+0%")&amp;" sobre norma. ","")&amp;IF(AND(AK153&gt;0,AL153/AK153-1&gt;Tolerancia_Comb),"Combustible traslado Centro "&amp;TEXT(AL153/AK153-1,"+0%")&amp;" sobre norma. ","")&amp;IF(AND(AM153&gt;0,AN153/AM153-1&gt;Tolerancia_Comb),"Combustible distribución Centro "&amp;TEXT(AN153/AM153-1,"+0%")&amp;" sobre norma. ","")&amp;IF(AND(AU153&gt;0,AV153/AU153-1&gt;Tolerancia_Comb),"Combustible traslado Oriente "&amp;TEXT(AV153/AU153-1,"+0%")&amp;" sobre norma. ","")&amp;IF(AND(AW153&gt;0,AX153/AW153-1&gt;Tolerancia_Comb),"Combustible distribución Oriente "&amp;TEXT(AX153/AW153-1,"+0%")&amp;" sobre norma. ","")&amp;IF(AND(ENTRADA!$C153&lt;&gt;"",C153&lt;PRECIOS!$A$6),"Fecha anterior a la 1ª vigencia de precios. ","")&amp;IF(CD153&lt;0,"Contenedor con pérdida. ",""))</f>
      </c>
    </row>
    <row r="154">
      <c r="A154" s="60">
        <f>IF(B154="","",ROW()-5)</f>
      </c>
      <c r="B154" s="63">
        <f>IF(ENTRADA!$B154="","",ENTRADA!$B154)</f>
      </c>
      <c r="C154" s="64">
        <f>IF(B154="","",ENTRADA!$C154)</f>
      </c>
      <c r="D154" s="65">
        <f>IF(B154="","",DATE(YEAR(C154),MONTH(C154),1))</f>
      </c>
      <c r="E154" s="66">
        <f>IF(B154="","",ENTRADA!$D154&amp;"")</f>
      </c>
      <c r="F154" s="66">
        <f>IF(B154="","",ENTRADA!$Z154&amp;"")</f>
      </c>
      <c r="G154" s="67">
        <f>IF(B154="","",N(ENTRADA!$G154))</f>
      </c>
      <c r="H154" s="67">
        <f>IF(B154="","",N(ENTRADA!$H154))</f>
      </c>
      <c r="I154" s="67">
        <f>IF(B154="","",N(ENTRADA!$I154))</f>
      </c>
      <c r="J154" s="68">
        <f>IF(B154="","",G154+H154+I154)</f>
      </c>
      <c r="K154" s="60">
        <f>IF(B154="","",IFERROR(MATCH(SUMPRODUCT(MAX((PRECIOS!$A$6:$A$55&lt;=C154)*PRECIOS!$A$6:$A$55)),PRECIOS!$A$6:$A$55,0),1))</f>
      </c>
      <c r="L154" s="69">
        <f>IF(B154="","",INDEX(PRECIOS!$A$6:$A$55,K154))</f>
      </c>
      <c r="M154" s="37">
        <f>IF(B154="","",G154*INDEX(PRECIOS!$B$6:$B$55,K154))</f>
      </c>
      <c r="N154" s="37">
        <f>IF(B154="","",H154*INDEX(PRECIOS!$C$6:$C$55,K154))</f>
      </c>
      <c r="O154" s="37">
        <f>IF(B154="","",I154*INDEX(PRECIOS!$D$6:$D$55,K154))</f>
      </c>
      <c r="P154" s="37">
        <f>IF(B154="","",N(ENTRADA!$X154))</f>
      </c>
      <c r="Q154" s="70">
        <f>IF(B154="","",M154+N154+O154+P154)</f>
      </c>
      <c r="R154" s="71">
        <f>IF(B154="","",IF(ENTRADA!$J154="",Std_Viajes_Puerto,ENTRADA!$J154))</f>
      </c>
      <c r="S154" s="37">
        <f>IF(B154="","",R154*INDEX(PRECIOS!$F$6:$F$55,K154))</f>
      </c>
      <c r="T154" s="71">
        <f>IF(B154="","",R154*Litros_Puerto_Viaje)</f>
      </c>
      <c r="U154" s="71">
        <f>IF(B154="","",IF(ENTRADA!$K154="",T154,ENTRADA!$K154))</f>
      </c>
      <c r="V154" s="37">
        <f>IF(B154="","",U154*INDEX(PRECIOS!$E$6:$E$55,K154))</f>
      </c>
      <c r="W154" s="37">
        <f>IF(B154="","",IF(ENTRADA!$L154="",R154*INDEX(PRECIOS!$G$6:$G$55,K154),ENTRADA!$L154))</f>
      </c>
      <c r="X154" s="37">
        <f>IF(B154="","",R154*Km_Puerto_Viaje*INDEX(PRECIOS!$N$6:$N$55,K154))</f>
      </c>
      <c r="Y154" s="70">
        <f>IF(B154="","",S154+V154+W154+X154)</f>
      </c>
      <c r="Z154" s="71">
        <f>IF(B154="","",IF(J154=0,0,ROUNDUP(J154/Rend_Desagrupe,0)))</f>
      </c>
      <c r="AA154" s="71">
        <f>IF(B154="","",IF(ENTRADA!$M154="",Z154,ENTRADA!$M154))</f>
      </c>
      <c r="AB154" s="37">
        <f>IF(B154="","",AA154*INDEX(PRECIOS!$H$6:$H$55,K154))</f>
      </c>
      <c r="AC154" s="37">
        <f>IF(B154="","",IF(E154="ENCI",INDEX(PRECIOS!$J$6:$J$55,K154),IF(E154="A.V",INDEX(PRECIOS!$K$6:$K$55,K154),0)))</f>
      </c>
      <c r="AD154" s="37">
        <f>IF(B154="","",N(ENTRADA!$N154))</f>
      </c>
      <c r="AE154" s="70">
        <f>IF(B154="","",AB154+AC154+AD154)</f>
      </c>
      <c r="AF154" s="71">
        <f>IF(B154="","",IF(G154=0,0,ROUNDUP(G154/Cap_Camion_OCC,0)))</f>
      </c>
      <c r="AG154" s="71">
        <f>IF(B154="","",AF154*L_Dist_OCC)</f>
      </c>
      <c r="AH154" s="71">
        <f>IF(B154="","",IF(ENTRADA!$O154="",AG154,ENTRADA!$O154))</f>
      </c>
      <c r="AI154" s="37">
        <f>IF(B154="","",AH154*INDEX(PRECIOS!$E$6:$E$55,K154))</f>
      </c>
      <c r="AJ154" s="71">
        <f>IF(B154="","",IF(H154=0,0,ROUNDUP(H154/Cap_Camion_CEN,0)))</f>
      </c>
      <c r="AK154" s="71">
        <f>IF(B154="","",AJ154*L_Tras_CEN)</f>
      </c>
      <c r="AL154" s="71">
        <f>IF(B154="","",IF(ENTRADA!$P154="",AK154,ENTRADA!$P154))</f>
      </c>
      <c r="AM154" s="71">
        <f>IF(B154="","",AJ154*L_Dist_CEN)</f>
      </c>
      <c r="AN154" s="71">
        <f>IF(B154="","",IF(ENTRADA!$Q154="",AM154,ENTRADA!$Q154))</f>
      </c>
      <c r="AO154" s="37">
        <f>IF(B154="","",(AL154+AN154)*INDEX(PRECIOS!$E$6:$E$55,K154))</f>
      </c>
      <c r="AP154" s="71">
        <f>IF(B154="","",IF(H154=0,0,ROUNDUP(H154/Rend_Desagrupe_CT,0)))</f>
      </c>
      <c r="AQ154" s="71">
        <f>IF(B154="","",IF(ENTRADA!$R154="",AP154,ENTRADA!$R154))</f>
      </c>
      <c r="AR154" s="37">
        <f>IF(B154="","",AQ154*INDEX(PRECIOS!$I$6:$I$55,K154))</f>
      </c>
      <c r="AS154" s="37">
        <f>IF(B154="","",AO154+AR154)</f>
      </c>
      <c r="AT154" s="71">
        <f>IF(B154="","",IF(I154=0,0,ROUNDUP(I154/Cap_Camion_ORI,0)))</f>
      </c>
      <c r="AU154" s="71">
        <f>IF(B154="","",AT154*L_Tras_ORI)</f>
      </c>
      <c r="AV154" s="71">
        <f>IF(B154="","",IF(ENTRADA!$S154="",AU154,ENTRADA!$S154))</f>
      </c>
      <c r="AW154" s="71">
        <f>IF(B154="","",AT154*L_Dist_ORI)</f>
      </c>
      <c r="AX154" s="71">
        <f>IF(B154="","",IF(ENTRADA!$T154="",AW154,ENTRADA!$T154))</f>
      </c>
      <c r="AY154" s="37">
        <f>IF(B154="","",(AV154+AX154)*INDEX(PRECIOS!$E$6:$E$55,K154))</f>
      </c>
      <c r="AZ154" s="71">
        <f>IF(B154="","",IF(I154=0,0,ROUNDUP(I154/Rend_Desagrupe_CT,0)))</f>
      </c>
      <c r="BA154" s="71">
        <f>IF(B154="","",IF(ENTRADA!$U154="",AZ154,ENTRADA!$U154))</f>
      </c>
      <c r="BB154" s="37">
        <f>IF(B154="","",BA154*INDEX(PRECIOS!$I$6:$I$55,K154))</f>
      </c>
      <c r="BC154" s="37">
        <f>IF(B154="","",AY154+BB154)</f>
      </c>
      <c r="BD154" s="70">
        <f>IF(B154="","",AI154+AS154+BC154)</f>
      </c>
      <c r="BE154" s="37">
        <f>IF(B154="","",IF(Base_Comision="% DEL INGRESO",M154*INDEX(PRECIOS!$L$6:$L$55,K154),G154*INDEX(PRECIOS!$M$6:$M$55,K154)))</f>
      </c>
      <c r="BF154" s="37">
        <f>IF(B154="","",IF(Base_Comision="% DEL INGRESO",N154*INDEX(PRECIOS!$L$6:$L$55,K154),H154*INDEX(PRECIOS!$M$6:$M$55,K154)))</f>
      </c>
      <c r="BG154" s="37">
        <f>IF(B154="","",IF(Base_Comision="% DEL INGRESO",O154*INDEX(PRECIOS!$L$6:$L$55,K154),I154*INDEX(PRECIOS!$M$6:$M$55,K154)))</f>
      </c>
      <c r="BH154" s="70">
        <f>IF(B154="","",BE154+BF154+BG154)</f>
      </c>
      <c r="BI154" s="37">
        <f>IF(B154="","",Q154*Pct_Reclamaciones)</f>
      </c>
      <c r="BJ154" s="37">
        <f>IF(B154="","",Q154*Pct_Banco)</f>
      </c>
      <c r="BK154" s="37">
        <f>IF(B154="","",N(ENTRADA!$V154))</f>
      </c>
      <c r="BL154" s="70">
        <f>IF(B154="","",Y154+AE154+BD154+BH154+BI154+BJ154+BK154)</f>
      </c>
      <c r="BM154" s="70">
        <f>IF(B154="","",Q154-BL154)</f>
      </c>
      <c r="BN154" s="72">
        <f>IF(B154="","",IF(Q154=0,0,BM154/Q154))</f>
      </c>
      <c r="BO154" s="73">
        <f>IF(B154="","",IF(J154=0,0,BM154/J154))</f>
      </c>
      <c r="BP154" s="60">
        <f>IF(B154="","",IFERROR(MATCH(D154,COSTOS_FIJOS!$G$5:$AD$5,0),0))</f>
      </c>
      <c r="BQ154" s="60">
        <f>IF(B154="","",COUNTIFS($D$6:$D$305,D154))</f>
      </c>
      <c r="BR154" s="67">
        <f>IF(B154="","",SUMIFS($J$6:$J$305,$D$6:$D$305,D154))</f>
      </c>
      <c r="BS154" s="72">
        <f>IF(B154="","",IF(Metodo_Prorrateo="KG",IF(BR154=0,0,J154/BR154),1/BQ154))</f>
      </c>
      <c r="BT154" s="37">
        <f>IF(B154="","",IF(BP154=0,0,INDEX(COSTOS_FIJOS!$G$38:$AD$38,BP154))*BS154)</f>
      </c>
      <c r="BU154" s="72">
        <f>IF(B154="","",IF(Metodo_Prorrateo="KG",IF(SUMIFS($G$6:$G$305,$D$6:$D$305,D154)=0,0,G154/SUMIFS($G$6:$G$305,$D$6:$D$305,D154)),IF(G154&gt;0,1/COUNTIFS($D$6:$D$305,D154,$G$6:$G$305,"&gt;0"),0)))</f>
      </c>
      <c r="BV154" s="37">
        <f>IF(B154="","",IF(BP154=0,0,INDEX(COSTOS_FIJOS!$G$39:$AD$39,BP154))*BU154)</f>
      </c>
      <c r="BW154" s="72">
        <f>IF(B154="","",IF(Metodo_Prorrateo="KG",IF(SUMIFS($H$6:$H$305,$D$6:$D$305,D154)=0,0,H154/SUMIFS($H$6:$H$305,$D$6:$D$305,D154)),IF(H154&gt;0,1/COUNTIFS($D$6:$D$305,D154,$H$6:$H$305,"&gt;0"),0)))</f>
      </c>
      <c r="BX154" s="37">
        <f>IF(B154="","",IF(BP154=0,0,INDEX(COSTOS_FIJOS!$G$40:$AD$40,BP154))*BW154)</f>
      </c>
      <c r="BY154" s="72">
        <f>IF(B154="","",IF(Metodo_Prorrateo="KG",IF(SUMIFS($I$6:$I$305,$D$6:$D$305,D154)=0,0,I154/SUMIFS($I$6:$I$305,$D$6:$D$305,D154)),IF(I154&gt;0,1/COUNTIFS($D$6:$D$305,D154,$I$6:$I$305,"&gt;0"),0)))</f>
      </c>
      <c r="BZ154" s="37">
        <f>IF(B154="","",IF(BP154=0,0,INDEX(COSTOS_FIJOS!$G$41:$AD$41,BP154))*BY154)</f>
      </c>
      <c r="CA154" s="70">
        <f>IF(B154="","",BT154+BV154+BX154+BZ154)</f>
      </c>
      <c r="CB154" s="37">
        <f>IF(B154="","",Q154*Imp_Ventas_Serv)</f>
      </c>
      <c r="CC154" s="37">
        <f>IF(B154="","",Q154*Contrib_Territorial)</f>
      </c>
      <c r="CD154" s="70">
        <f>IF(B154="","",BM154-CA154-CB154-CC154)</f>
      </c>
      <c r="CE154" s="37">
        <f>IF(B154="","",MAX(0,CD154)*Imp_Utilidades)</f>
      </c>
      <c r="CF154" s="70">
        <f>IF(B154="","",CD154-CE154)</f>
      </c>
      <c r="CG154" s="72">
        <f>IF(B154="","",IF(Q154=0,0,CF154/Q154))</f>
      </c>
      <c r="CH154" s="73">
        <f>IF(B154="","",IF(J154=0,0,(BL154+CA154+CB154+CC154)/J154))</f>
      </c>
      <c r="CI154" s="73">
        <f>IF(B154="","",IF(J154=0,0,Q154/J154))</f>
      </c>
      <c r="CJ154" s="73">
        <f>IF(B154="","",IF(J154=0,0,CD154/J154))</f>
      </c>
      <c r="CK154" s="37">
        <f>IF(B154="","",Y154+AE154+BK154+BT154)</f>
      </c>
      <c r="CL154" s="37">
        <f>IF(B154="","",IF(J154=0,0,(M154+P154*G154/J154)*(1-Pct_Reclamaciones-Pct_Banco-Imp_Ventas_Serv-Contrib_Territorial)-AI154-BE154-BV154-CK154*G154/J154))</f>
      </c>
      <c r="CM154" s="37">
        <f>IF(B154="","",IF(J154=0,0,(N154+P154*H154/J154)*(1-Pct_Reclamaciones-Pct_Banco-Imp_Ventas_Serv-Contrib_Territorial)-AS154-BF154-BX154-CK154*H154/J154))</f>
      </c>
      <c r="CN154" s="37">
        <f>IF(B154="","",IF(J154=0,0,(O154+P154*I154/J154)*(1-Pct_Reclamaciones-Pct_Banco-Imp_Ventas_Serv-Contrib_Territorial)-BC154-BG154-BZ154-CK154*I154/J154))</f>
      </c>
      <c r="CO154" s="37">
        <f>IF(B154="","",IF(J154=0,0,ROUND(CD154-CL154-CM154-CN154,4)))</f>
      </c>
      <c r="CP154" s="71">
        <f>IF(B154="","",T154+AG154+AK154+AM154+AU154+AW154)</f>
      </c>
      <c r="CQ154" s="71">
        <f>IF(B154="","",U154+AH154+AL154+AN154+AV154+AX154)</f>
      </c>
      <c r="CR154" s="72">
        <f>IF(B154="","",IF(CP154=0,0,CQ154/CP154-1))</f>
      </c>
      <c r="CS154" s="60">
        <f>IF(B154="","",IF(ENTRADA!$Y154="","",ENTRADA!$Y154-C154))</f>
      </c>
      <c r="CT154" s="66">
        <f>IF(B154="","",IF(ENTRADA!$C154="","Falta fecha. ","")&amp;IF(BP154=0,"Mes fuera del rango de COSTOS_FIJOS. ","")&amp;IF(J154=0,"Sin kg. ","")&amp;IF(E154="","Falta transitaria. ","")&amp;IF(AND(T154&gt;0,U154/T154-1&gt;Tolerancia_Comb),"Combustible al puerto "&amp;TEXT(U154/T154-1,"+0%")&amp;" sobre norma. ","")&amp;IF(AND(AG154&gt;0,AH154/AG154-1&gt;Tolerancia_Comb),"Combustible distribución Occidente "&amp;TEXT(AH154/AG154-1,"+0%")&amp;" sobre norma. ","")&amp;IF(AND(AK154&gt;0,AL154/AK154-1&gt;Tolerancia_Comb),"Combustible traslado Centro "&amp;TEXT(AL154/AK154-1,"+0%")&amp;" sobre norma. ","")&amp;IF(AND(AM154&gt;0,AN154/AM154-1&gt;Tolerancia_Comb),"Combustible distribución Centro "&amp;TEXT(AN154/AM154-1,"+0%")&amp;" sobre norma. ","")&amp;IF(AND(AU154&gt;0,AV154/AU154-1&gt;Tolerancia_Comb),"Combustible traslado Oriente "&amp;TEXT(AV154/AU154-1,"+0%")&amp;" sobre norma. ","")&amp;IF(AND(AW154&gt;0,AX154/AW154-1&gt;Tolerancia_Comb),"Combustible distribución Oriente "&amp;TEXT(AX154/AW154-1,"+0%")&amp;" sobre norma. ","")&amp;IF(AND(ENTRADA!$C154&lt;&gt;"",C154&lt;PRECIOS!$A$6),"Fecha anterior a la 1ª vigencia de precios. ","")&amp;IF(CD154&lt;0,"Contenedor con pérdida. ",""))</f>
      </c>
    </row>
    <row r="155">
      <c r="A155" s="60">
        <f>IF(B155="","",ROW()-5)</f>
      </c>
      <c r="B155" s="63">
        <f>IF(ENTRADA!$B155="","",ENTRADA!$B155)</f>
      </c>
      <c r="C155" s="64">
        <f>IF(B155="","",ENTRADA!$C155)</f>
      </c>
      <c r="D155" s="65">
        <f>IF(B155="","",DATE(YEAR(C155),MONTH(C155),1))</f>
      </c>
      <c r="E155" s="66">
        <f>IF(B155="","",ENTRADA!$D155&amp;"")</f>
      </c>
      <c r="F155" s="66">
        <f>IF(B155="","",ENTRADA!$Z155&amp;"")</f>
      </c>
      <c r="G155" s="67">
        <f>IF(B155="","",N(ENTRADA!$G155))</f>
      </c>
      <c r="H155" s="67">
        <f>IF(B155="","",N(ENTRADA!$H155))</f>
      </c>
      <c r="I155" s="67">
        <f>IF(B155="","",N(ENTRADA!$I155))</f>
      </c>
      <c r="J155" s="68">
        <f>IF(B155="","",G155+H155+I155)</f>
      </c>
      <c r="K155" s="60">
        <f>IF(B155="","",IFERROR(MATCH(SUMPRODUCT(MAX((PRECIOS!$A$6:$A$55&lt;=C155)*PRECIOS!$A$6:$A$55)),PRECIOS!$A$6:$A$55,0),1))</f>
      </c>
      <c r="L155" s="69">
        <f>IF(B155="","",INDEX(PRECIOS!$A$6:$A$55,K155))</f>
      </c>
      <c r="M155" s="37">
        <f>IF(B155="","",G155*INDEX(PRECIOS!$B$6:$B$55,K155))</f>
      </c>
      <c r="N155" s="37">
        <f>IF(B155="","",H155*INDEX(PRECIOS!$C$6:$C$55,K155))</f>
      </c>
      <c r="O155" s="37">
        <f>IF(B155="","",I155*INDEX(PRECIOS!$D$6:$D$55,K155))</f>
      </c>
      <c r="P155" s="37">
        <f>IF(B155="","",N(ENTRADA!$X155))</f>
      </c>
      <c r="Q155" s="70">
        <f>IF(B155="","",M155+N155+O155+P155)</f>
      </c>
      <c r="R155" s="71">
        <f>IF(B155="","",IF(ENTRADA!$J155="",Std_Viajes_Puerto,ENTRADA!$J155))</f>
      </c>
      <c r="S155" s="37">
        <f>IF(B155="","",R155*INDEX(PRECIOS!$F$6:$F$55,K155))</f>
      </c>
      <c r="T155" s="71">
        <f>IF(B155="","",R155*Litros_Puerto_Viaje)</f>
      </c>
      <c r="U155" s="71">
        <f>IF(B155="","",IF(ENTRADA!$K155="",T155,ENTRADA!$K155))</f>
      </c>
      <c r="V155" s="37">
        <f>IF(B155="","",U155*INDEX(PRECIOS!$E$6:$E$55,K155))</f>
      </c>
      <c r="W155" s="37">
        <f>IF(B155="","",IF(ENTRADA!$L155="",R155*INDEX(PRECIOS!$G$6:$G$55,K155),ENTRADA!$L155))</f>
      </c>
      <c r="X155" s="37">
        <f>IF(B155="","",R155*Km_Puerto_Viaje*INDEX(PRECIOS!$N$6:$N$55,K155))</f>
      </c>
      <c r="Y155" s="70">
        <f>IF(B155="","",S155+V155+W155+X155)</f>
      </c>
      <c r="Z155" s="71">
        <f>IF(B155="","",IF(J155=0,0,ROUNDUP(J155/Rend_Desagrupe,0)))</f>
      </c>
      <c r="AA155" s="71">
        <f>IF(B155="","",IF(ENTRADA!$M155="",Z155,ENTRADA!$M155))</f>
      </c>
      <c r="AB155" s="37">
        <f>IF(B155="","",AA155*INDEX(PRECIOS!$H$6:$H$55,K155))</f>
      </c>
      <c r="AC155" s="37">
        <f>IF(B155="","",IF(E155="ENCI",INDEX(PRECIOS!$J$6:$J$55,K155),IF(E155="A.V",INDEX(PRECIOS!$K$6:$K$55,K155),0)))</f>
      </c>
      <c r="AD155" s="37">
        <f>IF(B155="","",N(ENTRADA!$N155))</f>
      </c>
      <c r="AE155" s="70">
        <f>IF(B155="","",AB155+AC155+AD155)</f>
      </c>
      <c r="AF155" s="71">
        <f>IF(B155="","",IF(G155=0,0,ROUNDUP(G155/Cap_Camion_OCC,0)))</f>
      </c>
      <c r="AG155" s="71">
        <f>IF(B155="","",AF155*L_Dist_OCC)</f>
      </c>
      <c r="AH155" s="71">
        <f>IF(B155="","",IF(ENTRADA!$O155="",AG155,ENTRADA!$O155))</f>
      </c>
      <c r="AI155" s="37">
        <f>IF(B155="","",AH155*INDEX(PRECIOS!$E$6:$E$55,K155))</f>
      </c>
      <c r="AJ155" s="71">
        <f>IF(B155="","",IF(H155=0,0,ROUNDUP(H155/Cap_Camion_CEN,0)))</f>
      </c>
      <c r="AK155" s="71">
        <f>IF(B155="","",AJ155*L_Tras_CEN)</f>
      </c>
      <c r="AL155" s="71">
        <f>IF(B155="","",IF(ENTRADA!$P155="",AK155,ENTRADA!$P155))</f>
      </c>
      <c r="AM155" s="71">
        <f>IF(B155="","",AJ155*L_Dist_CEN)</f>
      </c>
      <c r="AN155" s="71">
        <f>IF(B155="","",IF(ENTRADA!$Q155="",AM155,ENTRADA!$Q155))</f>
      </c>
      <c r="AO155" s="37">
        <f>IF(B155="","",(AL155+AN155)*INDEX(PRECIOS!$E$6:$E$55,K155))</f>
      </c>
      <c r="AP155" s="71">
        <f>IF(B155="","",IF(H155=0,0,ROUNDUP(H155/Rend_Desagrupe_CT,0)))</f>
      </c>
      <c r="AQ155" s="71">
        <f>IF(B155="","",IF(ENTRADA!$R155="",AP155,ENTRADA!$R155))</f>
      </c>
      <c r="AR155" s="37">
        <f>IF(B155="","",AQ155*INDEX(PRECIOS!$I$6:$I$55,K155))</f>
      </c>
      <c r="AS155" s="37">
        <f>IF(B155="","",AO155+AR155)</f>
      </c>
      <c r="AT155" s="71">
        <f>IF(B155="","",IF(I155=0,0,ROUNDUP(I155/Cap_Camion_ORI,0)))</f>
      </c>
      <c r="AU155" s="71">
        <f>IF(B155="","",AT155*L_Tras_ORI)</f>
      </c>
      <c r="AV155" s="71">
        <f>IF(B155="","",IF(ENTRADA!$S155="",AU155,ENTRADA!$S155))</f>
      </c>
      <c r="AW155" s="71">
        <f>IF(B155="","",AT155*L_Dist_ORI)</f>
      </c>
      <c r="AX155" s="71">
        <f>IF(B155="","",IF(ENTRADA!$T155="",AW155,ENTRADA!$T155))</f>
      </c>
      <c r="AY155" s="37">
        <f>IF(B155="","",(AV155+AX155)*INDEX(PRECIOS!$E$6:$E$55,K155))</f>
      </c>
      <c r="AZ155" s="71">
        <f>IF(B155="","",IF(I155=0,0,ROUNDUP(I155/Rend_Desagrupe_CT,0)))</f>
      </c>
      <c r="BA155" s="71">
        <f>IF(B155="","",IF(ENTRADA!$U155="",AZ155,ENTRADA!$U155))</f>
      </c>
      <c r="BB155" s="37">
        <f>IF(B155="","",BA155*INDEX(PRECIOS!$I$6:$I$55,K155))</f>
      </c>
      <c r="BC155" s="37">
        <f>IF(B155="","",AY155+BB155)</f>
      </c>
      <c r="BD155" s="70">
        <f>IF(B155="","",AI155+AS155+BC155)</f>
      </c>
      <c r="BE155" s="37">
        <f>IF(B155="","",IF(Base_Comision="% DEL INGRESO",M155*INDEX(PRECIOS!$L$6:$L$55,K155),G155*INDEX(PRECIOS!$M$6:$M$55,K155)))</f>
      </c>
      <c r="BF155" s="37">
        <f>IF(B155="","",IF(Base_Comision="% DEL INGRESO",N155*INDEX(PRECIOS!$L$6:$L$55,K155),H155*INDEX(PRECIOS!$M$6:$M$55,K155)))</f>
      </c>
      <c r="BG155" s="37">
        <f>IF(B155="","",IF(Base_Comision="% DEL INGRESO",O155*INDEX(PRECIOS!$L$6:$L$55,K155),I155*INDEX(PRECIOS!$M$6:$M$55,K155)))</f>
      </c>
      <c r="BH155" s="70">
        <f>IF(B155="","",BE155+BF155+BG155)</f>
      </c>
      <c r="BI155" s="37">
        <f>IF(B155="","",Q155*Pct_Reclamaciones)</f>
      </c>
      <c r="BJ155" s="37">
        <f>IF(B155="","",Q155*Pct_Banco)</f>
      </c>
      <c r="BK155" s="37">
        <f>IF(B155="","",N(ENTRADA!$V155))</f>
      </c>
      <c r="BL155" s="70">
        <f>IF(B155="","",Y155+AE155+BD155+BH155+BI155+BJ155+BK155)</f>
      </c>
      <c r="BM155" s="70">
        <f>IF(B155="","",Q155-BL155)</f>
      </c>
      <c r="BN155" s="72">
        <f>IF(B155="","",IF(Q155=0,0,BM155/Q155))</f>
      </c>
      <c r="BO155" s="73">
        <f>IF(B155="","",IF(J155=0,0,BM155/J155))</f>
      </c>
      <c r="BP155" s="60">
        <f>IF(B155="","",IFERROR(MATCH(D155,COSTOS_FIJOS!$G$5:$AD$5,0),0))</f>
      </c>
      <c r="BQ155" s="60">
        <f>IF(B155="","",COUNTIFS($D$6:$D$305,D155))</f>
      </c>
      <c r="BR155" s="67">
        <f>IF(B155="","",SUMIFS($J$6:$J$305,$D$6:$D$305,D155))</f>
      </c>
      <c r="BS155" s="72">
        <f>IF(B155="","",IF(Metodo_Prorrateo="KG",IF(BR155=0,0,J155/BR155),1/BQ155))</f>
      </c>
      <c r="BT155" s="37">
        <f>IF(B155="","",IF(BP155=0,0,INDEX(COSTOS_FIJOS!$G$38:$AD$38,BP155))*BS155)</f>
      </c>
      <c r="BU155" s="72">
        <f>IF(B155="","",IF(Metodo_Prorrateo="KG",IF(SUMIFS($G$6:$G$305,$D$6:$D$305,D155)=0,0,G155/SUMIFS($G$6:$G$305,$D$6:$D$305,D155)),IF(G155&gt;0,1/COUNTIFS($D$6:$D$305,D155,$G$6:$G$305,"&gt;0"),0)))</f>
      </c>
      <c r="BV155" s="37">
        <f>IF(B155="","",IF(BP155=0,0,INDEX(COSTOS_FIJOS!$G$39:$AD$39,BP155))*BU155)</f>
      </c>
      <c r="BW155" s="72">
        <f>IF(B155="","",IF(Metodo_Prorrateo="KG",IF(SUMIFS($H$6:$H$305,$D$6:$D$305,D155)=0,0,H155/SUMIFS($H$6:$H$305,$D$6:$D$305,D155)),IF(H155&gt;0,1/COUNTIFS($D$6:$D$305,D155,$H$6:$H$305,"&gt;0"),0)))</f>
      </c>
      <c r="BX155" s="37">
        <f>IF(B155="","",IF(BP155=0,0,INDEX(COSTOS_FIJOS!$G$40:$AD$40,BP155))*BW155)</f>
      </c>
      <c r="BY155" s="72">
        <f>IF(B155="","",IF(Metodo_Prorrateo="KG",IF(SUMIFS($I$6:$I$305,$D$6:$D$305,D155)=0,0,I155/SUMIFS($I$6:$I$305,$D$6:$D$305,D155)),IF(I155&gt;0,1/COUNTIFS($D$6:$D$305,D155,$I$6:$I$305,"&gt;0"),0)))</f>
      </c>
      <c r="BZ155" s="37">
        <f>IF(B155="","",IF(BP155=0,0,INDEX(COSTOS_FIJOS!$G$41:$AD$41,BP155))*BY155)</f>
      </c>
      <c r="CA155" s="70">
        <f>IF(B155="","",BT155+BV155+BX155+BZ155)</f>
      </c>
      <c r="CB155" s="37">
        <f>IF(B155="","",Q155*Imp_Ventas_Serv)</f>
      </c>
      <c r="CC155" s="37">
        <f>IF(B155="","",Q155*Contrib_Territorial)</f>
      </c>
      <c r="CD155" s="70">
        <f>IF(B155="","",BM155-CA155-CB155-CC155)</f>
      </c>
      <c r="CE155" s="37">
        <f>IF(B155="","",MAX(0,CD155)*Imp_Utilidades)</f>
      </c>
      <c r="CF155" s="70">
        <f>IF(B155="","",CD155-CE155)</f>
      </c>
      <c r="CG155" s="72">
        <f>IF(B155="","",IF(Q155=0,0,CF155/Q155))</f>
      </c>
      <c r="CH155" s="73">
        <f>IF(B155="","",IF(J155=0,0,(BL155+CA155+CB155+CC155)/J155))</f>
      </c>
      <c r="CI155" s="73">
        <f>IF(B155="","",IF(J155=0,0,Q155/J155))</f>
      </c>
      <c r="CJ155" s="73">
        <f>IF(B155="","",IF(J155=0,0,CD155/J155))</f>
      </c>
      <c r="CK155" s="37">
        <f>IF(B155="","",Y155+AE155+BK155+BT155)</f>
      </c>
      <c r="CL155" s="37">
        <f>IF(B155="","",IF(J155=0,0,(M155+P155*G155/J155)*(1-Pct_Reclamaciones-Pct_Banco-Imp_Ventas_Serv-Contrib_Territorial)-AI155-BE155-BV155-CK155*G155/J155))</f>
      </c>
      <c r="CM155" s="37">
        <f>IF(B155="","",IF(J155=0,0,(N155+P155*H155/J155)*(1-Pct_Reclamaciones-Pct_Banco-Imp_Ventas_Serv-Contrib_Territorial)-AS155-BF155-BX155-CK155*H155/J155))</f>
      </c>
      <c r="CN155" s="37">
        <f>IF(B155="","",IF(J155=0,0,(O155+P155*I155/J155)*(1-Pct_Reclamaciones-Pct_Banco-Imp_Ventas_Serv-Contrib_Territorial)-BC155-BG155-BZ155-CK155*I155/J155))</f>
      </c>
      <c r="CO155" s="37">
        <f>IF(B155="","",IF(J155=0,0,ROUND(CD155-CL155-CM155-CN155,4)))</f>
      </c>
      <c r="CP155" s="71">
        <f>IF(B155="","",T155+AG155+AK155+AM155+AU155+AW155)</f>
      </c>
      <c r="CQ155" s="71">
        <f>IF(B155="","",U155+AH155+AL155+AN155+AV155+AX155)</f>
      </c>
      <c r="CR155" s="72">
        <f>IF(B155="","",IF(CP155=0,0,CQ155/CP155-1))</f>
      </c>
      <c r="CS155" s="60">
        <f>IF(B155="","",IF(ENTRADA!$Y155="","",ENTRADA!$Y155-C155))</f>
      </c>
      <c r="CT155" s="66">
        <f>IF(B155="","",IF(ENTRADA!$C155="","Falta fecha. ","")&amp;IF(BP155=0,"Mes fuera del rango de COSTOS_FIJOS. ","")&amp;IF(J155=0,"Sin kg. ","")&amp;IF(E155="","Falta transitaria. ","")&amp;IF(AND(T155&gt;0,U155/T155-1&gt;Tolerancia_Comb),"Combustible al puerto "&amp;TEXT(U155/T155-1,"+0%")&amp;" sobre norma. ","")&amp;IF(AND(AG155&gt;0,AH155/AG155-1&gt;Tolerancia_Comb),"Combustible distribución Occidente "&amp;TEXT(AH155/AG155-1,"+0%")&amp;" sobre norma. ","")&amp;IF(AND(AK155&gt;0,AL155/AK155-1&gt;Tolerancia_Comb),"Combustible traslado Centro "&amp;TEXT(AL155/AK155-1,"+0%")&amp;" sobre norma. ","")&amp;IF(AND(AM155&gt;0,AN155/AM155-1&gt;Tolerancia_Comb),"Combustible distribución Centro "&amp;TEXT(AN155/AM155-1,"+0%")&amp;" sobre norma. ","")&amp;IF(AND(AU155&gt;0,AV155/AU155-1&gt;Tolerancia_Comb),"Combustible traslado Oriente "&amp;TEXT(AV155/AU155-1,"+0%")&amp;" sobre norma. ","")&amp;IF(AND(AW155&gt;0,AX155/AW155-1&gt;Tolerancia_Comb),"Combustible distribución Oriente "&amp;TEXT(AX155/AW155-1,"+0%")&amp;" sobre norma. ","")&amp;IF(AND(ENTRADA!$C155&lt;&gt;"",C155&lt;PRECIOS!$A$6),"Fecha anterior a la 1ª vigencia de precios. ","")&amp;IF(CD155&lt;0,"Contenedor con pérdida. ",""))</f>
      </c>
    </row>
    <row r="156">
      <c r="A156" s="60">
        <f>IF(B156="","",ROW()-5)</f>
      </c>
      <c r="B156" s="63">
        <f>IF(ENTRADA!$B156="","",ENTRADA!$B156)</f>
      </c>
      <c r="C156" s="64">
        <f>IF(B156="","",ENTRADA!$C156)</f>
      </c>
      <c r="D156" s="65">
        <f>IF(B156="","",DATE(YEAR(C156),MONTH(C156),1))</f>
      </c>
      <c r="E156" s="66">
        <f>IF(B156="","",ENTRADA!$D156&amp;"")</f>
      </c>
      <c r="F156" s="66">
        <f>IF(B156="","",ENTRADA!$Z156&amp;"")</f>
      </c>
      <c r="G156" s="67">
        <f>IF(B156="","",N(ENTRADA!$G156))</f>
      </c>
      <c r="H156" s="67">
        <f>IF(B156="","",N(ENTRADA!$H156))</f>
      </c>
      <c r="I156" s="67">
        <f>IF(B156="","",N(ENTRADA!$I156))</f>
      </c>
      <c r="J156" s="68">
        <f>IF(B156="","",G156+H156+I156)</f>
      </c>
      <c r="K156" s="60">
        <f>IF(B156="","",IFERROR(MATCH(SUMPRODUCT(MAX((PRECIOS!$A$6:$A$55&lt;=C156)*PRECIOS!$A$6:$A$55)),PRECIOS!$A$6:$A$55,0),1))</f>
      </c>
      <c r="L156" s="69">
        <f>IF(B156="","",INDEX(PRECIOS!$A$6:$A$55,K156))</f>
      </c>
      <c r="M156" s="37">
        <f>IF(B156="","",G156*INDEX(PRECIOS!$B$6:$B$55,K156))</f>
      </c>
      <c r="N156" s="37">
        <f>IF(B156="","",H156*INDEX(PRECIOS!$C$6:$C$55,K156))</f>
      </c>
      <c r="O156" s="37">
        <f>IF(B156="","",I156*INDEX(PRECIOS!$D$6:$D$55,K156))</f>
      </c>
      <c r="P156" s="37">
        <f>IF(B156="","",N(ENTRADA!$X156))</f>
      </c>
      <c r="Q156" s="70">
        <f>IF(B156="","",M156+N156+O156+P156)</f>
      </c>
      <c r="R156" s="71">
        <f>IF(B156="","",IF(ENTRADA!$J156="",Std_Viajes_Puerto,ENTRADA!$J156))</f>
      </c>
      <c r="S156" s="37">
        <f>IF(B156="","",R156*INDEX(PRECIOS!$F$6:$F$55,K156))</f>
      </c>
      <c r="T156" s="71">
        <f>IF(B156="","",R156*Litros_Puerto_Viaje)</f>
      </c>
      <c r="U156" s="71">
        <f>IF(B156="","",IF(ENTRADA!$K156="",T156,ENTRADA!$K156))</f>
      </c>
      <c r="V156" s="37">
        <f>IF(B156="","",U156*INDEX(PRECIOS!$E$6:$E$55,K156))</f>
      </c>
      <c r="W156" s="37">
        <f>IF(B156="","",IF(ENTRADA!$L156="",R156*INDEX(PRECIOS!$G$6:$G$55,K156),ENTRADA!$L156))</f>
      </c>
      <c r="X156" s="37">
        <f>IF(B156="","",R156*Km_Puerto_Viaje*INDEX(PRECIOS!$N$6:$N$55,K156))</f>
      </c>
      <c r="Y156" s="70">
        <f>IF(B156="","",S156+V156+W156+X156)</f>
      </c>
      <c r="Z156" s="71">
        <f>IF(B156="","",IF(J156=0,0,ROUNDUP(J156/Rend_Desagrupe,0)))</f>
      </c>
      <c r="AA156" s="71">
        <f>IF(B156="","",IF(ENTRADA!$M156="",Z156,ENTRADA!$M156))</f>
      </c>
      <c r="AB156" s="37">
        <f>IF(B156="","",AA156*INDEX(PRECIOS!$H$6:$H$55,K156))</f>
      </c>
      <c r="AC156" s="37">
        <f>IF(B156="","",IF(E156="ENCI",INDEX(PRECIOS!$J$6:$J$55,K156),IF(E156="A.V",INDEX(PRECIOS!$K$6:$K$55,K156),0)))</f>
      </c>
      <c r="AD156" s="37">
        <f>IF(B156="","",N(ENTRADA!$N156))</f>
      </c>
      <c r="AE156" s="70">
        <f>IF(B156="","",AB156+AC156+AD156)</f>
      </c>
      <c r="AF156" s="71">
        <f>IF(B156="","",IF(G156=0,0,ROUNDUP(G156/Cap_Camion_OCC,0)))</f>
      </c>
      <c r="AG156" s="71">
        <f>IF(B156="","",AF156*L_Dist_OCC)</f>
      </c>
      <c r="AH156" s="71">
        <f>IF(B156="","",IF(ENTRADA!$O156="",AG156,ENTRADA!$O156))</f>
      </c>
      <c r="AI156" s="37">
        <f>IF(B156="","",AH156*INDEX(PRECIOS!$E$6:$E$55,K156))</f>
      </c>
      <c r="AJ156" s="71">
        <f>IF(B156="","",IF(H156=0,0,ROUNDUP(H156/Cap_Camion_CEN,0)))</f>
      </c>
      <c r="AK156" s="71">
        <f>IF(B156="","",AJ156*L_Tras_CEN)</f>
      </c>
      <c r="AL156" s="71">
        <f>IF(B156="","",IF(ENTRADA!$P156="",AK156,ENTRADA!$P156))</f>
      </c>
      <c r="AM156" s="71">
        <f>IF(B156="","",AJ156*L_Dist_CEN)</f>
      </c>
      <c r="AN156" s="71">
        <f>IF(B156="","",IF(ENTRADA!$Q156="",AM156,ENTRADA!$Q156))</f>
      </c>
      <c r="AO156" s="37">
        <f>IF(B156="","",(AL156+AN156)*INDEX(PRECIOS!$E$6:$E$55,K156))</f>
      </c>
      <c r="AP156" s="71">
        <f>IF(B156="","",IF(H156=0,0,ROUNDUP(H156/Rend_Desagrupe_CT,0)))</f>
      </c>
      <c r="AQ156" s="71">
        <f>IF(B156="","",IF(ENTRADA!$R156="",AP156,ENTRADA!$R156))</f>
      </c>
      <c r="AR156" s="37">
        <f>IF(B156="","",AQ156*INDEX(PRECIOS!$I$6:$I$55,K156))</f>
      </c>
      <c r="AS156" s="37">
        <f>IF(B156="","",AO156+AR156)</f>
      </c>
      <c r="AT156" s="71">
        <f>IF(B156="","",IF(I156=0,0,ROUNDUP(I156/Cap_Camion_ORI,0)))</f>
      </c>
      <c r="AU156" s="71">
        <f>IF(B156="","",AT156*L_Tras_ORI)</f>
      </c>
      <c r="AV156" s="71">
        <f>IF(B156="","",IF(ENTRADA!$S156="",AU156,ENTRADA!$S156))</f>
      </c>
      <c r="AW156" s="71">
        <f>IF(B156="","",AT156*L_Dist_ORI)</f>
      </c>
      <c r="AX156" s="71">
        <f>IF(B156="","",IF(ENTRADA!$T156="",AW156,ENTRADA!$T156))</f>
      </c>
      <c r="AY156" s="37">
        <f>IF(B156="","",(AV156+AX156)*INDEX(PRECIOS!$E$6:$E$55,K156))</f>
      </c>
      <c r="AZ156" s="71">
        <f>IF(B156="","",IF(I156=0,0,ROUNDUP(I156/Rend_Desagrupe_CT,0)))</f>
      </c>
      <c r="BA156" s="71">
        <f>IF(B156="","",IF(ENTRADA!$U156="",AZ156,ENTRADA!$U156))</f>
      </c>
      <c r="BB156" s="37">
        <f>IF(B156="","",BA156*INDEX(PRECIOS!$I$6:$I$55,K156))</f>
      </c>
      <c r="BC156" s="37">
        <f>IF(B156="","",AY156+BB156)</f>
      </c>
      <c r="BD156" s="70">
        <f>IF(B156="","",AI156+AS156+BC156)</f>
      </c>
      <c r="BE156" s="37">
        <f>IF(B156="","",IF(Base_Comision="% DEL INGRESO",M156*INDEX(PRECIOS!$L$6:$L$55,K156),G156*INDEX(PRECIOS!$M$6:$M$55,K156)))</f>
      </c>
      <c r="BF156" s="37">
        <f>IF(B156="","",IF(Base_Comision="% DEL INGRESO",N156*INDEX(PRECIOS!$L$6:$L$55,K156),H156*INDEX(PRECIOS!$M$6:$M$55,K156)))</f>
      </c>
      <c r="BG156" s="37">
        <f>IF(B156="","",IF(Base_Comision="% DEL INGRESO",O156*INDEX(PRECIOS!$L$6:$L$55,K156),I156*INDEX(PRECIOS!$M$6:$M$55,K156)))</f>
      </c>
      <c r="BH156" s="70">
        <f>IF(B156="","",BE156+BF156+BG156)</f>
      </c>
      <c r="BI156" s="37">
        <f>IF(B156="","",Q156*Pct_Reclamaciones)</f>
      </c>
      <c r="BJ156" s="37">
        <f>IF(B156="","",Q156*Pct_Banco)</f>
      </c>
      <c r="BK156" s="37">
        <f>IF(B156="","",N(ENTRADA!$V156))</f>
      </c>
      <c r="BL156" s="70">
        <f>IF(B156="","",Y156+AE156+BD156+BH156+BI156+BJ156+BK156)</f>
      </c>
      <c r="BM156" s="70">
        <f>IF(B156="","",Q156-BL156)</f>
      </c>
      <c r="BN156" s="72">
        <f>IF(B156="","",IF(Q156=0,0,BM156/Q156))</f>
      </c>
      <c r="BO156" s="73">
        <f>IF(B156="","",IF(J156=0,0,BM156/J156))</f>
      </c>
      <c r="BP156" s="60">
        <f>IF(B156="","",IFERROR(MATCH(D156,COSTOS_FIJOS!$G$5:$AD$5,0),0))</f>
      </c>
      <c r="BQ156" s="60">
        <f>IF(B156="","",COUNTIFS($D$6:$D$305,D156))</f>
      </c>
      <c r="BR156" s="67">
        <f>IF(B156="","",SUMIFS($J$6:$J$305,$D$6:$D$305,D156))</f>
      </c>
      <c r="BS156" s="72">
        <f>IF(B156="","",IF(Metodo_Prorrateo="KG",IF(BR156=0,0,J156/BR156),1/BQ156))</f>
      </c>
      <c r="BT156" s="37">
        <f>IF(B156="","",IF(BP156=0,0,INDEX(COSTOS_FIJOS!$G$38:$AD$38,BP156))*BS156)</f>
      </c>
      <c r="BU156" s="72">
        <f>IF(B156="","",IF(Metodo_Prorrateo="KG",IF(SUMIFS($G$6:$G$305,$D$6:$D$305,D156)=0,0,G156/SUMIFS($G$6:$G$305,$D$6:$D$305,D156)),IF(G156&gt;0,1/COUNTIFS($D$6:$D$305,D156,$G$6:$G$305,"&gt;0"),0)))</f>
      </c>
      <c r="BV156" s="37">
        <f>IF(B156="","",IF(BP156=0,0,INDEX(COSTOS_FIJOS!$G$39:$AD$39,BP156))*BU156)</f>
      </c>
      <c r="BW156" s="72">
        <f>IF(B156="","",IF(Metodo_Prorrateo="KG",IF(SUMIFS($H$6:$H$305,$D$6:$D$305,D156)=0,0,H156/SUMIFS($H$6:$H$305,$D$6:$D$305,D156)),IF(H156&gt;0,1/COUNTIFS($D$6:$D$305,D156,$H$6:$H$305,"&gt;0"),0)))</f>
      </c>
      <c r="BX156" s="37">
        <f>IF(B156="","",IF(BP156=0,0,INDEX(COSTOS_FIJOS!$G$40:$AD$40,BP156))*BW156)</f>
      </c>
      <c r="BY156" s="72">
        <f>IF(B156="","",IF(Metodo_Prorrateo="KG",IF(SUMIFS($I$6:$I$305,$D$6:$D$305,D156)=0,0,I156/SUMIFS($I$6:$I$305,$D$6:$D$305,D156)),IF(I156&gt;0,1/COUNTIFS($D$6:$D$305,D156,$I$6:$I$305,"&gt;0"),0)))</f>
      </c>
      <c r="BZ156" s="37">
        <f>IF(B156="","",IF(BP156=0,0,INDEX(COSTOS_FIJOS!$G$41:$AD$41,BP156))*BY156)</f>
      </c>
      <c r="CA156" s="70">
        <f>IF(B156="","",BT156+BV156+BX156+BZ156)</f>
      </c>
      <c r="CB156" s="37">
        <f>IF(B156="","",Q156*Imp_Ventas_Serv)</f>
      </c>
      <c r="CC156" s="37">
        <f>IF(B156="","",Q156*Contrib_Territorial)</f>
      </c>
      <c r="CD156" s="70">
        <f>IF(B156="","",BM156-CA156-CB156-CC156)</f>
      </c>
      <c r="CE156" s="37">
        <f>IF(B156="","",MAX(0,CD156)*Imp_Utilidades)</f>
      </c>
      <c r="CF156" s="70">
        <f>IF(B156="","",CD156-CE156)</f>
      </c>
      <c r="CG156" s="72">
        <f>IF(B156="","",IF(Q156=0,0,CF156/Q156))</f>
      </c>
      <c r="CH156" s="73">
        <f>IF(B156="","",IF(J156=0,0,(BL156+CA156+CB156+CC156)/J156))</f>
      </c>
      <c r="CI156" s="73">
        <f>IF(B156="","",IF(J156=0,0,Q156/J156))</f>
      </c>
      <c r="CJ156" s="73">
        <f>IF(B156="","",IF(J156=0,0,CD156/J156))</f>
      </c>
      <c r="CK156" s="37">
        <f>IF(B156="","",Y156+AE156+BK156+BT156)</f>
      </c>
      <c r="CL156" s="37">
        <f>IF(B156="","",IF(J156=0,0,(M156+P156*G156/J156)*(1-Pct_Reclamaciones-Pct_Banco-Imp_Ventas_Serv-Contrib_Territorial)-AI156-BE156-BV156-CK156*G156/J156))</f>
      </c>
      <c r="CM156" s="37">
        <f>IF(B156="","",IF(J156=0,0,(N156+P156*H156/J156)*(1-Pct_Reclamaciones-Pct_Banco-Imp_Ventas_Serv-Contrib_Territorial)-AS156-BF156-BX156-CK156*H156/J156))</f>
      </c>
      <c r="CN156" s="37">
        <f>IF(B156="","",IF(J156=0,0,(O156+P156*I156/J156)*(1-Pct_Reclamaciones-Pct_Banco-Imp_Ventas_Serv-Contrib_Territorial)-BC156-BG156-BZ156-CK156*I156/J156))</f>
      </c>
      <c r="CO156" s="37">
        <f>IF(B156="","",IF(J156=0,0,ROUND(CD156-CL156-CM156-CN156,4)))</f>
      </c>
      <c r="CP156" s="71">
        <f>IF(B156="","",T156+AG156+AK156+AM156+AU156+AW156)</f>
      </c>
      <c r="CQ156" s="71">
        <f>IF(B156="","",U156+AH156+AL156+AN156+AV156+AX156)</f>
      </c>
      <c r="CR156" s="72">
        <f>IF(B156="","",IF(CP156=0,0,CQ156/CP156-1))</f>
      </c>
      <c r="CS156" s="60">
        <f>IF(B156="","",IF(ENTRADA!$Y156="","",ENTRADA!$Y156-C156))</f>
      </c>
      <c r="CT156" s="66">
        <f>IF(B156="","",IF(ENTRADA!$C156="","Falta fecha. ","")&amp;IF(BP156=0,"Mes fuera del rango de COSTOS_FIJOS. ","")&amp;IF(J156=0,"Sin kg. ","")&amp;IF(E156="","Falta transitaria. ","")&amp;IF(AND(T156&gt;0,U156/T156-1&gt;Tolerancia_Comb),"Combustible al puerto "&amp;TEXT(U156/T156-1,"+0%")&amp;" sobre norma. ","")&amp;IF(AND(AG156&gt;0,AH156/AG156-1&gt;Tolerancia_Comb),"Combustible distribución Occidente "&amp;TEXT(AH156/AG156-1,"+0%")&amp;" sobre norma. ","")&amp;IF(AND(AK156&gt;0,AL156/AK156-1&gt;Tolerancia_Comb),"Combustible traslado Centro "&amp;TEXT(AL156/AK156-1,"+0%")&amp;" sobre norma. ","")&amp;IF(AND(AM156&gt;0,AN156/AM156-1&gt;Tolerancia_Comb),"Combustible distribución Centro "&amp;TEXT(AN156/AM156-1,"+0%")&amp;" sobre norma. ","")&amp;IF(AND(AU156&gt;0,AV156/AU156-1&gt;Tolerancia_Comb),"Combustible traslado Oriente "&amp;TEXT(AV156/AU156-1,"+0%")&amp;" sobre norma. ","")&amp;IF(AND(AW156&gt;0,AX156/AW156-1&gt;Tolerancia_Comb),"Combustible distribución Oriente "&amp;TEXT(AX156/AW156-1,"+0%")&amp;" sobre norma. ","")&amp;IF(AND(ENTRADA!$C156&lt;&gt;"",C156&lt;PRECIOS!$A$6),"Fecha anterior a la 1ª vigencia de precios. ","")&amp;IF(CD156&lt;0,"Contenedor con pérdida. ",""))</f>
      </c>
    </row>
    <row r="157">
      <c r="A157" s="60">
        <f>IF(B157="","",ROW()-5)</f>
      </c>
      <c r="B157" s="63">
        <f>IF(ENTRADA!$B157="","",ENTRADA!$B157)</f>
      </c>
      <c r="C157" s="64">
        <f>IF(B157="","",ENTRADA!$C157)</f>
      </c>
      <c r="D157" s="65">
        <f>IF(B157="","",DATE(YEAR(C157),MONTH(C157),1))</f>
      </c>
      <c r="E157" s="66">
        <f>IF(B157="","",ENTRADA!$D157&amp;"")</f>
      </c>
      <c r="F157" s="66">
        <f>IF(B157="","",ENTRADA!$Z157&amp;"")</f>
      </c>
      <c r="G157" s="67">
        <f>IF(B157="","",N(ENTRADA!$G157))</f>
      </c>
      <c r="H157" s="67">
        <f>IF(B157="","",N(ENTRADA!$H157))</f>
      </c>
      <c r="I157" s="67">
        <f>IF(B157="","",N(ENTRADA!$I157))</f>
      </c>
      <c r="J157" s="68">
        <f>IF(B157="","",G157+H157+I157)</f>
      </c>
      <c r="K157" s="60">
        <f>IF(B157="","",IFERROR(MATCH(SUMPRODUCT(MAX((PRECIOS!$A$6:$A$55&lt;=C157)*PRECIOS!$A$6:$A$55)),PRECIOS!$A$6:$A$55,0),1))</f>
      </c>
      <c r="L157" s="69">
        <f>IF(B157="","",INDEX(PRECIOS!$A$6:$A$55,K157))</f>
      </c>
      <c r="M157" s="37">
        <f>IF(B157="","",G157*INDEX(PRECIOS!$B$6:$B$55,K157))</f>
      </c>
      <c r="N157" s="37">
        <f>IF(B157="","",H157*INDEX(PRECIOS!$C$6:$C$55,K157))</f>
      </c>
      <c r="O157" s="37">
        <f>IF(B157="","",I157*INDEX(PRECIOS!$D$6:$D$55,K157))</f>
      </c>
      <c r="P157" s="37">
        <f>IF(B157="","",N(ENTRADA!$X157))</f>
      </c>
      <c r="Q157" s="70">
        <f>IF(B157="","",M157+N157+O157+P157)</f>
      </c>
      <c r="R157" s="71">
        <f>IF(B157="","",IF(ENTRADA!$J157="",Std_Viajes_Puerto,ENTRADA!$J157))</f>
      </c>
      <c r="S157" s="37">
        <f>IF(B157="","",R157*INDEX(PRECIOS!$F$6:$F$55,K157))</f>
      </c>
      <c r="T157" s="71">
        <f>IF(B157="","",R157*Litros_Puerto_Viaje)</f>
      </c>
      <c r="U157" s="71">
        <f>IF(B157="","",IF(ENTRADA!$K157="",T157,ENTRADA!$K157))</f>
      </c>
      <c r="V157" s="37">
        <f>IF(B157="","",U157*INDEX(PRECIOS!$E$6:$E$55,K157))</f>
      </c>
      <c r="W157" s="37">
        <f>IF(B157="","",IF(ENTRADA!$L157="",R157*INDEX(PRECIOS!$G$6:$G$55,K157),ENTRADA!$L157))</f>
      </c>
      <c r="X157" s="37">
        <f>IF(B157="","",R157*Km_Puerto_Viaje*INDEX(PRECIOS!$N$6:$N$55,K157))</f>
      </c>
      <c r="Y157" s="70">
        <f>IF(B157="","",S157+V157+W157+X157)</f>
      </c>
      <c r="Z157" s="71">
        <f>IF(B157="","",IF(J157=0,0,ROUNDUP(J157/Rend_Desagrupe,0)))</f>
      </c>
      <c r="AA157" s="71">
        <f>IF(B157="","",IF(ENTRADA!$M157="",Z157,ENTRADA!$M157))</f>
      </c>
      <c r="AB157" s="37">
        <f>IF(B157="","",AA157*INDEX(PRECIOS!$H$6:$H$55,K157))</f>
      </c>
      <c r="AC157" s="37">
        <f>IF(B157="","",IF(E157="ENCI",INDEX(PRECIOS!$J$6:$J$55,K157),IF(E157="A.V",INDEX(PRECIOS!$K$6:$K$55,K157),0)))</f>
      </c>
      <c r="AD157" s="37">
        <f>IF(B157="","",N(ENTRADA!$N157))</f>
      </c>
      <c r="AE157" s="70">
        <f>IF(B157="","",AB157+AC157+AD157)</f>
      </c>
      <c r="AF157" s="71">
        <f>IF(B157="","",IF(G157=0,0,ROUNDUP(G157/Cap_Camion_OCC,0)))</f>
      </c>
      <c r="AG157" s="71">
        <f>IF(B157="","",AF157*L_Dist_OCC)</f>
      </c>
      <c r="AH157" s="71">
        <f>IF(B157="","",IF(ENTRADA!$O157="",AG157,ENTRADA!$O157))</f>
      </c>
      <c r="AI157" s="37">
        <f>IF(B157="","",AH157*INDEX(PRECIOS!$E$6:$E$55,K157))</f>
      </c>
      <c r="AJ157" s="71">
        <f>IF(B157="","",IF(H157=0,0,ROUNDUP(H157/Cap_Camion_CEN,0)))</f>
      </c>
      <c r="AK157" s="71">
        <f>IF(B157="","",AJ157*L_Tras_CEN)</f>
      </c>
      <c r="AL157" s="71">
        <f>IF(B157="","",IF(ENTRADA!$P157="",AK157,ENTRADA!$P157))</f>
      </c>
      <c r="AM157" s="71">
        <f>IF(B157="","",AJ157*L_Dist_CEN)</f>
      </c>
      <c r="AN157" s="71">
        <f>IF(B157="","",IF(ENTRADA!$Q157="",AM157,ENTRADA!$Q157))</f>
      </c>
      <c r="AO157" s="37">
        <f>IF(B157="","",(AL157+AN157)*INDEX(PRECIOS!$E$6:$E$55,K157))</f>
      </c>
      <c r="AP157" s="71">
        <f>IF(B157="","",IF(H157=0,0,ROUNDUP(H157/Rend_Desagrupe_CT,0)))</f>
      </c>
      <c r="AQ157" s="71">
        <f>IF(B157="","",IF(ENTRADA!$R157="",AP157,ENTRADA!$R157))</f>
      </c>
      <c r="AR157" s="37">
        <f>IF(B157="","",AQ157*INDEX(PRECIOS!$I$6:$I$55,K157))</f>
      </c>
      <c r="AS157" s="37">
        <f>IF(B157="","",AO157+AR157)</f>
      </c>
      <c r="AT157" s="71">
        <f>IF(B157="","",IF(I157=0,0,ROUNDUP(I157/Cap_Camion_ORI,0)))</f>
      </c>
      <c r="AU157" s="71">
        <f>IF(B157="","",AT157*L_Tras_ORI)</f>
      </c>
      <c r="AV157" s="71">
        <f>IF(B157="","",IF(ENTRADA!$S157="",AU157,ENTRADA!$S157))</f>
      </c>
      <c r="AW157" s="71">
        <f>IF(B157="","",AT157*L_Dist_ORI)</f>
      </c>
      <c r="AX157" s="71">
        <f>IF(B157="","",IF(ENTRADA!$T157="",AW157,ENTRADA!$T157))</f>
      </c>
      <c r="AY157" s="37">
        <f>IF(B157="","",(AV157+AX157)*INDEX(PRECIOS!$E$6:$E$55,K157))</f>
      </c>
      <c r="AZ157" s="71">
        <f>IF(B157="","",IF(I157=0,0,ROUNDUP(I157/Rend_Desagrupe_CT,0)))</f>
      </c>
      <c r="BA157" s="71">
        <f>IF(B157="","",IF(ENTRADA!$U157="",AZ157,ENTRADA!$U157))</f>
      </c>
      <c r="BB157" s="37">
        <f>IF(B157="","",BA157*INDEX(PRECIOS!$I$6:$I$55,K157))</f>
      </c>
      <c r="BC157" s="37">
        <f>IF(B157="","",AY157+BB157)</f>
      </c>
      <c r="BD157" s="70">
        <f>IF(B157="","",AI157+AS157+BC157)</f>
      </c>
      <c r="BE157" s="37">
        <f>IF(B157="","",IF(Base_Comision="% DEL INGRESO",M157*INDEX(PRECIOS!$L$6:$L$55,K157),G157*INDEX(PRECIOS!$M$6:$M$55,K157)))</f>
      </c>
      <c r="BF157" s="37">
        <f>IF(B157="","",IF(Base_Comision="% DEL INGRESO",N157*INDEX(PRECIOS!$L$6:$L$55,K157),H157*INDEX(PRECIOS!$M$6:$M$55,K157)))</f>
      </c>
      <c r="BG157" s="37">
        <f>IF(B157="","",IF(Base_Comision="% DEL INGRESO",O157*INDEX(PRECIOS!$L$6:$L$55,K157),I157*INDEX(PRECIOS!$M$6:$M$55,K157)))</f>
      </c>
      <c r="BH157" s="70">
        <f>IF(B157="","",BE157+BF157+BG157)</f>
      </c>
      <c r="BI157" s="37">
        <f>IF(B157="","",Q157*Pct_Reclamaciones)</f>
      </c>
      <c r="BJ157" s="37">
        <f>IF(B157="","",Q157*Pct_Banco)</f>
      </c>
      <c r="BK157" s="37">
        <f>IF(B157="","",N(ENTRADA!$V157))</f>
      </c>
      <c r="BL157" s="70">
        <f>IF(B157="","",Y157+AE157+BD157+BH157+BI157+BJ157+BK157)</f>
      </c>
      <c r="BM157" s="70">
        <f>IF(B157="","",Q157-BL157)</f>
      </c>
      <c r="BN157" s="72">
        <f>IF(B157="","",IF(Q157=0,0,BM157/Q157))</f>
      </c>
      <c r="BO157" s="73">
        <f>IF(B157="","",IF(J157=0,0,BM157/J157))</f>
      </c>
      <c r="BP157" s="60">
        <f>IF(B157="","",IFERROR(MATCH(D157,COSTOS_FIJOS!$G$5:$AD$5,0),0))</f>
      </c>
      <c r="BQ157" s="60">
        <f>IF(B157="","",COUNTIFS($D$6:$D$305,D157))</f>
      </c>
      <c r="BR157" s="67">
        <f>IF(B157="","",SUMIFS($J$6:$J$305,$D$6:$D$305,D157))</f>
      </c>
      <c r="BS157" s="72">
        <f>IF(B157="","",IF(Metodo_Prorrateo="KG",IF(BR157=0,0,J157/BR157),1/BQ157))</f>
      </c>
      <c r="BT157" s="37">
        <f>IF(B157="","",IF(BP157=0,0,INDEX(COSTOS_FIJOS!$G$38:$AD$38,BP157))*BS157)</f>
      </c>
      <c r="BU157" s="72">
        <f>IF(B157="","",IF(Metodo_Prorrateo="KG",IF(SUMIFS($G$6:$G$305,$D$6:$D$305,D157)=0,0,G157/SUMIFS($G$6:$G$305,$D$6:$D$305,D157)),IF(G157&gt;0,1/COUNTIFS($D$6:$D$305,D157,$G$6:$G$305,"&gt;0"),0)))</f>
      </c>
      <c r="BV157" s="37">
        <f>IF(B157="","",IF(BP157=0,0,INDEX(COSTOS_FIJOS!$G$39:$AD$39,BP157))*BU157)</f>
      </c>
      <c r="BW157" s="72">
        <f>IF(B157="","",IF(Metodo_Prorrateo="KG",IF(SUMIFS($H$6:$H$305,$D$6:$D$305,D157)=0,0,H157/SUMIFS($H$6:$H$305,$D$6:$D$305,D157)),IF(H157&gt;0,1/COUNTIFS($D$6:$D$305,D157,$H$6:$H$305,"&gt;0"),0)))</f>
      </c>
      <c r="BX157" s="37">
        <f>IF(B157="","",IF(BP157=0,0,INDEX(COSTOS_FIJOS!$G$40:$AD$40,BP157))*BW157)</f>
      </c>
      <c r="BY157" s="72">
        <f>IF(B157="","",IF(Metodo_Prorrateo="KG",IF(SUMIFS($I$6:$I$305,$D$6:$D$305,D157)=0,0,I157/SUMIFS($I$6:$I$305,$D$6:$D$305,D157)),IF(I157&gt;0,1/COUNTIFS($D$6:$D$305,D157,$I$6:$I$305,"&gt;0"),0)))</f>
      </c>
      <c r="BZ157" s="37">
        <f>IF(B157="","",IF(BP157=0,0,INDEX(COSTOS_FIJOS!$G$41:$AD$41,BP157))*BY157)</f>
      </c>
      <c r="CA157" s="70">
        <f>IF(B157="","",BT157+BV157+BX157+BZ157)</f>
      </c>
      <c r="CB157" s="37">
        <f>IF(B157="","",Q157*Imp_Ventas_Serv)</f>
      </c>
      <c r="CC157" s="37">
        <f>IF(B157="","",Q157*Contrib_Territorial)</f>
      </c>
      <c r="CD157" s="70">
        <f>IF(B157="","",BM157-CA157-CB157-CC157)</f>
      </c>
      <c r="CE157" s="37">
        <f>IF(B157="","",MAX(0,CD157)*Imp_Utilidades)</f>
      </c>
      <c r="CF157" s="70">
        <f>IF(B157="","",CD157-CE157)</f>
      </c>
      <c r="CG157" s="72">
        <f>IF(B157="","",IF(Q157=0,0,CF157/Q157))</f>
      </c>
      <c r="CH157" s="73">
        <f>IF(B157="","",IF(J157=0,0,(BL157+CA157+CB157+CC157)/J157))</f>
      </c>
      <c r="CI157" s="73">
        <f>IF(B157="","",IF(J157=0,0,Q157/J157))</f>
      </c>
      <c r="CJ157" s="73">
        <f>IF(B157="","",IF(J157=0,0,CD157/J157))</f>
      </c>
      <c r="CK157" s="37">
        <f>IF(B157="","",Y157+AE157+BK157+BT157)</f>
      </c>
      <c r="CL157" s="37">
        <f>IF(B157="","",IF(J157=0,0,(M157+P157*G157/J157)*(1-Pct_Reclamaciones-Pct_Banco-Imp_Ventas_Serv-Contrib_Territorial)-AI157-BE157-BV157-CK157*G157/J157))</f>
      </c>
      <c r="CM157" s="37">
        <f>IF(B157="","",IF(J157=0,0,(N157+P157*H157/J157)*(1-Pct_Reclamaciones-Pct_Banco-Imp_Ventas_Serv-Contrib_Territorial)-AS157-BF157-BX157-CK157*H157/J157))</f>
      </c>
      <c r="CN157" s="37">
        <f>IF(B157="","",IF(J157=0,0,(O157+P157*I157/J157)*(1-Pct_Reclamaciones-Pct_Banco-Imp_Ventas_Serv-Contrib_Territorial)-BC157-BG157-BZ157-CK157*I157/J157))</f>
      </c>
      <c r="CO157" s="37">
        <f>IF(B157="","",IF(J157=0,0,ROUND(CD157-CL157-CM157-CN157,4)))</f>
      </c>
      <c r="CP157" s="71">
        <f>IF(B157="","",T157+AG157+AK157+AM157+AU157+AW157)</f>
      </c>
      <c r="CQ157" s="71">
        <f>IF(B157="","",U157+AH157+AL157+AN157+AV157+AX157)</f>
      </c>
      <c r="CR157" s="72">
        <f>IF(B157="","",IF(CP157=0,0,CQ157/CP157-1))</f>
      </c>
      <c r="CS157" s="60">
        <f>IF(B157="","",IF(ENTRADA!$Y157="","",ENTRADA!$Y157-C157))</f>
      </c>
      <c r="CT157" s="66">
        <f>IF(B157="","",IF(ENTRADA!$C157="","Falta fecha. ","")&amp;IF(BP157=0,"Mes fuera del rango de COSTOS_FIJOS. ","")&amp;IF(J157=0,"Sin kg. ","")&amp;IF(E157="","Falta transitaria. ","")&amp;IF(AND(T157&gt;0,U157/T157-1&gt;Tolerancia_Comb),"Combustible al puerto "&amp;TEXT(U157/T157-1,"+0%")&amp;" sobre norma. ","")&amp;IF(AND(AG157&gt;0,AH157/AG157-1&gt;Tolerancia_Comb),"Combustible distribución Occidente "&amp;TEXT(AH157/AG157-1,"+0%")&amp;" sobre norma. ","")&amp;IF(AND(AK157&gt;0,AL157/AK157-1&gt;Tolerancia_Comb),"Combustible traslado Centro "&amp;TEXT(AL157/AK157-1,"+0%")&amp;" sobre norma. ","")&amp;IF(AND(AM157&gt;0,AN157/AM157-1&gt;Tolerancia_Comb),"Combustible distribución Centro "&amp;TEXT(AN157/AM157-1,"+0%")&amp;" sobre norma. ","")&amp;IF(AND(AU157&gt;0,AV157/AU157-1&gt;Tolerancia_Comb),"Combustible traslado Oriente "&amp;TEXT(AV157/AU157-1,"+0%")&amp;" sobre norma. ","")&amp;IF(AND(AW157&gt;0,AX157/AW157-1&gt;Tolerancia_Comb),"Combustible distribución Oriente "&amp;TEXT(AX157/AW157-1,"+0%")&amp;" sobre norma. ","")&amp;IF(AND(ENTRADA!$C157&lt;&gt;"",C157&lt;PRECIOS!$A$6),"Fecha anterior a la 1ª vigencia de precios. ","")&amp;IF(CD157&lt;0,"Contenedor con pérdida. ",""))</f>
      </c>
    </row>
    <row r="158">
      <c r="A158" s="60">
        <f>IF(B158="","",ROW()-5)</f>
      </c>
      <c r="B158" s="63">
        <f>IF(ENTRADA!$B158="","",ENTRADA!$B158)</f>
      </c>
      <c r="C158" s="64">
        <f>IF(B158="","",ENTRADA!$C158)</f>
      </c>
      <c r="D158" s="65">
        <f>IF(B158="","",DATE(YEAR(C158),MONTH(C158),1))</f>
      </c>
      <c r="E158" s="66">
        <f>IF(B158="","",ENTRADA!$D158&amp;"")</f>
      </c>
      <c r="F158" s="66">
        <f>IF(B158="","",ENTRADA!$Z158&amp;"")</f>
      </c>
      <c r="G158" s="67">
        <f>IF(B158="","",N(ENTRADA!$G158))</f>
      </c>
      <c r="H158" s="67">
        <f>IF(B158="","",N(ENTRADA!$H158))</f>
      </c>
      <c r="I158" s="67">
        <f>IF(B158="","",N(ENTRADA!$I158))</f>
      </c>
      <c r="J158" s="68">
        <f>IF(B158="","",G158+H158+I158)</f>
      </c>
      <c r="K158" s="60">
        <f>IF(B158="","",IFERROR(MATCH(SUMPRODUCT(MAX((PRECIOS!$A$6:$A$55&lt;=C158)*PRECIOS!$A$6:$A$55)),PRECIOS!$A$6:$A$55,0),1))</f>
      </c>
      <c r="L158" s="69">
        <f>IF(B158="","",INDEX(PRECIOS!$A$6:$A$55,K158))</f>
      </c>
      <c r="M158" s="37">
        <f>IF(B158="","",G158*INDEX(PRECIOS!$B$6:$B$55,K158))</f>
      </c>
      <c r="N158" s="37">
        <f>IF(B158="","",H158*INDEX(PRECIOS!$C$6:$C$55,K158))</f>
      </c>
      <c r="O158" s="37">
        <f>IF(B158="","",I158*INDEX(PRECIOS!$D$6:$D$55,K158))</f>
      </c>
      <c r="P158" s="37">
        <f>IF(B158="","",N(ENTRADA!$X158))</f>
      </c>
      <c r="Q158" s="70">
        <f>IF(B158="","",M158+N158+O158+P158)</f>
      </c>
      <c r="R158" s="71">
        <f>IF(B158="","",IF(ENTRADA!$J158="",Std_Viajes_Puerto,ENTRADA!$J158))</f>
      </c>
      <c r="S158" s="37">
        <f>IF(B158="","",R158*INDEX(PRECIOS!$F$6:$F$55,K158))</f>
      </c>
      <c r="T158" s="71">
        <f>IF(B158="","",R158*Litros_Puerto_Viaje)</f>
      </c>
      <c r="U158" s="71">
        <f>IF(B158="","",IF(ENTRADA!$K158="",T158,ENTRADA!$K158))</f>
      </c>
      <c r="V158" s="37">
        <f>IF(B158="","",U158*INDEX(PRECIOS!$E$6:$E$55,K158))</f>
      </c>
      <c r="W158" s="37">
        <f>IF(B158="","",IF(ENTRADA!$L158="",R158*INDEX(PRECIOS!$G$6:$G$55,K158),ENTRADA!$L158))</f>
      </c>
      <c r="X158" s="37">
        <f>IF(B158="","",R158*Km_Puerto_Viaje*INDEX(PRECIOS!$N$6:$N$55,K158))</f>
      </c>
      <c r="Y158" s="70">
        <f>IF(B158="","",S158+V158+W158+X158)</f>
      </c>
      <c r="Z158" s="71">
        <f>IF(B158="","",IF(J158=0,0,ROUNDUP(J158/Rend_Desagrupe,0)))</f>
      </c>
      <c r="AA158" s="71">
        <f>IF(B158="","",IF(ENTRADA!$M158="",Z158,ENTRADA!$M158))</f>
      </c>
      <c r="AB158" s="37">
        <f>IF(B158="","",AA158*INDEX(PRECIOS!$H$6:$H$55,K158))</f>
      </c>
      <c r="AC158" s="37">
        <f>IF(B158="","",IF(E158="ENCI",INDEX(PRECIOS!$J$6:$J$55,K158),IF(E158="A.V",INDEX(PRECIOS!$K$6:$K$55,K158),0)))</f>
      </c>
      <c r="AD158" s="37">
        <f>IF(B158="","",N(ENTRADA!$N158))</f>
      </c>
      <c r="AE158" s="70">
        <f>IF(B158="","",AB158+AC158+AD158)</f>
      </c>
      <c r="AF158" s="71">
        <f>IF(B158="","",IF(G158=0,0,ROUNDUP(G158/Cap_Camion_OCC,0)))</f>
      </c>
      <c r="AG158" s="71">
        <f>IF(B158="","",AF158*L_Dist_OCC)</f>
      </c>
      <c r="AH158" s="71">
        <f>IF(B158="","",IF(ENTRADA!$O158="",AG158,ENTRADA!$O158))</f>
      </c>
      <c r="AI158" s="37">
        <f>IF(B158="","",AH158*INDEX(PRECIOS!$E$6:$E$55,K158))</f>
      </c>
      <c r="AJ158" s="71">
        <f>IF(B158="","",IF(H158=0,0,ROUNDUP(H158/Cap_Camion_CEN,0)))</f>
      </c>
      <c r="AK158" s="71">
        <f>IF(B158="","",AJ158*L_Tras_CEN)</f>
      </c>
      <c r="AL158" s="71">
        <f>IF(B158="","",IF(ENTRADA!$P158="",AK158,ENTRADA!$P158))</f>
      </c>
      <c r="AM158" s="71">
        <f>IF(B158="","",AJ158*L_Dist_CEN)</f>
      </c>
      <c r="AN158" s="71">
        <f>IF(B158="","",IF(ENTRADA!$Q158="",AM158,ENTRADA!$Q158))</f>
      </c>
      <c r="AO158" s="37">
        <f>IF(B158="","",(AL158+AN158)*INDEX(PRECIOS!$E$6:$E$55,K158))</f>
      </c>
      <c r="AP158" s="71">
        <f>IF(B158="","",IF(H158=0,0,ROUNDUP(H158/Rend_Desagrupe_CT,0)))</f>
      </c>
      <c r="AQ158" s="71">
        <f>IF(B158="","",IF(ENTRADA!$R158="",AP158,ENTRADA!$R158))</f>
      </c>
      <c r="AR158" s="37">
        <f>IF(B158="","",AQ158*INDEX(PRECIOS!$I$6:$I$55,K158))</f>
      </c>
      <c r="AS158" s="37">
        <f>IF(B158="","",AO158+AR158)</f>
      </c>
      <c r="AT158" s="71">
        <f>IF(B158="","",IF(I158=0,0,ROUNDUP(I158/Cap_Camion_ORI,0)))</f>
      </c>
      <c r="AU158" s="71">
        <f>IF(B158="","",AT158*L_Tras_ORI)</f>
      </c>
      <c r="AV158" s="71">
        <f>IF(B158="","",IF(ENTRADA!$S158="",AU158,ENTRADA!$S158))</f>
      </c>
      <c r="AW158" s="71">
        <f>IF(B158="","",AT158*L_Dist_ORI)</f>
      </c>
      <c r="AX158" s="71">
        <f>IF(B158="","",IF(ENTRADA!$T158="",AW158,ENTRADA!$T158))</f>
      </c>
      <c r="AY158" s="37">
        <f>IF(B158="","",(AV158+AX158)*INDEX(PRECIOS!$E$6:$E$55,K158))</f>
      </c>
      <c r="AZ158" s="71">
        <f>IF(B158="","",IF(I158=0,0,ROUNDUP(I158/Rend_Desagrupe_CT,0)))</f>
      </c>
      <c r="BA158" s="71">
        <f>IF(B158="","",IF(ENTRADA!$U158="",AZ158,ENTRADA!$U158))</f>
      </c>
      <c r="BB158" s="37">
        <f>IF(B158="","",BA158*INDEX(PRECIOS!$I$6:$I$55,K158))</f>
      </c>
      <c r="BC158" s="37">
        <f>IF(B158="","",AY158+BB158)</f>
      </c>
      <c r="BD158" s="70">
        <f>IF(B158="","",AI158+AS158+BC158)</f>
      </c>
      <c r="BE158" s="37">
        <f>IF(B158="","",IF(Base_Comision="% DEL INGRESO",M158*INDEX(PRECIOS!$L$6:$L$55,K158),G158*INDEX(PRECIOS!$M$6:$M$55,K158)))</f>
      </c>
      <c r="BF158" s="37">
        <f>IF(B158="","",IF(Base_Comision="% DEL INGRESO",N158*INDEX(PRECIOS!$L$6:$L$55,K158),H158*INDEX(PRECIOS!$M$6:$M$55,K158)))</f>
      </c>
      <c r="BG158" s="37">
        <f>IF(B158="","",IF(Base_Comision="% DEL INGRESO",O158*INDEX(PRECIOS!$L$6:$L$55,K158),I158*INDEX(PRECIOS!$M$6:$M$55,K158)))</f>
      </c>
      <c r="BH158" s="70">
        <f>IF(B158="","",BE158+BF158+BG158)</f>
      </c>
      <c r="BI158" s="37">
        <f>IF(B158="","",Q158*Pct_Reclamaciones)</f>
      </c>
      <c r="BJ158" s="37">
        <f>IF(B158="","",Q158*Pct_Banco)</f>
      </c>
      <c r="BK158" s="37">
        <f>IF(B158="","",N(ENTRADA!$V158))</f>
      </c>
      <c r="BL158" s="70">
        <f>IF(B158="","",Y158+AE158+BD158+BH158+BI158+BJ158+BK158)</f>
      </c>
      <c r="BM158" s="70">
        <f>IF(B158="","",Q158-BL158)</f>
      </c>
      <c r="BN158" s="72">
        <f>IF(B158="","",IF(Q158=0,0,BM158/Q158))</f>
      </c>
      <c r="BO158" s="73">
        <f>IF(B158="","",IF(J158=0,0,BM158/J158))</f>
      </c>
      <c r="BP158" s="60">
        <f>IF(B158="","",IFERROR(MATCH(D158,COSTOS_FIJOS!$G$5:$AD$5,0),0))</f>
      </c>
      <c r="BQ158" s="60">
        <f>IF(B158="","",COUNTIFS($D$6:$D$305,D158))</f>
      </c>
      <c r="BR158" s="67">
        <f>IF(B158="","",SUMIFS($J$6:$J$305,$D$6:$D$305,D158))</f>
      </c>
      <c r="BS158" s="72">
        <f>IF(B158="","",IF(Metodo_Prorrateo="KG",IF(BR158=0,0,J158/BR158),1/BQ158))</f>
      </c>
      <c r="BT158" s="37">
        <f>IF(B158="","",IF(BP158=0,0,INDEX(COSTOS_FIJOS!$G$38:$AD$38,BP158))*BS158)</f>
      </c>
      <c r="BU158" s="72">
        <f>IF(B158="","",IF(Metodo_Prorrateo="KG",IF(SUMIFS($G$6:$G$305,$D$6:$D$305,D158)=0,0,G158/SUMIFS($G$6:$G$305,$D$6:$D$305,D158)),IF(G158&gt;0,1/COUNTIFS($D$6:$D$305,D158,$G$6:$G$305,"&gt;0"),0)))</f>
      </c>
      <c r="BV158" s="37">
        <f>IF(B158="","",IF(BP158=0,0,INDEX(COSTOS_FIJOS!$G$39:$AD$39,BP158))*BU158)</f>
      </c>
      <c r="BW158" s="72">
        <f>IF(B158="","",IF(Metodo_Prorrateo="KG",IF(SUMIFS($H$6:$H$305,$D$6:$D$305,D158)=0,0,H158/SUMIFS($H$6:$H$305,$D$6:$D$305,D158)),IF(H158&gt;0,1/COUNTIFS($D$6:$D$305,D158,$H$6:$H$305,"&gt;0"),0)))</f>
      </c>
      <c r="BX158" s="37">
        <f>IF(B158="","",IF(BP158=0,0,INDEX(COSTOS_FIJOS!$G$40:$AD$40,BP158))*BW158)</f>
      </c>
      <c r="BY158" s="72">
        <f>IF(B158="","",IF(Metodo_Prorrateo="KG",IF(SUMIFS($I$6:$I$305,$D$6:$D$305,D158)=0,0,I158/SUMIFS($I$6:$I$305,$D$6:$D$305,D158)),IF(I158&gt;0,1/COUNTIFS($D$6:$D$305,D158,$I$6:$I$305,"&gt;0"),0)))</f>
      </c>
      <c r="BZ158" s="37">
        <f>IF(B158="","",IF(BP158=0,0,INDEX(COSTOS_FIJOS!$G$41:$AD$41,BP158))*BY158)</f>
      </c>
      <c r="CA158" s="70">
        <f>IF(B158="","",BT158+BV158+BX158+BZ158)</f>
      </c>
      <c r="CB158" s="37">
        <f>IF(B158="","",Q158*Imp_Ventas_Serv)</f>
      </c>
      <c r="CC158" s="37">
        <f>IF(B158="","",Q158*Contrib_Territorial)</f>
      </c>
      <c r="CD158" s="70">
        <f>IF(B158="","",BM158-CA158-CB158-CC158)</f>
      </c>
      <c r="CE158" s="37">
        <f>IF(B158="","",MAX(0,CD158)*Imp_Utilidades)</f>
      </c>
      <c r="CF158" s="70">
        <f>IF(B158="","",CD158-CE158)</f>
      </c>
      <c r="CG158" s="72">
        <f>IF(B158="","",IF(Q158=0,0,CF158/Q158))</f>
      </c>
      <c r="CH158" s="73">
        <f>IF(B158="","",IF(J158=0,0,(BL158+CA158+CB158+CC158)/J158))</f>
      </c>
      <c r="CI158" s="73">
        <f>IF(B158="","",IF(J158=0,0,Q158/J158))</f>
      </c>
      <c r="CJ158" s="73">
        <f>IF(B158="","",IF(J158=0,0,CD158/J158))</f>
      </c>
      <c r="CK158" s="37">
        <f>IF(B158="","",Y158+AE158+BK158+BT158)</f>
      </c>
      <c r="CL158" s="37">
        <f>IF(B158="","",IF(J158=0,0,(M158+P158*G158/J158)*(1-Pct_Reclamaciones-Pct_Banco-Imp_Ventas_Serv-Contrib_Territorial)-AI158-BE158-BV158-CK158*G158/J158))</f>
      </c>
      <c r="CM158" s="37">
        <f>IF(B158="","",IF(J158=0,0,(N158+P158*H158/J158)*(1-Pct_Reclamaciones-Pct_Banco-Imp_Ventas_Serv-Contrib_Territorial)-AS158-BF158-BX158-CK158*H158/J158))</f>
      </c>
      <c r="CN158" s="37">
        <f>IF(B158="","",IF(J158=0,0,(O158+P158*I158/J158)*(1-Pct_Reclamaciones-Pct_Banco-Imp_Ventas_Serv-Contrib_Territorial)-BC158-BG158-BZ158-CK158*I158/J158))</f>
      </c>
      <c r="CO158" s="37">
        <f>IF(B158="","",IF(J158=0,0,ROUND(CD158-CL158-CM158-CN158,4)))</f>
      </c>
      <c r="CP158" s="71">
        <f>IF(B158="","",T158+AG158+AK158+AM158+AU158+AW158)</f>
      </c>
      <c r="CQ158" s="71">
        <f>IF(B158="","",U158+AH158+AL158+AN158+AV158+AX158)</f>
      </c>
      <c r="CR158" s="72">
        <f>IF(B158="","",IF(CP158=0,0,CQ158/CP158-1))</f>
      </c>
      <c r="CS158" s="60">
        <f>IF(B158="","",IF(ENTRADA!$Y158="","",ENTRADA!$Y158-C158))</f>
      </c>
      <c r="CT158" s="66">
        <f>IF(B158="","",IF(ENTRADA!$C158="","Falta fecha. ","")&amp;IF(BP158=0,"Mes fuera del rango de COSTOS_FIJOS. ","")&amp;IF(J158=0,"Sin kg. ","")&amp;IF(E158="","Falta transitaria. ","")&amp;IF(AND(T158&gt;0,U158/T158-1&gt;Tolerancia_Comb),"Combustible al puerto "&amp;TEXT(U158/T158-1,"+0%")&amp;" sobre norma. ","")&amp;IF(AND(AG158&gt;0,AH158/AG158-1&gt;Tolerancia_Comb),"Combustible distribución Occidente "&amp;TEXT(AH158/AG158-1,"+0%")&amp;" sobre norma. ","")&amp;IF(AND(AK158&gt;0,AL158/AK158-1&gt;Tolerancia_Comb),"Combustible traslado Centro "&amp;TEXT(AL158/AK158-1,"+0%")&amp;" sobre norma. ","")&amp;IF(AND(AM158&gt;0,AN158/AM158-1&gt;Tolerancia_Comb),"Combustible distribución Centro "&amp;TEXT(AN158/AM158-1,"+0%")&amp;" sobre norma. ","")&amp;IF(AND(AU158&gt;0,AV158/AU158-1&gt;Tolerancia_Comb),"Combustible traslado Oriente "&amp;TEXT(AV158/AU158-1,"+0%")&amp;" sobre norma. ","")&amp;IF(AND(AW158&gt;0,AX158/AW158-1&gt;Tolerancia_Comb),"Combustible distribución Oriente "&amp;TEXT(AX158/AW158-1,"+0%")&amp;" sobre norma. ","")&amp;IF(AND(ENTRADA!$C158&lt;&gt;"",C158&lt;PRECIOS!$A$6),"Fecha anterior a la 1ª vigencia de precios. ","")&amp;IF(CD158&lt;0,"Contenedor con pérdida. ",""))</f>
      </c>
    </row>
    <row r="159">
      <c r="A159" s="60">
        <f>IF(B159="","",ROW()-5)</f>
      </c>
      <c r="B159" s="63">
        <f>IF(ENTRADA!$B159="","",ENTRADA!$B159)</f>
      </c>
      <c r="C159" s="64">
        <f>IF(B159="","",ENTRADA!$C159)</f>
      </c>
      <c r="D159" s="65">
        <f>IF(B159="","",DATE(YEAR(C159),MONTH(C159),1))</f>
      </c>
      <c r="E159" s="66">
        <f>IF(B159="","",ENTRADA!$D159&amp;"")</f>
      </c>
      <c r="F159" s="66">
        <f>IF(B159="","",ENTRADA!$Z159&amp;"")</f>
      </c>
      <c r="G159" s="67">
        <f>IF(B159="","",N(ENTRADA!$G159))</f>
      </c>
      <c r="H159" s="67">
        <f>IF(B159="","",N(ENTRADA!$H159))</f>
      </c>
      <c r="I159" s="67">
        <f>IF(B159="","",N(ENTRADA!$I159))</f>
      </c>
      <c r="J159" s="68">
        <f>IF(B159="","",G159+H159+I159)</f>
      </c>
      <c r="K159" s="60">
        <f>IF(B159="","",IFERROR(MATCH(SUMPRODUCT(MAX((PRECIOS!$A$6:$A$55&lt;=C159)*PRECIOS!$A$6:$A$55)),PRECIOS!$A$6:$A$55,0),1))</f>
      </c>
      <c r="L159" s="69">
        <f>IF(B159="","",INDEX(PRECIOS!$A$6:$A$55,K159))</f>
      </c>
      <c r="M159" s="37">
        <f>IF(B159="","",G159*INDEX(PRECIOS!$B$6:$B$55,K159))</f>
      </c>
      <c r="N159" s="37">
        <f>IF(B159="","",H159*INDEX(PRECIOS!$C$6:$C$55,K159))</f>
      </c>
      <c r="O159" s="37">
        <f>IF(B159="","",I159*INDEX(PRECIOS!$D$6:$D$55,K159))</f>
      </c>
      <c r="P159" s="37">
        <f>IF(B159="","",N(ENTRADA!$X159))</f>
      </c>
      <c r="Q159" s="70">
        <f>IF(B159="","",M159+N159+O159+P159)</f>
      </c>
      <c r="R159" s="71">
        <f>IF(B159="","",IF(ENTRADA!$J159="",Std_Viajes_Puerto,ENTRADA!$J159))</f>
      </c>
      <c r="S159" s="37">
        <f>IF(B159="","",R159*INDEX(PRECIOS!$F$6:$F$55,K159))</f>
      </c>
      <c r="T159" s="71">
        <f>IF(B159="","",R159*Litros_Puerto_Viaje)</f>
      </c>
      <c r="U159" s="71">
        <f>IF(B159="","",IF(ENTRADA!$K159="",T159,ENTRADA!$K159))</f>
      </c>
      <c r="V159" s="37">
        <f>IF(B159="","",U159*INDEX(PRECIOS!$E$6:$E$55,K159))</f>
      </c>
      <c r="W159" s="37">
        <f>IF(B159="","",IF(ENTRADA!$L159="",R159*INDEX(PRECIOS!$G$6:$G$55,K159),ENTRADA!$L159))</f>
      </c>
      <c r="X159" s="37">
        <f>IF(B159="","",R159*Km_Puerto_Viaje*INDEX(PRECIOS!$N$6:$N$55,K159))</f>
      </c>
      <c r="Y159" s="70">
        <f>IF(B159="","",S159+V159+W159+X159)</f>
      </c>
      <c r="Z159" s="71">
        <f>IF(B159="","",IF(J159=0,0,ROUNDUP(J159/Rend_Desagrupe,0)))</f>
      </c>
      <c r="AA159" s="71">
        <f>IF(B159="","",IF(ENTRADA!$M159="",Z159,ENTRADA!$M159))</f>
      </c>
      <c r="AB159" s="37">
        <f>IF(B159="","",AA159*INDEX(PRECIOS!$H$6:$H$55,K159))</f>
      </c>
      <c r="AC159" s="37">
        <f>IF(B159="","",IF(E159="ENCI",INDEX(PRECIOS!$J$6:$J$55,K159),IF(E159="A.V",INDEX(PRECIOS!$K$6:$K$55,K159),0)))</f>
      </c>
      <c r="AD159" s="37">
        <f>IF(B159="","",N(ENTRADA!$N159))</f>
      </c>
      <c r="AE159" s="70">
        <f>IF(B159="","",AB159+AC159+AD159)</f>
      </c>
      <c r="AF159" s="71">
        <f>IF(B159="","",IF(G159=0,0,ROUNDUP(G159/Cap_Camion_OCC,0)))</f>
      </c>
      <c r="AG159" s="71">
        <f>IF(B159="","",AF159*L_Dist_OCC)</f>
      </c>
      <c r="AH159" s="71">
        <f>IF(B159="","",IF(ENTRADA!$O159="",AG159,ENTRADA!$O159))</f>
      </c>
      <c r="AI159" s="37">
        <f>IF(B159="","",AH159*INDEX(PRECIOS!$E$6:$E$55,K159))</f>
      </c>
      <c r="AJ159" s="71">
        <f>IF(B159="","",IF(H159=0,0,ROUNDUP(H159/Cap_Camion_CEN,0)))</f>
      </c>
      <c r="AK159" s="71">
        <f>IF(B159="","",AJ159*L_Tras_CEN)</f>
      </c>
      <c r="AL159" s="71">
        <f>IF(B159="","",IF(ENTRADA!$P159="",AK159,ENTRADA!$P159))</f>
      </c>
      <c r="AM159" s="71">
        <f>IF(B159="","",AJ159*L_Dist_CEN)</f>
      </c>
      <c r="AN159" s="71">
        <f>IF(B159="","",IF(ENTRADA!$Q159="",AM159,ENTRADA!$Q159))</f>
      </c>
      <c r="AO159" s="37">
        <f>IF(B159="","",(AL159+AN159)*INDEX(PRECIOS!$E$6:$E$55,K159))</f>
      </c>
      <c r="AP159" s="71">
        <f>IF(B159="","",IF(H159=0,0,ROUNDUP(H159/Rend_Desagrupe_CT,0)))</f>
      </c>
      <c r="AQ159" s="71">
        <f>IF(B159="","",IF(ENTRADA!$R159="",AP159,ENTRADA!$R159))</f>
      </c>
      <c r="AR159" s="37">
        <f>IF(B159="","",AQ159*INDEX(PRECIOS!$I$6:$I$55,K159))</f>
      </c>
      <c r="AS159" s="37">
        <f>IF(B159="","",AO159+AR159)</f>
      </c>
      <c r="AT159" s="71">
        <f>IF(B159="","",IF(I159=0,0,ROUNDUP(I159/Cap_Camion_ORI,0)))</f>
      </c>
      <c r="AU159" s="71">
        <f>IF(B159="","",AT159*L_Tras_ORI)</f>
      </c>
      <c r="AV159" s="71">
        <f>IF(B159="","",IF(ENTRADA!$S159="",AU159,ENTRADA!$S159))</f>
      </c>
      <c r="AW159" s="71">
        <f>IF(B159="","",AT159*L_Dist_ORI)</f>
      </c>
      <c r="AX159" s="71">
        <f>IF(B159="","",IF(ENTRADA!$T159="",AW159,ENTRADA!$T159))</f>
      </c>
      <c r="AY159" s="37">
        <f>IF(B159="","",(AV159+AX159)*INDEX(PRECIOS!$E$6:$E$55,K159))</f>
      </c>
      <c r="AZ159" s="71">
        <f>IF(B159="","",IF(I159=0,0,ROUNDUP(I159/Rend_Desagrupe_CT,0)))</f>
      </c>
      <c r="BA159" s="71">
        <f>IF(B159="","",IF(ENTRADA!$U159="",AZ159,ENTRADA!$U159))</f>
      </c>
      <c r="BB159" s="37">
        <f>IF(B159="","",BA159*INDEX(PRECIOS!$I$6:$I$55,K159))</f>
      </c>
      <c r="BC159" s="37">
        <f>IF(B159="","",AY159+BB159)</f>
      </c>
      <c r="BD159" s="70">
        <f>IF(B159="","",AI159+AS159+BC159)</f>
      </c>
      <c r="BE159" s="37">
        <f>IF(B159="","",IF(Base_Comision="% DEL INGRESO",M159*INDEX(PRECIOS!$L$6:$L$55,K159),G159*INDEX(PRECIOS!$M$6:$M$55,K159)))</f>
      </c>
      <c r="BF159" s="37">
        <f>IF(B159="","",IF(Base_Comision="% DEL INGRESO",N159*INDEX(PRECIOS!$L$6:$L$55,K159),H159*INDEX(PRECIOS!$M$6:$M$55,K159)))</f>
      </c>
      <c r="BG159" s="37">
        <f>IF(B159="","",IF(Base_Comision="% DEL INGRESO",O159*INDEX(PRECIOS!$L$6:$L$55,K159),I159*INDEX(PRECIOS!$M$6:$M$55,K159)))</f>
      </c>
      <c r="BH159" s="70">
        <f>IF(B159="","",BE159+BF159+BG159)</f>
      </c>
      <c r="BI159" s="37">
        <f>IF(B159="","",Q159*Pct_Reclamaciones)</f>
      </c>
      <c r="BJ159" s="37">
        <f>IF(B159="","",Q159*Pct_Banco)</f>
      </c>
      <c r="BK159" s="37">
        <f>IF(B159="","",N(ENTRADA!$V159))</f>
      </c>
      <c r="BL159" s="70">
        <f>IF(B159="","",Y159+AE159+BD159+BH159+BI159+BJ159+BK159)</f>
      </c>
      <c r="BM159" s="70">
        <f>IF(B159="","",Q159-BL159)</f>
      </c>
      <c r="BN159" s="72">
        <f>IF(B159="","",IF(Q159=0,0,BM159/Q159))</f>
      </c>
      <c r="BO159" s="73">
        <f>IF(B159="","",IF(J159=0,0,BM159/J159))</f>
      </c>
      <c r="BP159" s="60">
        <f>IF(B159="","",IFERROR(MATCH(D159,COSTOS_FIJOS!$G$5:$AD$5,0),0))</f>
      </c>
      <c r="BQ159" s="60">
        <f>IF(B159="","",COUNTIFS($D$6:$D$305,D159))</f>
      </c>
      <c r="BR159" s="67">
        <f>IF(B159="","",SUMIFS($J$6:$J$305,$D$6:$D$305,D159))</f>
      </c>
      <c r="BS159" s="72">
        <f>IF(B159="","",IF(Metodo_Prorrateo="KG",IF(BR159=0,0,J159/BR159),1/BQ159))</f>
      </c>
      <c r="BT159" s="37">
        <f>IF(B159="","",IF(BP159=0,0,INDEX(COSTOS_FIJOS!$G$38:$AD$38,BP159))*BS159)</f>
      </c>
      <c r="BU159" s="72">
        <f>IF(B159="","",IF(Metodo_Prorrateo="KG",IF(SUMIFS($G$6:$G$305,$D$6:$D$305,D159)=0,0,G159/SUMIFS($G$6:$G$305,$D$6:$D$305,D159)),IF(G159&gt;0,1/COUNTIFS($D$6:$D$305,D159,$G$6:$G$305,"&gt;0"),0)))</f>
      </c>
      <c r="BV159" s="37">
        <f>IF(B159="","",IF(BP159=0,0,INDEX(COSTOS_FIJOS!$G$39:$AD$39,BP159))*BU159)</f>
      </c>
      <c r="BW159" s="72">
        <f>IF(B159="","",IF(Metodo_Prorrateo="KG",IF(SUMIFS($H$6:$H$305,$D$6:$D$305,D159)=0,0,H159/SUMIFS($H$6:$H$305,$D$6:$D$305,D159)),IF(H159&gt;0,1/COUNTIFS($D$6:$D$305,D159,$H$6:$H$305,"&gt;0"),0)))</f>
      </c>
      <c r="BX159" s="37">
        <f>IF(B159="","",IF(BP159=0,0,INDEX(COSTOS_FIJOS!$G$40:$AD$40,BP159))*BW159)</f>
      </c>
      <c r="BY159" s="72">
        <f>IF(B159="","",IF(Metodo_Prorrateo="KG",IF(SUMIFS($I$6:$I$305,$D$6:$D$305,D159)=0,0,I159/SUMIFS($I$6:$I$305,$D$6:$D$305,D159)),IF(I159&gt;0,1/COUNTIFS($D$6:$D$305,D159,$I$6:$I$305,"&gt;0"),0)))</f>
      </c>
      <c r="BZ159" s="37">
        <f>IF(B159="","",IF(BP159=0,0,INDEX(COSTOS_FIJOS!$G$41:$AD$41,BP159))*BY159)</f>
      </c>
      <c r="CA159" s="70">
        <f>IF(B159="","",BT159+BV159+BX159+BZ159)</f>
      </c>
      <c r="CB159" s="37">
        <f>IF(B159="","",Q159*Imp_Ventas_Serv)</f>
      </c>
      <c r="CC159" s="37">
        <f>IF(B159="","",Q159*Contrib_Territorial)</f>
      </c>
      <c r="CD159" s="70">
        <f>IF(B159="","",BM159-CA159-CB159-CC159)</f>
      </c>
      <c r="CE159" s="37">
        <f>IF(B159="","",MAX(0,CD159)*Imp_Utilidades)</f>
      </c>
      <c r="CF159" s="70">
        <f>IF(B159="","",CD159-CE159)</f>
      </c>
      <c r="CG159" s="72">
        <f>IF(B159="","",IF(Q159=0,0,CF159/Q159))</f>
      </c>
      <c r="CH159" s="73">
        <f>IF(B159="","",IF(J159=0,0,(BL159+CA159+CB159+CC159)/J159))</f>
      </c>
      <c r="CI159" s="73">
        <f>IF(B159="","",IF(J159=0,0,Q159/J159))</f>
      </c>
      <c r="CJ159" s="73">
        <f>IF(B159="","",IF(J159=0,0,CD159/J159))</f>
      </c>
      <c r="CK159" s="37">
        <f>IF(B159="","",Y159+AE159+BK159+BT159)</f>
      </c>
      <c r="CL159" s="37">
        <f>IF(B159="","",IF(J159=0,0,(M159+P159*G159/J159)*(1-Pct_Reclamaciones-Pct_Banco-Imp_Ventas_Serv-Contrib_Territorial)-AI159-BE159-BV159-CK159*G159/J159))</f>
      </c>
      <c r="CM159" s="37">
        <f>IF(B159="","",IF(J159=0,0,(N159+P159*H159/J159)*(1-Pct_Reclamaciones-Pct_Banco-Imp_Ventas_Serv-Contrib_Territorial)-AS159-BF159-BX159-CK159*H159/J159))</f>
      </c>
      <c r="CN159" s="37">
        <f>IF(B159="","",IF(J159=0,0,(O159+P159*I159/J159)*(1-Pct_Reclamaciones-Pct_Banco-Imp_Ventas_Serv-Contrib_Territorial)-BC159-BG159-BZ159-CK159*I159/J159))</f>
      </c>
      <c r="CO159" s="37">
        <f>IF(B159="","",IF(J159=0,0,ROUND(CD159-CL159-CM159-CN159,4)))</f>
      </c>
      <c r="CP159" s="71">
        <f>IF(B159="","",T159+AG159+AK159+AM159+AU159+AW159)</f>
      </c>
      <c r="CQ159" s="71">
        <f>IF(B159="","",U159+AH159+AL159+AN159+AV159+AX159)</f>
      </c>
      <c r="CR159" s="72">
        <f>IF(B159="","",IF(CP159=0,0,CQ159/CP159-1))</f>
      </c>
      <c r="CS159" s="60">
        <f>IF(B159="","",IF(ENTRADA!$Y159="","",ENTRADA!$Y159-C159))</f>
      </c>
      <c r="CT159" s="66">
        <f>IF(B159="","",IF(ENTRADA!$C159="","Falta fecha. ","")&amp;IF(BP159=0,"Mes fuera del rango de COSTOS_FIJOS. ","")&amp;IF(J159=0,"Sin kg. ","")&amp;IF(E159="","Falta transitaria. ","")&amp;IF(AND(T159&gt;0,U159/T159-1&gt;Tolerancia_Comb),"Combustible al puerto "&amp;TEXT(U159/T159-1,"+0%")&amp;" sobre norma. ","")&amp;IF(AND(AG159&gt;0,AH159/AG159-1&gt;Tolerancia_Comb),"Combustible distribución Occidente "&amp;TEXT(AH159/AG159-1,"+0%")&amp;" sobre norma. ","")&amp;IF(AND(AK159&gt;0,AL159/AK159-1&gt;Tolerancia_Comb),"Combustible traslado Centro "&amp;TEXT(AL159/AK159-1,"+0%")&amp;" sobre norma. ","")&amp;IF(AND(AM159&gt;0,AN159/AM159-1&gt;Tolerancia_Comb),"Combustible distribución Centro "&amp;TEXT(AN159/AM159-1,"+0%")&amp;" sobre norma. ","")&amp;IF(AND(AU159&gt;0,AV159/AU159-1&gt;Tolerancia_Comb),"Combustible traslado Oriente "&amp;TEXT(AV159/AU159-1,"+0%")&amp;" sobre norma. ","")&amp;IF(AND(AW159&gt;0,AX159/AW159-1&gt;Tolerancia_Comb),"Combustible distribución Oriente "&amp;TEXT(AX159/AW159-1,"+0%")&amp;" sobre norma. ","")&amp;IF(AND(ENTRADA!$C159&lt;&gt;"",C159&lt;PRECIOS!$A$6),"Fecha anterior a la 1ª vigencia de precios. ","")&amp;IF(CD159&lt;0,"Contenedor con pérdida. ",""))</f>
      </c>
    </row>
    <row r="160">
      <c r="A160" s="60">
        <f>IF(B160="","",ROW()-5)</f>
      </c>
      <c r="B160" s="63">
        <f>IF(ENTRADA!$B160="","",ENTRADA!$B160)</f>
      </c>
      <c r="C160" s="64">
        <f>IF(B160="","",ENTRADA!$C160)</f>
      </c>
      <c r="D160" s="65">
        <f>IF(B160="","",DATE(YEAR(C160),MONTH(C160),1))</f>
      </c>
      <c r="E160" s="66">
        <f>IF(B160="","",ENTRADA!$D160&amp;"")</f>
      </c>
      <c r="F160" s="66">
        <f>IF(B160="","",ENTRADA!$Z160&amp;"")</f>
      </c>
      <c r="G160" s="67">
        <f>IF(B160="","",N(ENTRADA!$G160))</f>
      </c>
      <c r="H160" s="67">
        <f>IF(B160="","",N(ENTRADA!$H160))</f>
      </c>
      <c r="I160" s="67">
        <f>IF(B160="","",N(ENTRADA!$I160))</f>
      </c>
      <c r="J160" s="68">
        <f>IF(B160="","",G160+H160+I160)</f>
      </c>
      <c r="K160" s="60">
        <f>IF(B160="","",IFERROR(MATCH(SUMPRODUCT(MAX((PRECIOS!$A$6:$A$55&lt;=C160)*PRECIOS!$A$6:$A$55)),PRECIOS!$A$6:$A$55,0),1))</f>
      </c>
      <c r="L160" s="69">
        <f>IF(B160="","",INDEX(PRECIOS!$A$6:$A$55,K160))</f>
      </c>
      <c r="M160" s="37">
        <f>IF(B160="","",G160*INDEX(PRECIOS!$B$6:$B$55,K160))</f>
      </c>
      <c r="N160" s="37">
        <f>IF(B160="","",H160*INDEX(PRECIOS!$C$6:$C$55,K160))</f>
      </c>
      <c r="O160" s="37">
        <f>IF(B160="","",I160*INDEX(PRECIOS!$D$6:$D$55,K160))</f>
      </c>
      <c r="P160" s="37">
        <f>IF(B160="","",N(ENTRADA!$X160))</f>
      </c>
      <c r="Q160" s="70">
        <f>IF(B160="","",M160+N160+O160+P160)</f>
      </c>
      <c r="R160" s="71">
        <f>IF(B160="","",IF(ENTRADA!$J160="",Std_Viajes_Puerto,ENTRADA!$J160))</f>
      </c>
      <c r="S160" s="37">
        <f>IF(B160="","",R160*INDEX(PRECIOS!$F$6:$F$55,K160))</f>
      </c>
      <c r="T160" s="71">
        <f>IF(B160="","",R160*Litros_Puerto_Viaje)</f>
      </c>
      <c r="U160" s="71">
        <f>IF(B160="","",IF(ENTRADA!$K160="",T160,ENTRADA!$K160))</f>
      </c>
      <c r="V160" s="37">
        <f>IF(B160="","",U160*INDEX(PRECIOS!$E$6:$E$55,K160))</f>
      </c>
      <c r="W160" s="37">
        <f>IF(B160="","",IF(ENTRADA!$L160="",R160*INDEX(PRECIOS!$G$6:$G$55,K160),ENTRADA!$L160))</f>
      </c>
      <c r="X160" s="37">
        <f>IF(B160="","",R160*Km_Puerto_Viaje*INDEX(PRECIOS!$N$6:$N$55,K160))</f>
      </c>
      <c r="Y160" s="70">
        <f>IF(B160="","",S160+V160+W160+X160)</f>
      </c>
      <c r="Z160" s="71">
        <f>IF(B160="","",IF(J160=0,0,ROUNDUP(J160/Rend_Desagrupe,0)))</f>
      </c>
      <c r="AA160" s="71">
        <f>IF(B160="","",IF(ENTRADA!$M160="",Z160,ENTRADA!$M160))</f>
      </c>
      <c r="AB160" s="37">
        <f>IF(B160="","",AA160*INDEX(PRECIOS!$H$6:$H$55,K160))</f>
      </c>
      <c r="AC160" s="37">
        <f>IF(B160="","",IF(E160="ENCI",INDEX(PRECIOS!$J$6:$J$55,K160),IF(E160="A.V",INDEX(PRECIOS!$K$6:$K$55,K160),0)))</f>
      </c>
      <c r="AD160" s="37">
        <f>IF(B160="","",N(ENTRADA!$N160))</f>
      </c>
      <c r="AE160" s="70">
        <f>IF(B160="","",AB160+AC160+AD160)</f>
      </c>
      <c r="AF160" s="71">
        <f>IF(B160="","",IF(G160=0,0,ROUNDUP(G160/Cap_Camion_OCC,0)))</f>
      </c>
      <c r="AG160" s="71">
        <f>IF(B160="","",AF160*L_Dist_OCC)</f>
      </c>
      <c r="AH160" s="71">
        <f>IF(B160="","",IF(ENTRADA!$O160="",AG160,ENTRADA!$O160))</f>
      </c>
      <c r="AI160" s="37">
        <f>IF(B160="","",AH160*INDEX(PRECIOS!$E$6:$E$55,K160))</f>
      </c>
      <c r="AJ160" s="71">
        <f>IF(B160="","",IF(H160=0,0,ROUNDUP(H160/Cap_Camion_CEN,0)))</f>
      </c>
      <c r="AK160" s="71">
        <f>IF(B160="","",AJ160*L_Tras_CEN)</f>
      </c>
      <c r="AL160" s="71">
        <f>IF(B160="","",IF(ENTRADA!$P160="",AK160,ENTRADA!$P160))</f>
      </c>
      <c r="AM160" s="71">
        <f>IF(B160="","",AJ160*L_Dist_CEN)</f>
      </c>
      <c r="AN160" s="71">
        <f>IF(B160="","",IF(ENTRADA!$Q160="",AM160,ENTRADA!$Q160))</f>
      </c>
      <c r="AO160" s="37">
        <f>IF(B160="","",(AL160+AN160)*INDEX(PRECIOS!$E$6:$E$55,K160))</f>
      </c>
      <c r="AP160" s="71">
        <f>IF(B160="","",IF(H160=0,0,ROUNDUP(H160/Rend_Desagrupe_CT,0)))</f>
      </c>
      <c r="AQ160" s="71">
        <f>IF(B160="","",IF(ENTRADA!$R160="",AP160,ENTRADA!$R160))</f>
      </c>
      <c r="AR160" s="37">
        <f>IF(B160="","",AQ160*INDEX(PRECIOS!$I$6:$I$55,K160))</f>
      </c>
      <c r="AS160" s="37">
        <f>IF(B160="","",AO160+AR160)</f>
      </c>
      <c r="AT160" s="71">
        <f>IF(B160="","",IF(I160=0,0,ROUNDUP(I160/Cap_Camion_ORI,0)))</f>
      </c>
      <c r="AU160" s="71">
        <f>IF(B160="","",AT160*L_Tras_ORI)</f>
      </c>
      <c r="AV160" s="71">
        <f>IF(B160="","",IF(ENTRADA!$S160="",AU160,ENTRADA!$S160))</f>
      </c>
      <c r="AW160" s="71">
        <f>IF(B160="","",AT160*L_Dist_ORI)</f>
      </c>
      <c r="AX160" s="71">
        <f>IF(B160="","",IF(ENTRADA!$T160="",AW160,ENTRADA!$T160))</f>
      </c>
      <c r="AY160" s="37">
        <f>IF(B160="","",(AV160+AX160)*INDEX(PRECIOS!$E$6:$E$55,K160))</f>
      </c>
      <c r="AZ160" s="71">
        <f>IF(B160="","",IF(I160=0,0,ROUNDUP(I160/Rend_Desagrupe_CT,0)))</f>
      </c>
      <c r="BA160" s="71">
        <f>IF(B160="","",IF(ENTRADA!$U160="",AZ160,ENTRADA!$U160))</f>
      </c>
      <c r="BB160" s="37">
        <f>IF(B160="","",BA160*INDEX(PRECIOS!$I$6:$I$55,K160))</f>
      </c>
      <c r="BC160" s="37">
        <f>IF(B160="","",AY160+BB160)</f>
      </c>
      <c r="BD160" s="70">
        <f>IF(B160="","",AI160+AS160+BC160)</f>
      </c>
      <c r="BE160" s="37">
        <f>IF(B160="","",IF(Base_Comision="% DEL INGRESO",M160*INDEX(PRECIOS!$L$6:$L$55,K160),G160*INDEX(PRECIOS!$M$6:$M$55,K160)))</f>
      </c>
      <c r="BF160" s="37">
        <f>IF(B160="","",IF(Base_Comision="% DEL INGRESO",N160*INDEX(PRECIOS!$L$6:$L$55,K160),H160*INDEX(PRECIOS!$M$6:$M$55,K160)))</f>
      </c>
      <c r="BG160" s="37">
        <f>IF(B160="","",IF(Base_Comision="% DEL INGRESO",O160*INDEX(PRECIOS!$L$6:$L$55,K160),I160*INDEX(PRECIOS!$M$6:$M$55,K160)))</f>
      </c>
      <c r="BH160" s="70">
        <f>IF(B160="","",BE160+BF160+BG160)</f>
      </c>
      <c r="BI160" s="37">
        <f>IF(B160="","",Q160*Pct_Reclamaciones)</f>
      </c>
      <c r="BJ160" s="37">
        <f>IF(B160="","",Q160*Pct_Banco)</f>
      </c>
      <c r="BK160" s="37">
        <f>IF(B160="","",N(ENTRADA!$V160))</f>
      </c>
      <c r="BL160" s="70">
        <f>IF(B160="","",Y160+AE160+BD160+BH160+BI160+BJ160+BK160)</f>
      </c>
      <c r="BM160" s="70">
        <f>IF(B160="","",Q160-BL160)</f>
      </c>
      <c r="BN160" s="72">
        <f>IF(B160="","",IF(Q160=0,0,BM160/Q160))</f>
      </c>
      <c r="BO160" s="73">
        <f>IF(B160="","",IF(J160=0,0,BM160/J160))</f>
      </c>
      <c r="BP160" s="60">
        <f>IF(B160="","",IFERROR(MATCH(D160,COSTOS_FIJOS!$G$5:$AD$5,0),0))</f>
      </c>
      <c r="BQ160" s="60">
        <f>IF(B160="","",COUNTIFS($D$6:$D$305,D160))</f>
      </c>
      <c r="BR160" s="67">
        <f>IF(B160="","",SUMIFS($J$6:$J$305,$D$6:$D$305,D160))</f>
      </c>
      <c r="BS160" s="72">
        <f>IF(B160="","",IF(Metodo_Prorrateo="KG",IF(BR160=0,0,J160/BR160),1/BQ160))</f>
      </c>
      <c r="BT160" s="37">
        <f>IF(B160="","",IF(BP160=0,0,INDEX(COSTOS_FIJOS!$G$38:$AD$38,BP160))*BS160)</f>
      </c>
      <c r="BU160" s="72">
        <f>IF(B160="","",IF(Metodo_Prorrateo="KG",IF(SUMIFS($G$6:$G$305,$D$6:$D$305,D160)=0,0,G160/SUMIFS($G$6:$G$305,$D$6:$D$305,D160)),IF(G160&gt;0,1/COUNTIFS($D$6:$D$305,D160,$G$6:$G$305,"&gt;0"),0)))</f>
      </c>
      <c r="BV160" s="37">
        <f>IF(B160="","",IF(BP160=0,0,INDEX(COSTOS_FIJOS!$G$39:$AD$39,BP160))*BU160)</f>
      </c>
      <c r="BW160" s="72">
        <f>IF(B160="","",IF(Metodo_Prorrateo="KG",IF(SUMIFS($H$6:$H$305,$D$6:$D$305,D160)=0,0,H160/SUMIFS($H$6:$H$305,$D$6:$D$305,D160)),IF(H160&gt;0,1/COUNTIFS($D$6:$D$305,D160,$H$6:$H$305,"&gt;0"),0)))</f>
      </c>
      <c r="BX160" s="37">
        <f>IF(B160="","",IF(BP160=0,0,INDEX(COSTOS_FIJOS!$G$40:$AD$40,BP160))*BW160)</f>
      </c>
      <c r="BY160" s="72">
        <f>IF(B160="","",IF(Metodo_Prorrateo="KG",IF(SUMIFS($I$6:$I$305,$D$6:$D$305,D160)=0,0,I160/SUMIFS($I$6:$I$305,$D$6:$D$305,D160)),IF(I160&gt;0,1/COUNTIFS($D$6:$D$305,D160,$I$6:$I$305,"&gt;0"),0)))</f>
      </c>
      <c r="BZ160" s="37">
        <f>IF(B160="","",IF(BP160=0,0,INDEX(COSTOS_FIJOS!$G$41:$AD$41,BP160))*BY160)</f>
      </c>
      <c r="CA160" s="70">
        <f>IF(B160="","",BT160+BV160+BX160+BZ160)</f>
      </c>
      <c r="CB160" s="37">
        <f>IF(B160="","",Q160*Imp_Ventas_Serv)</f>
      </c>
      <c r="CC160" s="37">
        <f>IF(B160="","",Q160*Contrib_Territorial)</f>
      </c>
      <c r="CD160" s="70">
        <f>IF(B160="","",BM160-CA160-CB160-CC160)</f>
      </c>
      <c r="CE160" s="37">
        <f>IF(B160="","",MAX(0,CD160)*Imp_Utilidades)</f>
      </c>
      <c r="CF160" s="70">
        <f>IF(B160="","",CD160-CE160)</f>
      </c>
      <c r="CG160" s="72">
        <f>IF(B160="","",IF(Q160=0,0,CF160/Q160))</f>
      </c>
      <c r="CH160" s="73">
        <f>IF(B160="","",IF(J160=0,0,(BL160+CA160+CB160+CC160)/J160))</f>
      </c>
      <c r="CI160" s="73">
        <f>IF(B160="","",IF(J160=0,0,Q160/J160))</f>
      </c>
      <c r="CJ160" s="73">
        <f>IF(B160="","",IF(J160=0,0,CD160/J160))</f>
      </c>
      <c r="CK160" s="37">
        <f>IF(B160="","",Y160+AE160+BK160+BT160)</f>
      </c>
      <c r="CL160" s="37">
        <f>IF(B160="","",IF(J160=0,0,(M160+P160*G160/J160)*(1-Pct_Reclamaciones-Pct_Banco-Imp_Ventas_Serv-Contrib_Territorial)-AI160-BE160-BV160-CK160*G160/J160))</f>
      </c>
      <c r="CM160" s="37">
        <f>IF(B160="","",IF(J160=0,0,(N160+P160*H160/J160)*(1-Pct_Reclamaciones-Pct_Banco-Imp_Ventas_Serv-Contrib_Territorial)-AS160-BF160-BX160-CK160*H160/J160))</f>
      </c>
      <c r="CN160" s="37">
        <f>IF(B160="","",IF(J160=0,0,(O160+P160*I160/J160)*(1-Pct_Reclamaciones-Pct_Banco-Imp_Ventas_Serv-Contrib_Territorial)-BC160-BG160-BZ160-CK160*I160/J160))</f>
      </c>
      <c r="CO160" s="37">
        <f>IF(B160="","",IF(J160=0,0,ROUND(CD160-CL160-CM160-CN160,4)))</f>
      </c>
      <c r="CP160" s="71">
        <f>IF(B160="","",T160+AG160+AK160+AM160+AU160+AW160)</f>
      </c>
      <c r="CQ160" s="71">
        <f>IF(B160="","",U160+AH160+AL160+AN160+AV160+AX160)</f>
      </c>
      <c r="CR160" s="72">
        <f>IF(B160="","",IF(CP160=0,0,CQ160/CP160-1))</f>
      </c>
      <c r="CS160" s="60">
        <f>IF(B160="","",IF(ENTRADA!$Y160="","",ENTRADA!$Y160-C160))</f>
      </c>
      <c r="CT160" s="66">
        <f>IF(B160="","",IF(ENTRADA!$C160="","Falta fecha. ","")&amp;IF(BP160=0,"Mes fuera del rango de COSTOS_FIJOS. ","")&amp;IF(J160=0,"Sin kg. ","")&amp;IF(E160="","Falta transitaria. ","")&amp;IF(AND(T160&gt;0,U160/T160-1&gt;Tolerancia_Comb),"Combustible al puerto "&amp;TEXT(U160/T160-1,"+0%")&amp;" sobre norma. ","")&amp;IF(AND(AG160&gt;0,AH160/AG160-1&gt;Tolerancia_Comb),"Combustible distribución Occidente "&amp;TEXT(AH160/AG160-1,"+0%")&amp;" sobre norma. ","")&amp;IF(AND(AK160&gt;0,AL160/AK160-1&gt;Tolerancia_Comb),"Combustible traslado Centro "&amp;TEXT(AL160/AK160-1,"+0%")&amp;" sobre norma. ","")&amp;IF(AND(AM160&gt;0,AN160/AM160-1&gt;Tolerancia_Comb),"Combustible distribución Centro "&amp;TEXT(AN160/AM160-1,"+0%")&amp;" sobre norma. ","")&amp;IF(AND(AU160&gt;0,AV160/AU160-1&gt;Tolerancia_Comb),"Combustible traslado Oriente "&amp;TEXT(AV160/AU160-1,"+0%")&amp;" sobre norma. ","")&amp;IF(AND(AW160&gt;0,AX160/AW160-1&gt;Tolerancia_Comb),"Combustible distribución Oriente "&amp;TEXT(AX160/AW160-1,"+0%")&amp;" sobre norma. ","")&amp;IF(AND(ENTRADA!$C160&lt;&gt;"",C160&lt;PRECIOS!$A$6),"Fecha anterior a la 1ª vigencia de precios. ","")&amp;IF(CD160&lt;0,"Contenedor con pérdida. ",""))</f>
      </c>
    </row>
    <row r="161">
      <c r="A161" s="60">
        <f>IF(B161="","",ROW()-5)</f>
      </c>
      <c r="B161" s="63">
        <f>IF(ENTRADA!$B161="","",ENTRADA!$B161)</f>
      </c>
      <c r="C161" s="64">
        <f>IF(B161="","",ENTRADA!$C161)</f>
      </c>
      <c r="D161" s="65">
        <f>IF(B161="","",DATE(YEAR(C161),MONTH(C161),1))</f>
      </c>
      <c r="E161" s="66">
        <f>IF(B161="","",ENTRADA!$D161&amp;"")</f>
      </c>
      <c r="F161" s="66">
        <f>IF(B161="","",ENTRADA!$Z161&amp;"")</f>
      </c>
      <c r="G161" s="67">
        <f>IF(B161="","",N(ENTRADA!$G161))</f>
      </c>
      <c r="H161" s="67">
        <f>IF(B161="","",N(ENTRADA!$H161))</f>
      </c>
      <c r="I161" s="67">
        <f>IF(B161="","",N(ENTRADA!$I161))</f>
      </c>
      <c r="J161" s="68">
        <f>IF(B161="","",G161+H161+I161)</f>
      </c>
      <c r="K161" s="60">
        <f>IF(B161="","",IFERROR(MATCH(SUMPRODUCT(MAX((PRECIOS!$A$6:$A$55&lt;=C161)*PRECIOS!$A$6:$A$55)),PRECIOS!$A$6:$A$55,0),1))</f>
      </c>
      <c r="L161" s="69">
        <f>IF(B161="","",INDEX(PRECIOS!$A$6:$A$55,K161))</f>
      </c>
      <c r="M161" s="37">
        <f>IF(B161="","",G161*INDEX(PRECIOS!$B$6:$B$55,K161))</f>
      </c>
      <c r="N161" s="37">
        <f>IF(B161="","",H161*INDEX(PRECIOS!$C$6:$C$55,K161))</f>
      </c>
      <c r="O161" s="37">
        <f>IF(B161="","",I161*INDEX(PRECIOS!$D$6:$D$55,K161))</f>
      </c>
      <c r="P161" s="37">
        <f>IF(B161="","",N(ENTRADA!$X161))</f>
      </c>
      <c r="Q161" s="70">
        <f>IF(B161="","",M161+N161+O161+P161)</f>
      </c>
      <c r="R161" s="71">
        <f>IF(B161="","",IF(ENTRADA!$J161="",Std_Viajes_Puerto,ENTRADA!$J161))</f>
      </c>
      <c r="S161" s="37">
        <f>IF(B161="","",R161*INDEX(PRECIOS!$F$6:$F$55,K161))</f>
      </c>
      <c r="T161" s="71">
        <f>IF(B161="","",R161*Litros_Puerto_Viaje)</f>
      </c>
      <c r="U161" s="71">
        <f>IF(B161="","",IF(ENTRADA!$K161="",T161,ENTRADA!$K161))</f>
      </c>
      <c r="V161" s="37">
        <f>IF(B161="","",U161*INDEX(PRECIOS!$E$6:$E$55,K161))</f>
      </c>
      <c r="W161" s="37">
        <f>IF(B161="","",IF(ENTRADA!$L161="",R161*INDEX(PRECIOS!$G$6:$G$55,K161),ENTRADA!$L161))</f>
      </c>
      <c r="X161" s="37">
        <f>IF(B161="","",R161*Km_Puerto_Viaje*INDEX(PRECIOS!$N$6:$N$55,K161))</f>
      </c>
      <c r="Y161" s="70">
        <f>IF(B161="","",S161+V161+W161+X161)</f>
      </c>
      <c r="Z161" s="71">
        <f>IF(B161="","",IF(J161=0,0,ROUNDUP(J161/Rend_Desagrupe,0)))</f>
      </c>
      <c r="AA161" s="71">
        <f>IF(B161="","",IF(ENTRADA!$M161="",Z161,ENTRADA!$M161))</f>
      </c>
      <c r="AB161" s="37">
        <f>IF(B161="","",AA161*INDEX(PRECIOS!$H$6:$H$55,K161))</f>
      </c>
      <c r="AC161" s="37">
        <f>IF(B161="","",IF(E161="ENCI",INDEX(PRECIOS!$J$6:$J$55,K161),IF(E161="A.V",INDEX(PRECIOS!$K$6:$K$55,K161),0)))</f>
      </c>
      <c r="AD161" s="37">
        <f>IF(B161="","",N(ENTRADA!$N161))</f>
      </c>
      <c r="AE161" s="70">
        <f>IF(B161="","",AB161+AC161+AD161)</f>
      </c>
      <c r="AF161" s="71">
        <f>IF(B161="","",IF(G161=0,0,ROUNDUP(G161/Cap_Camion_OCC,0)))</f>
      </c>
      <c r="AG161" s="71">
        <f>IF(B161="","",AF161*L_Dist_OCC)</f>
      </c>
      <c r="AH161" s="71">
        <f>IF(B161="","",IF(ENTRADA!$O161="",AG161,ENTRADA!$O161))</f>
      </c>
      <c r="AI161" s="37">
        <f>IF(B161="","",AH161*INDEX(PRECIOS!$E$6:$E$55,K161))</f>
      </c>
      <c r="AJ161" s="71">
        <f>IF(B161="","",IF(H161=0,0,ROUNDUP(H161/Cap_Camion_CEN,0)))</f>
      </c>
      <c r="AK161" s="71">
        <f>IF(B161="","",AJ161*L_Tras_CEN)</f>
      </c>
      <c r="AL161" s="71">
        <f>IF(B161="","",IF(ENTRADA!$P161="",AK161,ENTRADA!$P161))</f>
      </c>
      <c r="AM161" s="71">
        <f>IF(B161="","",AJ161*L_Dist_CEN)</f>
      </c>
      <c r="AN161" s="71">
        <f>IF(B161="","",IF(ENTRADA!$Q161="",AM161,ENTRADA!$Q161))</f>
      </c>
      <c r="AO161" s="37">
        <f>IF(B161="","",(AL161+AN161)*INDEX(PRECIOS!$E$6:$E$55,K161))</f>
      </c>
      <c r="AP161" s="71">
        <f>IF(B161="","",IF(H161=0,0,ROUNDUP(H161/Rend_Desagrupe_CT,0)))</f>
      </c>
      <c r="AQ161" s="71">
        <f>IF(B161="","",IF(ENTRADA!$R161="",AP161,ENTRADA!$R161))</f>
      </c>
      <c r="AR161" s="37">
        <f>IF(B161="","",AQ161*INDEX(PRECIOS!$I$6:$I$55,K161))</f>
      </c>
      <c r="AS161" s="37">
        <f>IF(B161="","",AO161+AR161)</f>
      </c>
      <c r="AT161" s="71">
        <f>IF(B161="","",IF(I161=0,0,ROUNDUP(I161/Cap_Camion_ORI,0)))</f>
      </c>
      <c r="AU161" s="71">
        <f>IF(B161="","",AT161*L_Tras_ORI)</f>
      </c>
      <c r="AV161" s="71">
        <f>IF(B161="","",IF(ENTRADA!$S161="",AU161,ENTRADA!$S161))</f>
      </c>
      <c r="AW161" s="71">
        <f>IF(B161="","",AT161*L_Dist_ORI)</f>
      </c>
      <c r="AX161" s="71">
        <f>IF(B161="","",IF(ENTRADA!$T161="",AW161,ENTRADA!$T161))</f>
      </c>
      <c r="AY161" s="37">
        <f>IF(B161="","",(AV161+AX161)*INDEX(PRECIOS!$E$6:$E$55,K161))</f>
      </c>
      <c r="AZ161" s="71">
        <f>IF(B161="","",IF(I161=0,0,ROUNDUP(I161/Rend_Desagrupe_CT,0)))</f>
      </c>
      <c r="BA161" s="71">
        <f>IF(B161="","",IF(ENTRADA!$U161="",AZ161,ENTRADA!$U161))</f>
      </c>
      <c r="BB161" s="37">
        <f>IF(B161="","",BA161*INDEX(PRECIOS!$I$6:$I$55,K161))</f>
      </c>
      <c r="BC161" s="37">
        <f>IF(B161="","",AY161+BB161)</f>
      </c>
      <c r="BD161" s="70">
        <f>IF(B161="","",AI161+AS161+BC161)</f>
      </c>
      <c r="BE161" s="37">
        <f>IF(B161="","",IF(Base_Comision="% DEL INGRESO",M161*INDEX(PRECIOS!$L$6:$L$55,K161),G161*INDEX(PRECIOS!$M$6:$M$55,K161)))</f>
      </c>
      <c r="BF161" s="37">
        <f>IF(B161="","",IF(Base_Comision="% DEL INGRESO",N161*INDEX(PRECIOS!$L$6:$L$55,K161),H161*INDEX(PRECIOS!$M$6:$M$55,K161)))</f>
      </c>
      <c r="BG161" s="37">
        <f>IF(B161="","",IF(Base_Comision="% DEL INGRESO",O161*INDEX(PRECIOS!$L$6:$L$55,K161),I161*INDEX(PRECIOS!$M$6:$M$55,K161)))</f>
      </c>
      <c r="BH161" s="70">
        <f>IF(B161="","",BE161+BF161+BG161)</f>
      </c>
      <c r="BI161" s="37">
        <f>IF(B161="","",Q161*Pct_Reclamaciones)</f>
      </c>
      <c r="BJ161" s="37">
        <f>IF(B161="","",Q161*Pct_Banco)</f>
      </c>
      <c r="BK161" s="37">
        <f>IF(B161="","",N(ENTRADA!$V161))</f>
      </c>
      <c r="BL161" s="70">
        <f>IF(B161="","",Y161+AE161+BD161+BH161+BI161+BJ161+BK161)</f>
      </c>
      <c r="BM161" s="70">
        <f>IF(B161="","",Q161-BL161)</f>
      </c>
      <c r="BN161" s="72">
        <f>IF(B161="","",IF(Q161=0,0,BM161/Q161))</f>
      </c>
      <c r="BO161" s="73">
        <f>IF(B161="","",IF(J161=0,0,BM161/J161))</f>
      </c>
      <c r="BP161" s="60">
        <f>IF(B161="","",IFERROR(MATCH(D161,COSTOS_FIJOS!$G$5:$AD$5,0),0))</f>
      </c>
      <c r="BQ161" s="60">
        <f>IF(B161="","",COUNTIFS($D$6:$D$305,D161))</f>
      </c>
      <c r="BR161" s="67">
        <f>IF(B161="","",SUMIFS($J$6:$J$305,$D$6:$D$305,D161))</f>
      </c>
      <c r="BS161" s="72">
        <f>IF(B161="","",IF(Metodo_Prorrateo="KG",IF(BR161=0,0,J161/BR161),1/BQ161))</f>
      </c>
      <c r="BT161" s="37">
        <f>IF(B161="","",IF(BP161=0,0,INDEX(COSTOS_FIJOS!$G$38:$AD$38,BP161))*BS161)</f>
      </c>
      <c r="BU161" s="72">
        <f>IF(B161="","",IF(Metodo_Prorrateo="KG",IF(SUMIFS($G$6:$G$305,$D$6:$D$305,D161)=0,0,G161/SUMIFS($G$6:$G$305,$D$6:$D$305,D161)),IF(G161&gt;0,1/COUNTIFS($D$6:$D$305,D161,$G$6:$G$305,"&gt;0"),0)))</f>
      </c>
      <c r="BV161" s="37">
        <f>IF(B161="","",IF(BP161=0,0,INDEX(COSTOS_FIJOS!$G$39:$AD$39,BP161))*BU161)</f>
      </c>
      <c r="BW161" s="72">
        <f>IF(B161="","",IF(Metodo_Prorrateo="KG",IF(SUMIFS($H$6:$H$305,$D$6:$D$305,D161)=0,0,H161/SUMIFS($H$6:$H$305,$D$6:$D$305,D161)),IF(H161&gt;0,1/COUNTIFS($D$6:$D$305,D161,$H$6:$H$305,"&gt;0"),0)))</f>
      </c>
      <c r="BX161" s="37">
        <f>IF(B161="","",IF(BP161=0,0,INDEX(COSTOS_FIJOS!$G$40:$AD$40,BP161))*BW161)</f>
      </c>
      <c r="BY161" s="72">
        <f>IF(B161="","",IF(Metodo_Prorrateo="KG",IF(SUMIFS($I$6:$I$305,$D$6:$D$305,D161)=0,0,I161/SUMIFS($I$6:$I$305,$D$6:$D$305,D161)),IF(I161&gt;0,1/COUNTIFS($D$6:$D$305,D161,$I$6:$I$305,"&gt;0"),0)))</f>
      </c>
      <c r="BZ161" s="37">
        <f>IF(B161="","",IF(BP161=0,0,INDEX(COSTOS_FIJOS!$G$41:$AD$41,BP161))*BY161)</f>
      </c>
      <c r="CA161" s="70">
        <f>IF(B161="","",BT161+BV161+BX161+BZ161)</f>
      </c>
      <c r="CB161" s="37">
        <f>IF(B161="","",Q161*Imp_Ventas_Serv)</f>
      </c>
      <c r="CC161" s="37">
        <f>IF(B161="","",Q161*Contrib_Territorial)</f>
      </c>
      <c r="CD161" s="70">
        <f>IF(B161="","",BM161-CA161-CB161-CC161)</f>
      </c>
      <c r="CE161" s="37">
        <f>IF(B161="","",MAX(0,CD161)*Imp_Utilidades)</f>
      </c>
      <c r="CF161" s="70">
        <f>IF(B161="","",CD161-CE161)</f>
      </c>
      <c r="CG161" s="72">
        <f>IF(B161="","",IF(Q161=0,0,CF161/Q161))</f>
      </c>
      <c r="CH161" s="73">
        <f>IF(B161="","",IF(J161=0,0,(BL161+CA161+CB161+CC161)/J161))</f>
      </c>
      <c r="CI161" s="73">
        <f>IF(B161="","",IF(J161=0,0,Q161/J161))</f>
      </c>
      <c r="CJ161" s="73">
        <f>IF(B161="","",IF(J161=0,0,CD161/J161))</f>
      </c>
      <c r="CK161" s="37">
        <f>IF(B161="","",Y161+AE161+BK161+BT161)</f>
      </c>
      <c r="CL161" s="37">
        <f>IF(B161="","",IF(J161=0,0,(M161+P161*G161/J161)*(1-Pct_Reclamaciones-Pct_Banco-Imp_Ventas_Serv-Contrib_Territorial)-AI161-BE161-BV161-CK161*G161/J161))</f>
      </c>
      <c r="CM161" s="37">
        <f>IF(B161="","",IF(J161=0,0,(N161+P161*H161/J161)*(1-Pct_Reclamaciones-Pct_Banco-Imp_Ventas_Serv-Contrib_Territorial)-AS161-BF161-BX161-CK161*H161/J161))</f>
      </c>
      <c r="CN161" s="37">
        <f>IF(B161="","",IF(J161=0,0,(O161+P161*I161/J161)*(1-Pct_Reclamaciones-Pct_Banco-Imp_Ventas_Serv-Contrib_Territorial)-BC161-BG161-BZ161-CK161*I161/J161))</f>
      </c>
      <c r="CO161" s="37">
        <f>IF(B161="","",IF(J161=0,0,ROUND(CD161-CL161-CM161-CN161,4)))</f>
      </c>
      <c r="CP161" s="71">
        <f>IF(B161="","",T161+AG161+AK161+AM161+AU161+AW161)</f>
      </c>
      <c r="CQ161" s="71">
        <f>IF(B161="","",U161+AH161+AL161+AN161+AV161+AX161)</f>
      </c>
      <c r="CR161" s="72">
        <f>IF(B161="","",IF(CP161=0,0,CQ161/CP161-1))</f>
      </c>
      <c r="CS161" s="60">
        <f>IF(B161="","",IF(ENTRADA!$Y161="","",ENTRADA!$Y161-C161))</f>
      </c>
      <c r="CT161" s="66">
        <f>IF(B161="","",IF(ENTRADA!$C161="","Falta fecha. ","")&amp;IF(BP161=0,"Mes fuera del rango de COSTOS_FIJOS. ","")&amp;IF(J161=0,"Sin kg. ","")&amp;IF(E161="","Falta transitaria. ","")&amp;IF(AND(T161&gt;0,U161/T161-1&gt;Tolerancia_Comb),"Combustible al puerto "&amp;TEXT(U161/T161-1,"+0%")&amp;" sobre norma. ","")&amp;IF(AND(AG161&gt;0,AH161/AG161-1&gt;Tolerancia_Comb),"Combustible distribución Occidente "&amp;TEXT(AH161/AG161-1,"+0%")&amp;" sobre norma. ","")&amp;IF(AND(AK161&gt;0,AL161/AK161-1&gt;Tolerancia_Comb),"Combustible traslado Centro "&amp;TEXT(AL161/AK161-1,"+0%")&amp;" sobre norma. ","")&amp;IF(AND(AM161&gt;0,AN161/AM161-1&gt;Tolerancia_Comb),"Combustible distribución Centro "&amp;TEXT(AN161/AM161-1,"+0%")&amp;" sobre norma. ","")&amp;IF(AND(AU161&gt;0,AV161/AU161-1&gt;Tolerancia_Comb),"Combustible traslado Oriente "&amp;TEXT(AV161/AU161-1,"+0%")&amp;" sobre norma. ","")&amp;IF(AND(AW161&gt;0,AX161/AW161-1&gt;Tolerancia_Comb),"Combustible distribución Oriente "&amp;TEXT(AX161/AW161-1,"+0%")&amp;" sobre norma. ","")&amp;IF(AND(ENTRADA!$C161&lt;&gt;"",C161&lt;PRECIOS!$A$6),"Fecha anterior a la 1ª vigencia de precios. ","")&amp;IF(CD161&lt;0,"Contenedor con pérdida. ",""))</f>
      </c>
    </row>
    <row r="162">
      <c r="A162" s="60">
        <f>IF(B162="","",ROW()-5)</f>
      </c>
      <c r="B162" s="63">
        <f>IF(ENTRADA!$B162="","",ENTRADA!$B162)</f>
      </c>
      <c r="C162" s="64">
        <f>IF(B162="","",ENTRADA!$C162)</f>
      </c>
      <c r="D162" s="65">
        <f>IF(B162="","",DATE(YEAR(C162),MONTH(C162),1))</f>
      </c>
      <c r="E162" s="66">
        <f>IF(B162="","",ENTRADA!$D162&amp;"")</f>
      </c>
      <c r="F162" s="66">
        <f>IF(B162="","",ENTRADA!$Z162&amp;"")</f>
      </c>
      <c r="G162" s="67">
        <f>IF(B162="","",N(ENTRADA!$G162))</f>
      </c>
      <c r="H162" s="67">
        <f>IF(B162="","",N(ENTRADA!$H162))</f>
      </c>
      <c r="I162" s="67">
        <f>IF(B162="","",N(ENTRADA!$I162))</f>
      </c>
      <c r="J162" s="68">
        <f>IF(B162="","",G162+H162+I162)</f>
      </c>
      <c r="K162" s="60">
        <f>IF(B162="","",IFERROR(MATCH(SUMPRODUCT(MAX((PRECIOS!$A$6:$A$55&lt;=C162)*PRECIOS!$A$6:$A$55)),PRECIOS!$A$6:$A$55,0),1))</f>
      </c>
      <c r="L162" s="69">
        <f>IF(B162="","",INDEX(PRECIOS!$A$6:$A$55,K162))</f>
      </c>
      <c r="M162" s="37">
        <f>IF(B162="","",G162*INDEX(PRECIOS!$B$6:$B$55,K162))</f>
      </c>
      <c r="N162" s="37">
        <f>IF(B162="","",H162*INDEX(PRECIOS!$C$6:$C$55,K162))</f>
      </c>
      <c r="O162" s="37">
        <f>IF(B162="","",I162*INDEX(PRECIOS!$D$6:$D$55,K162))</f>
      </c>
      <c r="P162" s="37">
        <f>IF(B162="","",N(ENTRADA!$X162))</f>
      </c>
      <c r="Q162" s="70">
        <f>IF(B162="","",M162+N162+O162+P162)</f>
      </c>
      <c r="R162" s="71">
        <f>IF(B162="","",IF(ENTRADA!$J162="",Std_Viajes_Puerto,ENTRADA!$J162))</f>
      </c>
      <c r="S162" s="37">
        <f>IF(B162="","",R162*INDEX(PRECIOS!$F$6:$F$55,K162))</f>
      </c>
      <c r="T162" s="71">
        <f>IF(B162="","",R162*Litros_Puerto_Viaje)</f>
      </c>
      <c r="U162" s="71">
        <f>IF(B162="","",IF(ENTRADA!$K162="",T162,ENTRADA!$K162))</f>
      </c>
      <c r="V162" s="37">
        <f>IF(B162="","",U162*INDEX(PRECIOS!$E$6:$E$55,K162))</f>
      </c>
      <c r="W162" s="37">
        <f>IF(B162="","",IF(ENTRADA!$L162="",R162*INDEX(PRECIOS!$G$6:$G$55,K162),ENTRADA!$L162))</f>
      </c>
      <c r="X162" s="37">
        <f>IF(B162="","",R162*Km_Puerto_Viaje*INDEX(PRECIOS!$N$6:$N$55,K162))</f>
      </c>
      <c r="Y162" s="70">
        <f>IF(B162="","",S162+V162+W162+X162)</f>
      </c>
      <c r="Z162" s="71">
        <f>IF(B162="","",IF(J162=0,0,ROUNDUP(J162/Rend_Desagrupe,0)))</f>
      </c>
      <c r="AA162" s="71">
        <f>IF(B162="","",IF(ENTRADA!$M162="",Z162,ENTRADA!$M162))</f>
      </c>
      <c r="AB162" s="37">
        <f>IF(B162="","",AA162*INDEX(PRECIOS!$H$6:$H$55,K162))</f>
      </c>
      <c r="AC162" s="37">
        <f>IF(B162="","",IF(E162="ENCI",INDEX(PRECIOS!$J$6:$J$55,K162),IF(E162="A.V",INDEX(PRECIOS!$K$6:$K$55,K162),0)))</f>
      </c>
      <c r="AD162" s="37">
        <f>IF(B162="","",N(ENTRADA!$N162))</f>
      </c>
      <c r="AE162" s="70">
        <f>IF(B162="","",AB162+AC162+AD162)</f>
      </c>
      <c r="AF162" s="71">
        <f>IF(B162="","",IF(G162=0,0,ROUNDUP(G162/Cap_Camion_OCC,0)))</f>
      </c>
      <c r="AG162" s="71">
        <f>IF(B162="","",AF162*L_Dist_OCC)</f>
      </c>
      <c r="AH162" s="71">
        <f>IF(B162="","",IF(ENTRADA!$O162="",AG162,ENTRADA!$O162))</f>
      </c>
      <c r="AI162" s="37">
        <f>IF(B162="","",AH162*INDEX(PRECIOS!$E$6:$E$55,K162))</f>
      </c>
      <c r="AJ162" s="71">
        <f>IF(B162="","",IF(H162=0,0,ROUNDUP(H162/Cap_Camion_CEN,0)))</f>
      </c>
      <c r="AK162" s="71">
        <f>IF(B162="","",AJ162*L_Tras_CEN)</f>
      </c>
      <c r="AL162" s="71">
        <f>IF(B162="","",IF(ENTRADA!$P162="",AK162,ENTRADA!$P162))</f>
      </c>
      <c r="AM162" s="71">
        <f>IF(B162="","",AJ162*L_Dist_CEN)</f>
      </c>
      <c r="AN162" s="71">
        <f>IF(B162="","",IF(ENTRADA!$Q162="",AM162,ENTRADA!$Q162))</f>
      </c>
      <c r="AO162" s="37">
        <f>IF(B162="","",(AL162+AN162)*INDEX(PRECIOS!$E$6:$E$55,K162))</f>
      </c>
      <c r="AP162" s="71">
        <f>IF(B162="","",IF(H162=0,0,ROUNDUP(H162/Rend_Desagrupe_CT,0)))</f>
      </c>
      <c r="AQ162" s="71">
        <f>IF(B162="","",IF(ENTRADA!$R162="",AP162,ENTRADA!$R162))</f>
      </c>
      <c r="AR162" s="37">
        <f>IF(B162="","",AQ162*INDEX(PRECIOS!$I$6:$I$55,K162))</f>
      </c>
      <c r="AS162" s="37">
        <f>IF(B162="","",AO162+AR162)</f>
      </c>
      <c r="AT162" s="71">
        <f>IF(B162="","",IF(I162=0,0,ROUNDUP(I162/Cap_Camion_ORI,0)))</f>
      </c>
      <c r="AU162" s="71">
        <f>IF(B162="","",AT162*L_Tras_ORI)</f>
      </c>
      <c r="AV162" s="71">
        <f>IF(B162="","",IF(ENTRADA!$S162="",AU162,ENTRADA!$S162))</f>
      </c>
      <c r="AW162" s="71">
        <f>IF(B162="","",AT162*L_Dist_ORI)</f>
      </c>
      <c r="AX162" s="71">
        <f>IF(B162="","",IF(ENTRADA!$T162="",AW162,ENTRADA!$T162))</f>
      </c>
      <c r="AY162" s="37">
        <f>IF(B162="","",(AV162+AX162)*INDEX(PRECIOS!$E$6:$E$55,K162))</f>
      </c>
      <c r="AZ162" s="71">
        <f>IF(B162="","",IF(I162=0,0,ROUNDUP(I162/Rend_Desagrupe_CT,0)))</f>
      </c>
      <c r="BA162" s="71">
        <f>IF(B162="","",IF(ENTRADA!$U162="",AZ162,ENTRADA!$U162))</f>
      </c>
      <c r="BB162" s="37">
        <f>IF(B162="","",BA162*INDEX(PRECIOS!$I$6:$I$55,K162))</f>
      </c>
      <c r="BC162" s="37">
        <f>IF(B162="","",AY162+BB162)</f>
      </c>
      <c r="BD162" s="70">
        <f>IF(B162="","",AI162+AS162+BC162)</f>
      </c>
      <c r="BE162" s="37">
        <f>IF(B162="","",IF(Base_Comision="% DEL INGRESO",M162*INDEX(PRECIOS!$L$6:$L$55,K162),G162*INDEX(PRECIOS!$M$6:$M$55,K162)))</f>
      </c>
      <c r="BF162" s="37">
        <f>IF(B162="","",IF(Base_Comision="% DEL INGRESO",N162*INDEX(PRECIOS!$L$6:$L$55,K162),H162*INDEX(PRECIOS!$M$6:$M$55,K162)))</f>
      </c>
      <c r="BG162" s="37">
        <f>IF(B162="","",IF(Base_Comision="% DEL INGRESO",O162*INDEX(PRECIOS!$L$6:$L$55,K162),I162*INDEX(PRECIOS!$M$6:$M$55,K162)))</f>
      </c>
      <c r="BH162" s="70">
        <f>IF(B162="","",BE162+BF162+BG162)</f>
      </c>
      <c r="BI162" s="37">
        <f>IF(B162="","",Q162*Pct_Reclamaciones)</f>
      </c>
      <c r="BJ162" s="37">
        <f>IF(B162="","",Q162*Pct_Banco)</f>
      </c>
      <c r="BK162" s="37">
        <f>IF(B162="","",N(ENTRADA!$V162))</f>
      </c>
      <c r="BL162" s="70">
        <f>IF(B162="","",Y162+AE162+BD162+BH162+BI162+BJ162+BK162)</f>
      </c>
      <c r="BM162" s="70">
        <f>IF(B162="","",Q162-BL162)</f>
      </c>
      <c r="BN162" s="72">
        <f>IF(B162="","",IF(Q162=0,0,BM162/Q162))</f>
      </c>
      <c r="BO162" s="73">
        <f>IF(B162="","",IF(J162=0,0,BM162/J162))</f>
      </c>
      <c r="BP162" s="60">
        <f>IF(B162="","",IFERROR(MATCH(D162,COSTOS_FIJOS!$G$5:$AD$5,0),0))</f>
      </c>
      <c r="BQ162" s="60">
        <f>IF(B162="","",COUNTIFS($D$6:$D$305,D162))</f>
      </c>
      <c r="BR162" s="67">
        <f>IF(B162="","",SUMIFS($J$6:$J$305,$D$6:$D$305,D162))</f>
      </c>
      <c r="BS162" s="72">
        <f>IF(B162="","",IF(Metodo_Prorrateo="KG",IF(BR162=0,0,J162/BR162),1/BQ162))</f>
      </c>
      <c r="BT162" s="37">
        <f>IF(B162="","",IF(BP162=0,0,INDEX(COSTOS_FIJOS!$G$38:$AD$38,BP162))*BS162)</f>
      </c>
      <c r="BU162" s="72">
        <f>IF(B162="","",IF(Metodo_Prorrateo="KG",IF(SUMIFS($G$6:$G$305,$D$6:$D$305,D162)=0,0,G162/SUMIFS($G$6:$G$305,$D$6:$D$305,D162)),IF(G162&gt;0,1/COUNTIFS($D$6:$D$305,D162,$G$6:$G$305,"&gt;0"),0)))</f>
      </c>
      <c r="BV162" s="37">
        <f>IF(B162="","",IF(BP162=0,0,INDEX(COSTOS_FIJOS!$G$39:$AD$39,BP162))*BU162)</f>
      </c>
      <c r="BW162" s="72">
        <f>IF(B162="","",IF(Metodo_Prorrateo="KG",IF(SUMIFS($H$6:$H$305,$D$6:$D$305,D162)=0,0,H162/SUMIFS($H$6:$H$305,$D$6:$D$305,D162)),IF(H162&gt;0,1/COUNTIFS($D$6:$D$305,D162,$H$6:$H$305,"&gt;0"),0)))</f>
      </c>
      <c r="BX162" s="37">
        <f>IF(B162="","",IF(BP162=0,0,INDEX(COSTOS_FIJOS!$G$40:$AD$40,BP162))*BW162)</f>
      </c>
      <c r="BY162" s="72">
        <f>IF(B162="","",IF(Metodo_Prorrateo="KG",IF(SUMIFS($I$6:$I$305,$D$6:$D$305,D162)=0,0,I162/SUMIFS($I$6:$I$305,$D$6:$D$305,D162)),IF(I162&gt;0,1/COUNTIFS($D$6:$D$305,D162,$I$6:$I$305,"&gt;0"),0)))</f>
      </c>
      <c r="BZ162" s="37">
        <f>IF(B162="","",IF(BP162=0,0,INDEX(COSTOS_FIJOS!$G$41:$AD$41,BP162))*BY162)</f>
      </c>
      <c r="CA162" s="70">
        <f>IF(B162="","",BT162+BV162+BX162+BZ162)</f>
      </c>
      <c r="CB162" s="37">
        <f>IF(B162="","",Q162*Imp_Ventas_Serv)</f>
      </c>
      <c r="CC162" s="37">
        <f>IF(B162="","",Q162*Contrib_Territorial)</f>
      </c>
      <c r="CD162" s="70">
        <f>IF(B162="","",BM162-CA162-CB162-CC162)</f>
      </c>
      <c r="CE162" s="37">
        <f>IF(B162="","",MAX(0,CD162)*Imp_Utilidades)</f>
      </c>
      <c r="CF162" s="70">
        <f>IF(B162="","",CD162-CE162)</f>
      </c>
      <c r="CG162" s="72">
        <f>IF(B162="","",IF(Q162=0,0,CF162/Q162))</f>
      </c>
      <c r="CH162" s="73">
        <f>IF(B162="","",IF(J162=0,0,(BL162+CA162+CB162+CC162)/J162))</f>
      </c>
      <c r="CI162" s="73">
        <f>IF(B162="","",IF(J162=0,0,Q162/J162))</f>
      </c>
      <c r="CJ162" s="73">
        <f>IF(B162="","",IF(J162=0,0,CD162/J162))</f>
      </c>
      <c r="CK162" s="37">
        <f>IF(B162="","",Y162+AE162+BK162+BT162)</f>
      </c>
      <c r="CL162" s="37">
        <f>IF(B162="","",IF(J162=0,0,(M162+P162*G162/J162)*(1-Pct_Reclamaciones-Pct_Banco-Imp_Ventas_Serv-Contrib_Territorial)-AI162-BE162-BV162-CK162*G162/J162))</f>
      </c>
      <c r="CM162" s="37">
        <f>IF(B162="","",IF(J162=0,0,(N162+P162*H162/J162)*(1-Pct_Reclamaciones-Pct_Banco-Imp_Ventas_Serv-Contrib_Territorial)-AS162-BF162-BX162-CK162*H162/J162))</f>
      </c>
      <c r="CN162" s="37">
        <f>IF(B162="","",IF(J162=0,0,(O162+P162*I162/J162)*(1-Pct_Reclamaciones-Pct_Banco-Imp_Ventas_Serv-Contrib_Territorial)-BC162-BG162-BZ162-CK162*I162/J162))</f>
      </c>
      <c r="CO162" s="37">
        <f>IF(B162="","",IF(J162=0,0,ROUND(CD162-CL162-CM162-CN162,4)))</f>
      </c>
      <c r="CP162" s="71">
        <f>IF(B162="","",T162+AG162+AK162+AM162+AU162+AW162)</f>
      </c>
      <c r="CQ162" s="71">
        <f>IF(B162="","",U162+AH162+AL162+AN162+AV162+AX162)</f>
      </c>
      <c r="CR162" s="72">
        <f>IF(B162="","",IF(CP162=0,0,CQ162/CP162-1))</f>
      </c>
      <c r="CS162" s="60">
        <f>IF(B162="","",IF(ENTRADA!$Y162="","",ENTRADA!$Y162-C162))</f>
      </c>
      <c r="CT162" s="66">
        <f>IF(B162="","",IF(ENTRADA!$C162="","Falta fecha. ","")&amp;IF(BP162=0,"Mes fuera del rango de COSTOS_FIJOS. ","")&amp;IF(J162=0,"Sin kg. ","")&amp;IF(E162="","Falta transitaria. ","")&amp;IF(AND(T162&gt;0,U162/T162-1&gt;Tolerancia_Comb),"Combustible al puerto "&amp;TEXT(U162/T162-1,"+0%")&amp;" sobre norma. ","")&amp;IF(AND(AG162&gt;0,AH162/AG162-1&gt;Tolerancia_Comb),"Combustible distribución Occidente "&amp;TEXT(AH162/AG162-1,"+0%")&amp;" sobre norma. ","")&amp;IF(AND(AK162&gt;0,AL162/AK162-1&gt;Tolerancia_Comb),"Combustible traslado Centro "&amp;TEXT(AL162/AK162-1,"+0%")&amp;" sobre norma. ","")&amp;IF(AND(AM162&gt;0,AN162/AM162-1&gt;Tolerancia_Comb),"Combustible distribución Centro "&amp;TEXT(AN162/AM162-1,"+0%")&amp;" sobre norma. ","")&amp;IF(AND(AU162&gt;0,AV162/AU162-1&gt;Tolerancia_Comb),"Combustible traslado Oriente "&amp;TEXT(AV162/AU162-1,"+0%")&amp;" sobre norma. ","")&amp;IF(AND(AW162&gt;0,AX162/AW162-1&gt;Tolerancia_Comb),"Combustible distribución Oriente "&amp;TEXT(AX162/AW162-1,"+0%")&amp;" sobre norma. ","")&amp;IF(AND(ENTRADA!$C162&lt;&gt;"",C162&lt;PRECIOS!$A$6),"Fecha anterior a la 1ª vigencia de precios. ","")&amp;IF(CD162&lt;0,"Contenedor con pérdida. ",""))</f>
      </c>
    </row>
    <row r="163">
      <c r="A163" s="60">
        <f>IF(B163="","",ROW()-5)</f>
      </c>
      <c r="B163" s="63">
        <f>IF(ENTRADA!$B163="","",ENTRADA!$B163)</f>
      </c>
      <c r="C163" s="64">
        <f>IF(B163="","",ENTRADA!$C163)</f>
      </c>
      <c r="D163" s="65">
        <f>IF(B163="","",DATE(YEAR(C163),MONTH(C163),1))</f>
      </c>
      <c r="E163" s="66">
        <f>IF(B163="","",ENTRADA!$D163&amp;"")</f>
      </c>
      <c r="F163" s="66">
        <f>IF(B163="","",ENTRADA!$Z163&amp;"")</f>
      </c>
      <c r="G163" s="67">
        <f>IF(B163="","",N(ENTRADA!$G163))</f>
      </c>
      <c r="H163" s="67">
        <f>IF(B163="","",N(ENTRADA!$H163))</f>
      </c>
      <c r="I163" s="67">
        <f>IF(B163="","",N(ENTRADA!$I163))</f>
      </c>
      <c r="J163" s="68">
        <f>IF(B163="","",G163+H163+I163)</f>
      </c>
      <c r="K163" s="60">
        <f>IF(B163="","",IFERROR(MATCH(SUMPRODUCT(MAX((PRECIOS!$A$6:$A$55&lt;=C163)*PRECIOS!$A$6:$A$55)),PRECIOS!$A$6:$A$55,0),1))</f>
      </c>
      <c r="L163" s="69">
        <f>IF(B163="","",INDEX(PRECIOS!$A$6:$A$55,K163))</f>
      </c>
      <c r="M163" s="37">
        <f>IF(B163="","",G163*INDEX(PRECIOS!$B$6:$B$55,K163))</f>
      </c>
      <c r="N163" s="37">
        <f>IF(B163="","",H163*INDEX(PRECIOS!$C$6:$C$55,K163))</f>
      </c>
      <c r="O163" s="37">
        <f>IF(B163="","",I163*INDEX(PRECIOS!$D$6:$D$55,K163))</f>
      </c>
      <c r="P163" s="37">
        <f>IF(B163="","",N(ENTRADA!$X163))</f>
      </c>
      <c r="Q163" s="70">
        <f>IF(B163="","",M163+N163+O163+P163)</f>
      </c>
      <c r="R163" s="71">
        <f>IF(B163="","",IF(ENTRADA!$J163="",Std_Viajes_Puerto,ENTRADA!$J163))</f>
      </c>
      <c r="S163" s="37">
        <f>IF(B163="","",R163*INDEX(PRECIOS!$F$6:$F$55,K163))</f>
      </c>
      <c r="T163" s="71">
        <f>IF(B163="","",R163*Litros_Puerto_Viaje)</f>
      </c>
      <c r="U163" s="71">
        <f>IF(B163="","",IF(ENTRADA!$K163="",T163,ENTRADA!$K163))</f>
      </c>
      <c r="V163" s="37">
        <f>IF(B163="","",U163*INDEX(PRECIOS!$E$6:$E$55,K163))</f>
      </c>
      <c r="W163" s="37">
        <f>IF(B163="","",IF(ENTRADA!$L163="",R163*INDEX(PRECIOS!$G$6:$G$55,K163),ENTRADA!$L163))</f>
      </c>
      <c r="X163" s="37">
        <f>IF(B163="","",R163*Km_Puerto_Viaje*INDEX(PRECIOS!$N$6:$N$55,K163))</f>
      </c>
      <c r="Y163" s="70">
        <f>IF(B163="","",S163+V163+W163+X163)</f>
      </c>
      <c r="Z163" s="71">
        <f>IF(B163="","",IF(J163=0,0,ROUNDUP(J163/Rend_Desagrupe,0)))</f>
      </c>
      <c r="AA163" s="71">
        <f>IF(B163="","",IF(ENTRADA!$M163="",Z163,ENTRADA!$M163))</f>
      </c>
      <c r="AB163" s="37">
        <f>IF(B163="","",AA163*INDEX(PRECIOS!$H$6:$H$55,K163))</f>
      </c>
      <c r="AC163" s="37">
        <f>IF(B163="","",IF(E163="ENCI",INDEX(PRECIOS!$J$6:$J$55,K163),IF(E163="A.V",INDEX(PRECIOS!$K$6:$K$55,K163),0)))</f>
      </c>
      <c r="AD163" s="37">
        <f>IF(B163="","",N(ENTRADA!$N163))</f>
      </c>
      <c r="AE163" s="70">
        <f>IF(B163="","",AB163+AC163+AD163)</f>
      </c>
      <c r="AF163" s="71">
        <f>IF(B163="","",IF(G163=0,0,ROUNDUP(G163/Cap_Camion_OCC,0)))</f>
      </c>
      <c r="AG163" s="71">
        <f>IF(B163="","",AF163*L_Dist_OCC)</f>
      </c>
      <c r="AH163" s="71">
        <f>IF(B163="","",IF(ENTRADA!$O163="",AG163,ENTRADA!$O163))</f>
      </c>
      <c r="AI163" s="37">
        <f>IF(B163="","",AH163*INDEX(PRECIOS!$E$6:$E$55,K163))</f>
      </c>
      <c r="AJ163" s="71">
        <f>IF(B163="","",IF(H163=0,0,ROUNDUP(H163/Cap_Camion_CEN,0)))</f>
      </c>
      <c r="AK163" s="71">
        <f>IF(B163="","",AJ163*L_Tras_CEN)</f>
      </c>
      <c r="AL163" s="71">
        <f>IF(B163="","",IF(ENTRADA!$P163="",AK163,ENTRADA!$P163))</f>
      </c>
      <c r="AM163" s="71">
        <f>IF(B163="","",AJ163*L_Dist_CEN)</f>
      </c>
      <c r="AN163" s="71">
        <f>IF(B163="","",IF(ENTRADA!$Q163="",AM163,ENTRADA!$Q163))</f>
      </c>
      <c r="AO163" s="37">
        <f>IF(B163="","",(AL163+AN163)*INDEX(PRECIOS!$E$6:$E$55,K163))</f>
      </c>
      <c r="AP163" s="71">
        <f>IF(B163="","",IF(H163=0,0,ROUNDUP(H163/Rend_Desagrupe_CT,0)))</f>
      </c>
      <c r="AQ163" s="71">
        <f>IF(B163="","",IF(ENTRADA!$R163="",AP163,ENTRADA!$R163))</f>
      </c>
      <c r="AR163" s="37">
        <f>IF(B163="","",AQ163*INDEX(PRECIOS!$I$6:$I$55,K163))</f>
      </c>
      <c r="AS163" s="37">
        <f>IF(B163="","",AO163+AR163)</f>
      </c>
      <c r="AT163" s="71">
        <f>IF(B163="","",IF(I163=0,0,ROUNDUP(I163/Cap_Camion_ORI,0)))</f>
      </c>
      <c r="AU163" s="71">
        <f>IF(B163="","",AT163*L_Tras_ORI)</f>
      </c>
      <c r="AV163" s="71">
        <f>IF(B163="","",IF(ENTRADA!$S163="",AU163,ENTRADA!$S163))</f>
      </c>
      <c r="AW163" s="71">
        <f>IF(B163="","",AT163*L_Dist_ORI)</f>
      </c>
      <c r="AX163" s="71">
        <f>IF(B163="","",IF(ENTRADA!$T163="",AW163,ENTRADA!$T163))</f>
      </c>
      <c r="AY163" s="37">
        <f>IF(B163="","",(AV163+AX163)*INDEX(PRECIOS!$E$6:$E$55,K163))</f>
      </c>
      <c r="AZ163" s="71">
        <f>IF(B163="","",IF(I163=0,0,ROUNDUP(I163/Rend_Desagrupe_CT,0)))</f>
      </c>
      <c r="BA163" s="71">
        <f>IF(B163="","",IF(ENTRADA!$U163="",AZ163,ENTRADA!$U163))</f>
      </c>
      <c r="BB163" s="37">
        <f>IF(B163="","",BA163*INDEX(PRECIOS!$I$6:$I$55,K163))</f>
      </c>
      <c r="BC163" s="37">
        <f>IF(B163="","",AY163+BB163)</f>
      </c>
      <c r="BD163" s="70">
        <f>IF(B163="","",AI163+AS163+BC163)</f>
      </c>
      <c r="BE163" s="37">
        <f>IF(B163="","",IF(Base_Comision="% DEL INGRESO",M163*INDEX(PRECIOS!$L$6:$L$55,K163),G163*INDEX(PRECIOS!$M$6:$M$55,K163)))</f>
      </c>
      <c r="BF163" s="37">
        <f>IF(B163="","",IF(Base_Comision="% DEL INGRESO",N163*INDEX(PRECIOS!$L$6:$L$55,K163),H163*INDEX(PRECIOS!$M$6:$M$55,K163)))</f>
      </c>
      <c r="BG163" s="37">
        <f>IF(B163="","",IF(Base_Comision="% DEL INGRESO",O163*INDEX(PRECIOS!$L$6:$L$55,K163),I163*INDEX(PRECIOS!$M$6:$M$55,K163)))</f>
      </c>
      <c r="BH163" s="70">
        <f>IF(B163="","",BE163+BF163+BG163)</f>
      </c>
      <c r="BI163" s="37">
        <f>IF(B163="","",Q163*Pct_Reclamaciones)</f>
      </c>
      <c r="BJ163" s="37">
        <f>IF(B163="","",Q163*Pct_Banco)</f>
      </c>
      <c r="BK163" s="37">
        <f>IF(B163="","",N(ENTRADA!$V163))</f>
      </c>
      <c r="BL163" s="70">
        <f>IF(B163="","",Y163+AE163+BD163+BH163+BI163+BJ163+BK163)</f>
      </c>
      <c r="BM163" s="70">
        <f>IF(B163="","",Q163-BL163)</f>
      </c>
      <c r="BN163" s="72">
        <f>IF(B163="","",IF(Q163=0,0,BM163/Q163))</f>
      </c>
      <c r="BO163" s="73">
        <f>IF(B163="","",IF(J163=0,0,BM163/J163))</f>
      </c>
      <c r="BP163" s="60">
        <f>IF(B163="","",IFERROR(MATCH(D163,COSTOS_FIJOS!$G$5:$AD$5,0),0))</f>
      </c>
      <c r="BQ163" s="60">
        <f>IF(B163="","",COUNTIFS($D$6:$D$305,D163))</f>
      </c>
      <c r="BR163" s="67">
        <f>IF(B163="","",SUMIFS($J$6:$J$305,$D$6:$D$305,D163))</f>
      </c>
      <c r="BS163" s="72">
        <f>IF(B163="","",IF(Metodo_Prorrateo="KG",IF(BR163=0,0,J163/BR163),1/BQ163))</f>
      </c>
      <c r="BT163" s="37">
        <f>IF(B163="","",IF(BP163=0,0,INDEX(COSTOS_FIJOS!$G$38:$AD$38,BP163))*BS163)</f>
      </c>
      <c r="BU163" s="72">
        <f>IF(B163="","",IF(Metodo_Prorrateo="KG",IF(SUMIFS($G$6:$G$305,$D$6:$D$305,D163)=0,0,G163/SUMIFS($G$6:$G$305,$D$6:$D$305,D163)),IF(G163&gt;0,1/COUNTIFS($D$6:$D$305,D163,$G$6:$G$305,"&gt;0"),0)))</f>
      </c>
      <c r="BV163" s="37">
        <f>IF(B163="","",IF(BP163=0,0,INDEX(COSTOS_FIJOS!$G$39:$AD$39,BP163))*BU163)</f>
      </c>
      <c r="BW163" s="72">
        <f>IF(B163="","",IF(Metodo_Prorrateo="KG",IF(SUMIFS($H$6:$H$305,$D$6:$D$305,D163)=0,0,H163/SUMIFS($H$6:$H$305,$D$6:$D$305,D163)),IF(H163&gt;0,1/COUNTIFS($D$6:$D$305,D163,$H$6:$H$305,"&gt;0"),0)))</f>
      </c>
      <c r="BX163" s="37">
        <f>IF(B163="","",IF(BP163=0,0,INDEX(COSTOS_FIJOS!$G$40:$AD$40,BP163))*BW163)</f>
      </c>
      <c r="BY163" s="72">
        <f>IF(B163="","",IF(Metodo_Prorrateo="KG",IF(SUMIFS($I$6:$I$305,$D$6:$D$305,D163)=0,0,I163/SUMIFS($I$6:$I$305,$D$6:$D$305,D163)),IF(I163&gt;0,1/COUNTIFS($D$6:$D$305,D163,$I$6:$I$305,"&gt;0"),0)))</f>
      </c>
      <c r="BZ163" s="37">
        <f>IF(B163="","",IF(BP163=0,0,INDEX(COSTOS_FIJOS!$G$41:$AD$41,BP163))*BY163)</f>
      </c>
      <c r="CA163" s="70">
        <f>IF(B163="","",BT163+BV163+BX163+BZ163)</f>
      </c>
      <c r="CB163" s="37">
        <f>IF(B163="","",Q163*Imp_Ventas_Serv)</f>
      </c>
      <c r="CC163" s="37">
        <f>IF(B163="","",Q163*Contrib_Territorial)</f>
      </c>
      <c r="CD163" s="70">
        <f>IF(B163="","",BM163-CA163-CB163-CC163)</f>
      </c>
      <c r="CE163" s="37">
        <f>IF(B163="","",MAX(0,CD163)*Imp_Utilidades)</f>
      </c>
      <c r="CF163" s="70">
        <f>IF(B163="","",CD163-CE163)</f>
      </c>
      <c r="CG163" s="72">
        <f>IF(B163="","",IF(Q163=0,0,CF163/Q163))</f>
      </c>
      <c r="CH163" s="73">
        <f>IF(B163="","",IF(J163=0,0,(BL163+CA163+CB163+CC163)/J163))</f>
      </c>
      <c r="CI163" s="73">
        <f>IF(B163="","",IF(J163=0,0,Q163/J163))</f>
      </c>
      <c r="CJ163" s="73">
        <f>IF(B163="","",IF(J163=0,0,CD163/J163))</f>
      </c>
      <c r="CK163" s="37">
        <f>IF(B163="","",Y163+AE163+BK163+BT163)</f>
      </c>
      <c r="CL163" s="37">
        <f>IF(B163="","",IF(J163=0,0,(M163+P163*G163/J163)*(1-Pct_Reclamaciones-Pct_Banco-Imp_Ventas_Serv-Contrib_Territorial)-AI163-BE163-BV163-CK163*G163/J163))</f>
      </c>
      <c r="CM163" s="37">
        <f>IF(B163="","",IF(J163=0,0,(N163+P163*H163/J163)*(1-Pct_Reclamaciones-Pct_Banco-Imp_Ventas_Serv-Contrib_Territorial)-AS163-BF163-BX163-CK163*H163/J163))</f>
      </c>
      <c r="CN163" s="37">
        <f>IF(B163="","",IF(J163=0,0,(O163+P163*I163/J163)*(1-Pct_Reclamaciones-Pct_Banco-Imp_Ventas_Serv-Contrib_Territorial)-BC163-BG163-BZ163-CK163*I163/J163))</f>
      </c>
      <c r="CO163" s="37">
        <f>IF(B163="","",IF(J163=0,0,ROUND(CD163-CL163-CM163-CN163,4)))</f>
      </c>
      <c r="CP163" s="71">
        <f>IF(B163="","",T163+AG163+AK163+AM163+AU163+AW163)</f>
      </c>
      <c r="CQ163" s="71">
        <f>IF(B163="","",U163+AH163+AL163+AN163+AV163+AX163)</f>
      </c>
      <c r="CR163" s="72">
        <f>IF(B163="","",IF(CP163=0,0,CQ163/CP163-1))</f>
      </c>
      <c r="CS163" s="60">
        <f>IF(B163="","",IF(ENTRADA!$Y163="","",ENTRADA!$Y163-C163))</f>
      </c>
      <c r="CT163" s="66">
        <f>IF(B163="","",IF(ENTRADA!$C163="","Falta fecha. ","")&amp;IF(BP163=0,"Mes fuera del rango de COSTOS_FIJOS. ","")&amp;IF(J163=0,"Sin kg. ","")&amp;IF(E163="","Falta transitaria. ","")&amp;IF(AND(T163&gt;0,U163/T163-1&gt;Tolerancia_Comb),"Combustible al puerto "&amp;TEXT(U163/T163-1,"+0%")&amp;" sobre norma. ","")&amp;IF(AND(AG163&gt;0,AH163/AG163-1&gt;Tolerancia_Comb),"Combustible distribución Occidente "&amp;TEXT(AH163/AG163-1,"+0%")&amp;" sobre norma. ","")&amp;IF(AND(AK163&gt;0,AL163/AK163-1&gt;Tolerancia_Comb),"Combustible traslado Centro "&amp;TEXT(AL163/AK163-1,"+0%")&amp;" sobre norma. ","")&amp;IF(AND(AM163&gt;0,AN163/AM163-1&gt;Tolerancia_Comb),"Combustible distribución Centro "&amp;TEXT(AN163/AM163-1,"+0%")&amp;" sobre norma. ","")&amp;IF(AND(AU163&gt;0,AV163/AU163-1&gt;Tolerancia_Comb),"Combustible traslado Oriente "&amp;TEXT(AV163/AU163-1,"+0%")&amp;" sobre norma. ","")&amp;IF(AND(AW163&gt;0,AX163/AW163-1&gt;Tolerancia_Comb),"Combustible distribución Oriente "&amp;TEXT(AX163/AW163-1,"+0%")&amp;" sobre norma. ","")&amp;IF(AND(ENTRADA!$C163&lt;&gt;"",C163&lt;PRECIOS!$A$6),"Fecha anterior a la 1ª vigencia de precios. ","")&amp;IF(CD163&lt;0,"Contenedor con pérdida. ",""))</f>
      </c>
    </row>
    <row r="164">
      <c r="A164" s="60">
        <f>IF(B164="","",ROW()-5)</f>
      </c>
      <c r="B164" s="63">
        <f>IF(ENTRADA!$B164="","",ENTRADA!$B164)</f>
      </c>
      <c r="C164" s="64">
        <f>IF(B164="","",ENTRADA!$C164)</f>
      </c>
      <c r="D164" s="65">
        <f>IF(B164="","",DATE(YEAR(C164),MONTH(C164),1))</f>
      </c>
      <c r="E164" s="66">
        <f>IF(B164="","",ENTRADA!$D164&amp;"")</f>
      </c>
      <c r="F164" s="66">
        <f>IF(B164="","",ENTRADA!$Z164&amp;"")</f>
      </c>
      <c r="G164" s="67">
        <f>IF(B164="","",N(ENTRADA!$G164))</f>
      </c>
      <c r="H164" s="67">
        <f>IF(B164="","",N(ENTRADA!$H164))</f>
      </c>
      <c r="I164" s="67">
        <f>IF(B164="","",N(ENTRADA!$I164))</f>
      </c>
      <c r="J164" s="68">
        <f>IF(B164="","",G164+H164+I164)</f>
      </c>
      <c r="K164" s="60">
        <f>IF(B164="","",IFERROR(MATCH(SUMPRODUCT(MAX((PRECIOS!$A$6:$A$55&lt;=C164)*PRECIOS!$A$6:$A$55)),PRECIOS!$A$6:$A$55,0),1))</f>
      </c>
      <c r="L164" s="69">
        <f>IF(B164="","",INDEX(PRECIOS!$A$6:$A$55,K164))</f>
      </c>
      <c r="M164" s="37">
        <f>IF(B164="","",G164*INDEX(PRECIOS!$B$6:$B$55,K164))</f>
      </c>
      <c r="N164" s="37">
        <f>IF(B164="","",H164*INDEX(PRECIOS!$C$6:$C$55,K164))</f>
      </c>
      <c r="O164" s="37">
        <f>IF(B164="","",I164*INDEX(PRECIOS!$D$6:$D$55,K164))</f>
      </c>
      <c r="P164" s="37">
        <f>IF(B164="","",N(ENTRADA!$X164))</f>
      </c>
      <c r="Q164" s="70">
        <f>IF(B164="","",M164+N164+O164+P164)</f>
      </c>
      <c r="R164" s="71">
        <f>IF(B164="","",IF(ENTRADA!$J164="",Std_Viajes_Puerto,ENTRADA!$J164))</f>
      </c>
      <c r="S164" s="37">
        <f>IF(B164="","",R164*INDEX(PRECIOS!$F$6:$F$55,K164))</f>
      </c>
      <c r="T164" s="71">
        <f>IF(B164="","",R164*Litros_Puerto_Viaje)</f>
      </c>
      <c r="U164" s="71">
        <f>IF(B164="","",IF(ENTRADA!$K164="",T164,ENTRADA!$K164))</f>
      </c>
      <c r="V164" s="37">
        <f>IF(B164="","",U164*INDEX(PRECIOS!$E$6:$E$55,K164))</f>
      </c>
      <c r="W164" s="37">
        <f>IF(B164="","",IF(ENTRADA!$L164="",R164*INDEX(PRECIOS!$G$6:$G$55,K164),ENTRADA!$L164))</f>
      </c>
      <c r="X164" s="37">
        <f>IF(B164="","",R164*Km_Puerto_Viaje*INDEX(PRECIOS!$N$6:$N$55,K164))</f>
      </c>
      <c r="Y164" s="70">
        <f>IF(B164="","",S164+V164+W164+X164)</f>
      </c>
      <c r="Z164" s="71">
        <f>IF(B164="","",IF(J164=0,0,ROUNDUP(J164/Rend_Desagrupe,0)))</f>
      </c>
      <c r="AA164" s="71">
        <f>IF(B164="","",IF(ENTRADA!$M164="",Z164,ENTRADA!$M164))</f>
      </c>
      <c r="AB164" s="37">
        <f>IF(B164="","",AA164*INDEX(PRECIOS!$H$6:$H$55,K164))</f>
      </c>
      <c r="AC164" s="37">
        <f>IF(B164="","",IF(E164="ENCI",INDEX(PRECIOS!$J$6:$J$55,K164),IF(E164="A.V",INDEX(PRECIOS!$K$6:$K$55,K164),0)))</f>
      </c>
      <c r="AD164" s="37">
        <f>IF(B164="","",N(ENTRADA!$N164))</f>
      </c>
      <c r="AE164" s="70">
        <f>IF(B164="","",AB164+AC164+AD164)</f>
      </c>
      <c r="AF164" s="71">
        <f>IF(B164="","",IF(G164=0,0,ROUNDUP(G164/Cap_Camion_OCC,0)))</f>
      </c>
      <c r="AG164" s="71">
        <f>IF(B164="","",AF164*L_Dist_OCC)</f>
      </c>
      <c r="AH164" s="71">
        <f>IF(B164="","",IF(ENTRADA!$O164="",AG164,ENTRADA!$O164))</f>
      </c>
      <c r="AI164" s="37">
        <f>IF(B164="","",AH164*INDEX(PRECIOS!$E$6:$E$55,K164))</f>
      </c>
      <c r="AJ164" s="71">
        <f>IF(B164="","",IF(H164=0,0,ROUNDUP(H164/Cap_Camion_CEN,0)))</f>
      </c>
      <c r="AK164" s="71">
        <f>IF(B164="","",AJ164*L_Tras_CEN)</f>
      </c>
      <c r="AL164" s="71">
        <f>IF(B164="","",IF(ENTRADA!$P164="",AK164,ENTRADA!$P164))</f>
      </c>
      <c r="AM164" s="71">
        <f>IF(B164="","",AJ164*L_Dist_CEN)</f>
      </c>
      <c r="AN164" s="71">
        <f>IF(B164="","",IF(ENTRADA!$Q164="",AM164,ENTRADA!$Q164))</f>
      </c>
      <c r="AO164" s="37">
        <f>IF(B164="","",(AL164+AN164)*INDEX(PRECIOS!$E$6:$E$55,K164))</f>
      </c>
      <c r="AP164" s="71">
        <f>IF(B164="","",IF(H164=0,0,ROUNDUP(H164/Rend_Desagrupe_CT,0)))</f>
      </c>
      <c r="AQ164" s="71">
        <f>IF(B164="","",IF(ENTRADA!$R164="",AP164,ENTRADA!$R164))</f>
      </c>
      <c r="AR164" s="37">
        <f>IF(B164="","",AQ164*INDEX(PRECIOS!$I$6:$I$55,K164))</f>
      </c>
      <c r="AS164" s="37">
        <f>IF(B164="","",AO164+AR164)</f>
      </c>
      <c r="AT164" s="71">
        <f>IF(B164="","",IF(I164=0,0,ROUNDUP(I164/Cap_Camion_ORI,0)))</f>
      </c>
      <c r="AU164" s="71">
        <f>IF(B164="","",AT164*L_Tras_ORI)</f>
      </c>
      <c r="AV164" s="71">
        <f>IF(B164="","",IF(ENTRADA!$S164="",AU164,ENTRADA!$S164))</f>
      </c>
      <c r="AW164" s="71">
        <f>IF(B164="","",AT164*L_Dist_ORI)</f>
      </c>
      <c r="AX164" s="71">
        <f>IF(B164="","",IF(ENTRADA!$T164="",AW164,ENTRADA!$T164))</f>
      </c>
      <c r="AY164" s="37">
        <f>IF(B164="","",(AV164+AX164)*INDEX(PRECIOS!$E$6:$E$55,K164))</f>
      </c>
      <c r="AZ164" s="71">
        <f>IF(B164="","",IF(I164=0,0,ROUNDUP(I164/Rend_Desagrupe_CT,0)))</f>
      </c>
      <c r="BA164" s="71">
        <f>IF(B164="","",IF(ENTRADA!$U164="",AZ164,ENTRADA!$U164))</f>
      </c>
      <c r="BB164" s="37">
        <f>IF(B164="","",BA164*INDEX(PRECIOS!$I$6:$I$55,K164))</f>
      </c>
      <c r="BC164" s="37">
        <f>IF(B164="","",AY164+BB164)</f>
      </c>
      <c r="BD164" s="70">
        <f>IF(B164="","",AI164+AS164+BC164)</f>
      </c>
      <c r="BE164" s="37">
        <f>IF(B164="","",IF(Base_Comision="% DEL INGRESO",M164*INDEX(PRECIOS!$L$6:$L$55,K164),G164*INDEX(PRECIOS!$M$6:$M$55,K164)))</f>
      </c>
      <c r="BF164" s="37">
        <f>IF(B164="","",IF(Base_Comision="% DEL INGRESO",N164*INDEX(PRECIOS!$L$6:$L$55,K164),H164*INDEX(PRECIOS!$M$6:$M$55,K164)))</f>
      </c>
      <c r="BG164" s="37">
        <f>IF(B164="","",IF(Base_Comision="% DEL INGRESO",O164*INDEX(PRECIOS!$L$6:$L$55,K164),I164*INDEX(PRECIOS!$M$6:$M$55,K164)))</f>
      </c>
      <c r="BH164" s="70">
        <f>IF(B164="","",BE164+BF164+BG164)</f>
      </c>
      <c r="BI164" s="37">
        <f>IF(B164="","",Q164*Pct_Reclamaciones)</f>
      </c>
      <c r="BJ164" s="37">
        <f>IF(B164="","",Q164*Pct_Banco)</f>
      </c>
      <c r="BK164" s="37">
        <f>IF(B164="","",N(ENTRADA!$V164))</f>
      </c>
      <c r="BL164" s="70">
        <f>IF(B164="","",Y164+AE164+BD164+BH164+BI164+BJ164+BK164)</f>
      </c>
      <c r="BM164" s="70">
        <f>IF(B164="","",Q164-BL164)</f>
      </c>
      <c r="BN164" s="72">
        <f>IF(B164="","",IF(Q164=0,0,BM164/Q164))</f>
      </c>
      <c r="BO164" s="73">
        <f>IF(B164="","",IF(J164=0,0,BM164/J164))</f>
      </c>
      <c r="BP164" s="60">
        <f>IF(B164="","",IFERROR(MATCH(D164,COSTOS_FIJOS!$G$5:$AD$5,0),0))</f>
      </c>
      <c r="BQ164" s="60">
        <f>IF(B164="","",COUNTIFS($D$6:$D$305,D164))</f>
      </c>
      <c r="BR164" s="67">
        <f>IF(B164="","",SUMIFS($J$6:$J$305,$D$6:$D$305,D164))</f>
      </c>
      <c r="BS164" s="72">
        <f>IF(B164="","",IF(Metodo_Prorrateo="KG",IF(BR164=0,0,J164/BR164),1/BQ164))</f>
      </c>
      <c r="BT164" s="37">
        <f>IF(B164="","",IF(BP164=0,0,INDEX(COSTOS_FIJOS!$G$38:$AD$38,BP164))*BS164)</f>
      </c>
      <c r="BU164" s="72">
        <f>IF(B164="","",IF(Metodo_Prorrateo="KG",IF(SUMIFS($G$6:$G$305,$D$6:$D$305,D164)=0,0,G164/SUMIFS($G$6:$G$305,$D$6:$D$305,D164)),IF(G164&gt;0,1/COUNTIFS($D$6:$D$305,D164,$G$6:$G$305,"&gt;0"),0)))</f>
      </c>
      <c r="BV164" s="37">
        <f>IF(B164="","",IF(BP164=0,0,INDEX(COSTOS_FIJOS!$G$39:$AD$39,BP164))*BU164)</f>
      </c>
      <c r="BW164" s="72">
        <f>IF(B164="","",IF(Metodo_Prorrateo="KG",IF(SUMIFS($H$6:$H$305,$D$6:$D$305,D164)=0,0,H164/SUMIFS($H$6:$H$305,$D$6:$D$305,D164)),IF(H164&gt;0,1/COUNTIFS($D$6:$D$305,D164,$H$6:$H$305,"&gt;0"),0)))</f>
      </c>
      <c r="BX164" s="37">
        <f>IF(B164="","",IF(BP164=0,0,INDEX(COSTOS_FIJOS!$G$40:$AD$40,BP164))*BW164)</f>
      </c>
      <c r="BY164" s="72">
        <f>IF(B164="","",IF(Metodo_Prorrateo="KG",IF(SUMIFS($I$6:$I$305,$D$6:$D$305,D164)=0,0,I164/SUMIFS($I$6:$I$305,$D$6:$D$305,D164)),IF(I164&gt;0,1/COUNTIFS($D$6:$D$305,D164,$I$6:$I$305,"&gt;0"),0)))</f>
      </c>
      <c r="BZ164" s="37">
        <f>IF(B164="","",IF(BP164=0,0,INDEX(COSTOS_FIJOS!$G$41:$AD$41,BP164))*BY164)</f>
      </c>
      <c r="CA164" s="70">
        <f>IF(B164="","",BT164+BV164+BX164+BZ164)</f>
      </c>
      <c r="CB164" s="37">
        <f>IF(B164="","",Q164*Imp_Ventas_Serv)</f>
      </c>
      <c r="CC164" s="37">
        <f>IF(B164="","",Q164*Contrib_Territorial)</f>
      </c>
      <c r="CD164" s="70">
        <f>IF(B164="","",BM164-CA164-CB164-CC164)</f>
      </c>
      <c r="CE164" s="37">
        <f>IF(B164="","",MAX(0,CD164)*Imp_Utilidades)</f>
      </c>
      <c r="CF164" s="70">
        <f>IF(B164="","",CD164-CE164)</f>
      </c>
      <c r="CG164" s="72">
        <f>IF(B164="","",IF(Q164=0,0,CF164/Q164))</f>
      </c>
      <c r="CH164" s="73">
        <f>IF(B164="","",IF(J164=0,0,(BL164+CA164+CB164+CC164)/J164))</f>
      </c>
      <c r="CI164" s="73">
        <f>IF(B164="","",IF(J164=0,0,Q164/J164))</f>
      </c>
      <c r="CJ164" s="73">
        <f>IF(B164="","",IF(J164=0,0,CD164/J164))</f>
      </c>
      <c r="CK164" s="37">
        <f>IF(B164="","",Y164+AE164+BK164+BT164)</f>
      </c>
      <c r="CL164" s="37">
        <f>IF(B164="","",IF(J164=0,0,(M164+P164*G164/J164)*(1-Pct_Reclamaciones-Pct_Banco-Imp_Ventas_Serv-Contrib_Territorial)-AI164-BE164-BV164-CK164*G164/J164))</f>
      </c>
      <c r="CM164" s="37">
        <f>IF(B164="","",IF(J164=0,0,(N164+P164*H164/J164)*(1-Pct_Reclamaciones-Pct_Banco-Imp_Ventas_Serv-Contrib_Territorial)-AS164-BF164-BX164-CK164*H164/J164))</f>
      </c>
      <c r="CN164" s="37">
        <f>IF(B164="","",IF(J164=0,0,(O164+P164*I164/J164)*(1-Pct_Reclamaciones-Pct_Banco-Imp_Ventas_Serv-Contrib_Territorial)-BC164-BG164-BZ164-CK164*I164/J164))</f>
      </c>
      <c r="CO164" s="37">
        <f>IF(B164="","",IF(J164=0,0,ROUND(CD164-CL164-CM164-CN164,4)))</f>
      </c>
      <c r="CP164" s="71">
        <f>IF(B164="","",T164+AG164+AK164+AM164+AU164+AW164)</f>
      </c>
      <c r="CQ164" s="71">
        <f>IF(B164="","",U164+AH164+AL164+AN164+AV164+AX164)</f>
      </c>
      <c r="CR164" s="72">
        <f>IF(B164="","",IF(CP164=0,0,CQ164/CP164-1))</f>
      </c>
      <c r="CS164" s="60">
        <f>IF(B164="","",IF(ENTRADA!$Y164="","",ENTRADA!$Y164-C164))</f>
      </c>
      <c r="CT164" s="66">
        <f>IF(B164="","",IF(ENTRADA!$C164="","Falta fecha. ","")&amp;IF(BP164=0,"Mes fuera del rango de COSTOS_FIJOS. ","")&amp;IF(J164=0,"Sin kg. ","")&amp;IF(E164="","Falta transitaria. ","")&amp;IF(AND(T164&gt;0,U164/T164-1&gt;Tolerancia_Comb),"Combustible al puerto "&amp;TEXT(U164/T164-1,"+0%")&amp;" sobre norma. ","")&amp;IF(AND(AG164&gt;0,AH164/AG164-1&gt;Tolerancia_Comb),"Combustible distribución Occidente "&amp;TEXT(AH164/AG164-1,"+0%")&amp;" sobre norma. ","")&amp;IF(AND(AK164&gt;0,AL164/AK164-1&gt;Tolerancia_Comb),"Combustible traslado Centro "&amp;TEXT(AL164/AK164-1,"+0%")&amp;" sobre norma. ","")&amp;IF(AND(AM164&gt;0,AN164/AM164-1&gt;Tolerancia_Comb),"Combustible distribución Centro "&amp;TEXT(AN164/AM164-1,"+0%")&amp;" sobre norma. ","")&amp;IF(AND(AU164&gt;0,AV164/AU164-1&gt;Tolerancia_Comb),"Combustible traslado Oriente "&amp;TEXT(AV164/AU164-1,"+0%")&amp;" sobre norma. ","")&amp;IF(AND(AW164&gt;0,AX164/AW164-1&gt;Tolerancia_Comb),"Combustible distribución Oriente "&amp;TEXT(AX164/AW164-1,"+0%")&amp;" sobre norma. ","")&amp;IF(AND(ENTRADA!$C164&lt;&gt;"",C164&lt;PRECIOS!$A$6),"Fecha anterior a la 1ª vigencia de precios. ","")&amp;IF(CD164&lt;0,"Contenedor con pérdida. ",""))</f>
      </c>
    </row>
    <row r="165">
      <c r="A165" s="60">
        <f>IF(B165="","",ROW()-5)</f>
      </c>
      <c r="B165" s="63">
        <f>IF(ENTRADA!$B165="","",ENTRADA!$B165)</f>
      </c>
      <c r="C165" s="64">
        <f>IF(B165="","",ENTRADA!$C165)</f>
      </c>
      <c r="D165" s="65">
        <f>IF(B165="","",DATE(YEAR(C165),MONTH(C165),1))</f>
      </c>
      <c r="E165" s="66">
        <f>IF(B165="","",ENTRADA!$D165&amp;"")</f>
      </c>
      <c r="F165" s="66">
        <f>IF(B165="","",ENTRADA!$Z165&amp;"")</f>
      </c>
      <c r="G165" s="67">
        <f>IF(B165="","",N(ENTRADA!$G165))</f>
      </c>
      <c r="H165" s="67">
        <f>IF(B165="","",N(ENTRADA!$H165))</f>
      </c>
      <c r="I165" s="67">
        <f>IF(B165="","",N(ENTRADA!$I165))</f>
      </c>
      <c r="J165" s="68">
        <f>IF(B165="","",G165+H165+I165)</f>
      </c>
      <c r="K165" s="60">
        <f>IF(B165="","",IFERROR(MATCH(SUMPRODUCT(MAX((PRECIOS!$A$6:$A$55&lt;=C165)*PRECIOS!$A$6:$A$55)),PRECIOS!$A$6:$A$55,0),1))</f>
      </c>
      <c r="L165" s="69">
        <f>IF(B165="","",INDEX(PRECIOS!$A$6:$A$55,K165))</f>
      </c>
      <c r="M165" s="37">
        <f>IF(B165="","",G165*INDEX(PRECIOS!$B$6:$B$55,K165))</f>
      </c>
      <c r="N165" s="37">
        <f>IF(B165="","",H165*INDEX(PRECIOS!$C$6:$C$55,K165))</f>
      </c>
      <c r="O165" s="37">
        <f>IF(B165="","",I165*INDEX(PRECIOS!$D$6:$D$55,K165))</f>
      </c>
      <c r="P165" s="37">
        <f>IF(B165="","",N(ENTRADA!$X165))</f>
      </c>
      <c r="Q165" s="70">
        <f>IF(B165="","",M165+N165+O165+P165)</f>
      </c>
      <c r="R165" s="71">
        <f>IF(B165="","",IF(ENTRADA!$J165="",Std_Viajes_Puerto,ENTRADA!$J165))</f>
      </c>
      <c r="S165" s="37">
        <f>IF(B165="","",R165*INDEX(PRECIOS!$F$6:$F$55,K165))</f>
      </c>
      <c r="T165" s="71">
        <f>IF(B165="","",R165*Litros_Puerto_Viaje)</f>
      </c>
      <c r="U165" s="71">
        <f>IF(B165="","",IF(ENTRADA!$K165="",T165,ENTRADA!$K165))</f>
      </c>
      <c r="V165" s="37">
        <f>IF(B165="","",U165*INDEX(PRECIOS!$E$6:$E$55,K165))</f>
      </c>
      <c r="W165" s="37">
        <f>IF(B165="","",IF(ENTRADA!$L165="",R165*INDEX(PRECIOS!$G$6:$G$55,K165),ENTRADA!$L165))</f>
      </c>
      <c r="X165" s="37">
        <f>IF(B165="","",R165*Km_Puerto_Viaje*INDEX(PRECIOS!$N$6:$N$55,K165))</f>
      </c>
      <c r="Y165" s="70">
        <f>IF(B165="","",S165+V165+W165+X165)</f>
      </c>
      <c r="Z165" s="71">
        <f>IF(B165="","",IF(J165=0,0,ROUNDUP(J165/Rend_Desagrupe,0)))</f>
      </c>
      <c r="AA165" s="71">
        <f>IF(B165="","",IF(ENTRADA!$M165="",Z165,ENTRADA!$M165))</f>
      </c>
      <c r="AB165" s="37">
        <f>IF(B165="","",AA165*INDEX(PRECIOS!$H$6:$H$55,K165))</f>
      </c>
      <c r="AC165" s="37">
        <f>IF(B165="","",IF(E165="ENCI",INDEX(PRECIOS!$J$6:$J$55,K165),IF(E165="A.V",INDEX(PRECIOS!$K$6:$K$55,K165),0)))</f>
      </c>
      <c r="AD165" s="37">
        <f>IF(B165="","",N(ENTRADA!$N165))</f>
      </c>
      <c r="AE165" s="70">
        <f>IF(B165="","",AB165+AC165+AD165)</f>
      </c>
      <c r="AF165" s="71">
        <f>IF(B165="","",IF(G165=0,0,ROUNDUP(G165/Cap_Camion_OCC,0)))</f>
      </c>
      <c r="AG165" s="71">
        <f>IF(B165="","",AF165*L_Dist_OCC)</f>
      </c>
      <c r="AH165" s="71">
        <f>IF(B165="","",IF(ENTRADA!$O165="",AG165,ENTRADA!$O165))</f>
      </c>
      <c r="AI165" s="37">
        <f>IF(B165="","",AH165*INDEX(PRECIOS!$E$6:$E$55,K165))</f>
      </c>
      <c r="AJ165" s="71">
        <f>IF(B165="","",IF(H165=0,0,ROUNDUP(H165/Cap_Camion_CEN,0)))</f>
      </c>
      <c r="AK165" s="71">
        <f>IF(B165="","",AJ165*L_Tras_CEN)</f>
      </c>
      <c r="AL165" s="71">
        <f>IF(B165="","",IF(ENTRADA!$P165="",AK165,ENTRADA!$P165))</f>
      </c>
      <c r="AM165" s="71">
        <f>IF(B165="","",AJ165*L_Dist_CEN)</f>
      </c>
      <c r="AN165" s="71">
        <f>IF(B165="","",IF(ENTRADA!$Q165="",AM165,ENTRADA!$Q165))</f>
      </c>
      <c r="AO165" s="37">
        <f>IF(B165="","",(AL165+AN165)*INDEX(PRECIOS!$E$6:$E$55,K165))</f>
      </c>
      <c r="AP165" s="71">
        <f>IF(B165="","",IF(H165=0,0,ROUNDUP(H165/Rend_Desagrupe_CT,0)))</f>
      </c>
      <c r="AQ165" s="71">
        <f>IF(B165="","",IF(ENTRADA!$R165="",AP165,ENTRADA!$R165))</f>
      </c>
      <c r="AR165" s="37">
        <f>IF(B165="","",AQ165*INDEX(PRECIOS!$I$6:$I$55,K165))</f>
      </c>
      <c r="AS165" s="37">
        <f>IF(B165="","",AO165+AR165)</f>
      </c>
      <c r="AT165" s="71">
        <f>IF(B165="","",IF(I165=0,0,ROUNDUP(I165/Cap_Camion_ORI,0)))</f>
      </c>
      <c r="AU165" s="71">
        <f>IF(B165="","",AT165*L_Tras_ORI)</f>
      </c>
      <c r="AV165" s="71">
        <f>IF(B165="","",IF(ENTRADA!$S165="",AU165,ENTRADA!$S165))</f>
      </c>
      <c r="AW165" s="71">
        <f>IF(B165="","",AT165*L_Dist_ORI)</f>
      </c>
      <c r="AX165" s="71">
        <f>IF(B165="","",IF(ENTRADA!$T165="",AW165,ENTRADA!$T165))</f>
      </c>
      <c r="AY165" s="37">
        <f>IF(B165="","",(AV165+AX165)*INDEX(PRECIOS!$E$6:$E$55,K165))</f>
      </c>
      <c r="AZ165" s="71">
        <f>IF(B165="","",IF(I165=0,0,ROUNDUP(I165/Rend_Desagrupe_CT,0)))</f>
      </c>
      <c r="BA165" s="71">
        <f>IF(B165="","",IF(ENTRADA!$U165="",AZ165,ENTRADA!$U165))</f>
      </c>
      <c r="BB165" s="37">
        <f>IF(B165="","",BA165*INDEX(PRECIOS!$I$6:$I$55,K165))</f>
      </c>
      <c r="BC165" s="37">
        <f>IF(B165="","",AY165+BB165)</f>
      </c>
      <c r="BD165" s="70">
        <f>IF(B165="","",AI165+AS165+BC165)</f>
      </c>
      <c r="BE165" s="37">
        <f>IF(B165="","",IF(Base_Comision="% DEL INGRESO",M165*INDEX(PRECIOS!$L$6:$L$55,K165),G165*INDEX(PRECIOS!$M$6:$M$55,K165)))</f>
      </c>
      <c r="BF165" s="37">
        <f>IF(B165="","",IF(Base_Comision="% DEL INGRESO",N165*INDEX(PRECIOS!$L$6:$L$55,K165),H165*INDEX(PRECIOS!$M$6:$M$55,K165)))</f>
      </c>
      <c r="BG165" s="37">
        <f>IF(B165="","",IF(Base_Comision="% DEL INGRESO",O165*INDEX(PRECIOS!$L$6:$L$55,K165),I165*INDEX(PRECIOS!$M$6:$M$55,K165)))</f>
      </c>
      <c r="BH165" s="70">
        <f>IF(B165="","",BE165+BF165+BG165)</f>
      </c>
      <c r="BI165" s="37">
        <f>IF(B165="","",Q165*Pct_Reclamaciones)</f>
      </c>
      <c r="BJ165" s="37">
        <f>IF(B165="","",Q165*Pct_Banco)</f>
      </c>
      <c r="BK165" s="37">
        <f>IF(B165="","",N(ENTRADA!$V165))</f>
      </c>
      <c r="BL165" s="70">
        <f>IF(B165="","",Y165+AE165+BD165+BH165+BI165+BJ165+BK165)</f>
      </c>
      <c r="BM165" s="70">
        <f>IF(B165="","",Q165-BL165)</f>
      </c>
      <c r="BN165" s="72">
        <f>IF(B165="","",IF(Q165=0,0,BM165/Q165))</f>
      </c>
      <c r="BO165" s="73">
        <f>IF(B165="","",IF(J165=0,0,BM165/J165))</f>
      </c>
      <c r="BP165" s="60">
        <f>IF(B165="","",IFERROR(MATCH(D165,COSTOS_FIJOS!$G$5:$AD$5,0),0))</f>
      </c>
      <c r="BQ165" s="60">
        <f>IF(B165="","",COUNTIFS($D$6:$D$305,D165))</f>
      </c>
      <c r="BR165" s="67">
        <f>IF(B165="","",SUMIFS($J$6:$J$305,$D$6:$D$305,D165))</f>
      </c>
      <c r="BS165" s="72">
        <f>IF(B165="","",IF(Metodo_Prorrateo="KG",IF(BR165=0,0,J165/BR165),1/BQ165))</f>
      </c>
      <c r="BT165" s="37">
        <f>IF(B165="","",IF(BP165=0,0,INDEX(COSTOS_FIJOS!$G$38:$AD$38,BP165))*BS165)</f>
      </c>
      <c r="BU165" s="72">
        <f>IF(B165="","",IF(Metodo_Prorrateo="KG",IF(SUMIFS($G$6:$G$305,$D$6:$D$305,D165)=0,0,G165/SUMIFS($G$6:$G$305,$D$6:$D$305,D165)),IF(G165&gt;0,1/COUNTIFS($D$6:$D$305,D165,$G$6:$G$305,"&gt;0"),0)))</f>
      </c>
      <c r="BV165" s="37">
        <f>IF(B165="","",IF(BP165=0,0,INDEX(COSTOS_FIJOS!$G$39:$AD$39,BP165))*BU165)</f>
      </c>
      <c r="BW165" s="72">
        <f>IF(B165="","",IF(Metodo_Prorrateo="KG",IF(SUMIFS($H$6:$H$305,$D$6:$D$305,D165)=0,0,H165/SUMIFS($H$6:$H$305,$D$6:$D$305,D165)),IF(H165&gt;0,1/COUNTIFS($D$6:$D$305,D165,$H$6:$H$305,"&gt;0"),0)))</f>
      </c>
      <c r="BX165" s="37">
        <f>IF(B165="","",IF(BP165=0,0,INDEX(COSTOS_FIJOS!$G$40:$AD$40,BP165))*BW165)</f>
      </c>
      <c r="BY165" s="72">
        <f>IF(B165="","",IF(Metodo_Prorrateo="KG",IF(SUMIFS($I$6:$I$305,$D$6:$D$305,D165)=0,0,I165/SUMIFS($I$6:$I$305,$D$6:$D$305,D165)),IF(I165&gt;0,1/COUNTIFS($D$6:$D$305,D165,$I$6:$I$305,"&gt;0"),0)))</f>
      </c>
      <c r="BZ165" s="37">
        <f>IF(B165="","",IF(BP165=0,0,INDEX(COSTOS_FIJOS!$G$41:$AD$41,BP165))*BY165)</f>
      </c>
      <c r="CA165" s="70">
        <f>IF(B165="","",BT165+BV165+BX165+BZ165)</f>
      </c>
      <c r="CB165" s="37">
        <f>IF(B165="","",Q165*Imp_Ventas_Serv)</f>
      </c>
      <c r="CC165" s="37">
        <f>IF(B165="","",Q165*Contrib_Territorial)</f>
      </c>
      <c r="CD165" s="70">
        <f>IF(B165="","",BM165-CA165-CB165-CC165)</f>
      </c>
      <c r="CE165" s="37">
        <f>IF(B165="","",MAX(0,CD165)*Imp_Utilidades)</f>
      </c>
      <c r="CF165" s="70">
        <f>IF(B165="","",CD165-CE165)</f>
      </c>
      <c r="CG165" s="72">
        <f>IF(B165="","",IF(Q165=0,0,CF165/Q165))</f>
      </c>
      <c r="CH165" s="73">
        <f>IF(B165="","",IF(J165=0,0,(BL165+CA165+CB165+CC165)/J165))</f>
      </c>
      <c r="CI165" s="73">
        <f>IF(B165="","",IF(J165=0,0,Q165/J165))</f>
      </c>
      <c r="CJ165" s="73">
        <f>IF(B165="","",IF(J165=0,0,CD165/J165))</f>
      </c>
      <c r="CK165" s="37">
        <f>IF(B165="","",Y165+AE165+BK165+BT165)</f>
      </c>
      <c r="CL165" s="37">
        <f>IF(B165="","",IF(J165=0,0,(M165+P165*G165/J165)*(1-Pct_Reclamaciones-Pct_Banco-Imp_Ventas_Serv-Contrib_Territorial)-AI165-BE165-BV165-CK165*G165/J165))</f>
      </c>
      <c r="CM165" s="37">
        <f>IF(B165="","",IF(J165=0,0,(N165+P165*H165/J165)*(1-Pct_Reclamaciones-Pct_Banco-Imp_Ventas_Serv-Contrib_Territorial)-AS165-BF165-BX165-CK165*H165/J165))</f>
      </c>
      <c r="CN165" s="37">
        <f>IF(B165="","",IF(J165=0,0,(O165+P165*I165/J165)*(1-Pct_Reclamaciones-Pct_Banco-Imp_Ventas_Serv-Contrib_Territorial)-BC165-BG165-BZ165-CK165*I165/J165))</f>
      </c>
      <c r="CO165" s="37">
        <f>IF(B165="","",IF(J165=0,0,ROUND(CD165-CL165-CM165-CN165,4)))</f>
      </c>
      <c r="CP165" s="71">
        <f>IF(B165="","",T165+AG165+AK165+AM165+AU165+AW165)</f>
      </c>
      <c r="CQ165" s="71">
        <f>IF(B165="","",U165+AH165+AL165+AN165+AV165+AX165)</f>
      </c>
      <c r="CR165" s="72">
        <f>IF(B165="","",IF(CP165=0,0,CQ165/CP165-1))</f>
      </c>
      <c r="CS165" s="60">
        <f>IF(B165="","",IF(ENTRADA!$Y165="","",ENTRADA!$Y165-C165))</f>
      </c>
      <c r="CT165" s="66">
        <f>IF(B165="","",IF(ENTRADA!$C165="","Falta fecha. ","")&amp;IF(BP165=0,"Mes fuera del rango de COSTOS_FIJOS. ","")&amp;IF(J165=0,"Sin kg. ","")&amp;IF(E165="","Falta transitaria. ","")&amp;IF(AND(T165&gt;0,U165/T165-1&gt;Tolerancia_Comb),"Combustible al puerto "&amp;TEXT(U165/T165-1,"+0%")&amp;" sobre norma. ","")&amp;IF(AND(AG165&gt;0,AH165/AG165-1&gt;Tolerancia_Comb),"Combustible distribución Occidente "&amp;TEXT(AH165/AG165-1,"+0%")&amp;" sobre norma. ","")&amp;IF(AND(AK165&gt;0,AL165/AK165-1&gt;Tolerancia_Comb),"Combustible traslado Centro "&amp;TEXT(AL165/AK165-1,"+0%")&amp;" sobre norma. ","")&amp;IF(AND(AM165&gt;0,AN165/AM165-1&gt;Tolerancia_Comb),"Combustible distribución Centro "&amp;TEXT(AN165/AM165-1,"+0%")&amp;" sobre norma. ","")&amp;IF(AND(AU165&gt;0,AV165/AU165-1&gt;Tolerancia_Comb),"Combustible traslado Oriente "&amp;TEXT(AV165/AU165-1,"+0%")&amp;" sobre norma. ","")&amp;IF(AND(AW165&gt;0,AX165/AW165-1&gt;Tolerancia_Comb),"Combustible distribución Oriente "&amp;TEXT(AX165/AW165-1,"+0%")&amp;" sobre norma. ","")&amp;IF(AND(ENTRADA!$C165&lt;&gt;"",C165&lt;PRECIOS!$A$6),"Fecha anterior a la 1ª vigencia de precios. ","")&amp;IF(CD165&lt;0,"Contenedor con pérdida. ",""))</f>
      </c>
    </row>
    <row r="166">
      <c r="A166" s="60">
        <f>IF(B166="","",ROW()-5)</f>
      </c>
      <c r="B166" s="63">
        <f>IF(ENTRADA!$B166="","",ENTRADA!$B166)</f>
      </c>
      <c r="C166" s="64">
        <f>IF(B166="","",ENTRADA!$C166)</f>
      </c>
      <c r="D166" s="65">
        <f>IF(B166="","",DATE(YEAR(C166),MONTH(C166),1))</f>
      </c>
      <c r="E166" s="66">
        <f>IF(B166="","",ENTRADA!$D166&amp;"")</f>
      </c>
      <c r="F166" s="66">
        <f>IF(B166="","",ENTRADA!$Z166&amp;"")</f>
      </c>
      <c r="G166" s="67">
        <f>IF(B166="","",N(ENTRADA!$G166))</f>
      </c>
      <c r="H166" s="67">
        <f>IF(B166="","",N(ENTRADA!$H166))</f>
      </c>
      <c r="I166" s="67">
        <f>IF(B166="","",N(ENTRADA!$I166))</f>
      </c>
      <c r="J166" s="68">
        <f>IF(B166="","",G166+H166+I166)</f>
      </c>
      <c r="K166" s="60">
        <f>IF(B166="","",IFERROR(MATCH(SUMPRODUCT(MAX((PRECIOS!$A$6:$A$55&lt;=C166)*PRECIOS!$A$6:$A$55)),PRECIOS!$A$6:$A$55,0),1))</f>
      </c>
      <c r="L166" s="69">
        <f>IF(B166="","",INDEX(PRECIOS!$A$6:$A$55,K166))</f>
      </c>
      <c r="M166" s="37">
        <f>IF(B166="","",G166*INDEX(PRECIOS!$B$6:$B$55,K166))</f>
      </c>
      <c r="N166" s="37">
        <f>IF(B166="","",H166*INDEX(PRECIOS!$C$6:$C$55,K166))</f>
      </c>
      <c r="O166" s="37">
        <f>IF(B166="","",I166*INDEX(PRECIOS!$D$6:$D$55,K166))</f>
      </c>
      <c r="P166" s="37">
        <f>IF(B166="","",N(ENTRADA!$X166))</f>
      </c>
      <c r="Q166" s="70">
        <f>IF(B166="","",M166+N166+O166+P166)</f>
      </c>
      <c r="R166" s="71">
        <f>IF(B166="","",IF(ENTRADA!$J166="",Std_Viajes_Puerto,ENTRADA!$J166))</f>
      </c>
      <c r="S166" s="37">
        <f>IF(B166="","",R166*INDEX(PRECIOS!$F$6:$F$55,K166))</f>
      </c>
      <c r="T166" s="71">
        <f>IF(B166="","",R166*Litros_Puerto_Viaje)</f>
      </c>
      <c r="U166" s="71">
        <f>IF(B166="","",IF(ENTRADA!$K166="",T166,ENTRADA!$K166))</f>
      </c>
      <c r="V166" s="37">
        <f>IF(B166="","",U166*INDEX(PRECIOS!$E$6:$E$55,K166))</f>
      </c>
      <c r="W166" s="37">
        <f>IF(B166="","",IF(ENTRADA!$L166="",R166*INDEX(PRECIOS!$G$6:$G$55,K166),ENTRADA!$L166))</f>
      </c>
      <c r="X166" s="37">
        <f>IF(B166="","",R166*Km_Puerto_Viaje*INDEX(PRECIOS!$N$6:$N$55,K166))</f>
      </c>
      <c r="Y166" s="70">
        <f>IF(B166="","",S166+V166+W166+X166)</f>
      </c>
      <c r="Z166" s="71">
        <f>IF(B166="","",IF(J166=0,0,ROUNDUP(J166/Rend_Desagrupe,0)))</f>
      </c>
      <c r="AA166" s="71">
        <f>IF(B166="","",IF(ENTRADA!$M166="",Z166,ENTRADA!$M166))</f>
      </c>
      <c r="AB166" s="37">
        <f>IF(B166="","",AA166*INDEX(PRECIOS!$H$6:$H$55,K166))</f>
      </c>
      <c r="AC166" s="37">
        <f>IF(B166="","",IF(E166="ENCI",INDEX(PRECIOS!$J$6:$J$55,K166),IF(E166="A.V",INDEX(PRECIOS!$K$6:$K$55,K166),0)))</f>
      </c>
      <c r="AD166" s="37">
        <f>IF(B166="","",N(ENTRADA!$N166))</f>
      </c>
      <c r="AE166" s="70">
        <f>IF(B166="","",AB166+AC166+AD166)</f>
      </c>
      <c r="AF166" s="71">
        <f>IF(B166="","",IF(G166=0,0,ROUNDUP(G166/Cap_Camion_OCC,0)))</f>
      </c>
      <c r="AG166" s="71">
        <f>IF(B166="","",AF166*L_Dist_OCC)</f>
      </c>
      <c r="AH166" s="71">
        <f>IF(B166="","",IF(ENTRADA!$O166="",AG166,ENTRADA!$O166))</f>
      </c>
      <c r="AI166" s="37">
        <f>IF(B166="","",AH166*INDEX(PRECIOS!$E$6:$E$55,K166))</f>
      </c>
      <c r="AJ166" s="71">
        <f>IF(B166="","",IF(H166=0,0,ROUNDUP(H166/Cap_Camion_CEN,0)))</f>
      </c>
      <c r="AK166" s="71">
        <f>IF(B166="","",AJ166*L_Tras_CEN)</f>
      </c>
      <c r="AL166" s="71">
        <f>IF(B166="","",IF(ENTRADA!$P166="",AK166,ENTRADA!$P166))</f>
      </c>
      <c r="AM166" s="71">
        <f>IF(B166="","",AJ166*L_Dist_CEN)</f>
      </c>
      <c r="AN166" s="71">
        <f>IF(B166="","",IF(ENTRADA!$Q166="",AM166,ENTRADA!$Q166))</f>
      </c>
      <c r="AO166" s="37">
        <f>IF(B166="","",(AL166+AN166)*INDEX(PRECIOS!$E$6:$E$55,K166))</f>
      </c>
      <c r="AP166" s="71">
        <f>IF(B166="","",IF(H166=0,0,ROUNDUP(H166/Rend_Desagrupe_CT,0)))</f>
      </c>
      <c r="AQ166" s="71">
        <f>IF(B166="","",IF(ENTRADA!$R166="",AP166,ENTRADA!$R166))</f>
      </c>
      <c r="AR166" s="37">
        <f>IF(B166="","",AQ166*INDEX(PRECIOS!$I$6:$I$55,K166))</f>
      </c>
      <c r="AS166" s="37">
        <f>IF(B166="","",AO166+AR166)</f>
      </c>
      <c r="AT166" s="71">
        <f>IF(B166="","",IF(I166=0,0,ROUNDUP(I166/Cap_Camion_ORI,0)))</f>
      </c>
      <c r="AU166" s="71">
        <f>IF(B166="","",AT166*L_Tras_ORI)</f>
      </c>
      <c r="AV166" s="71">
        <f>IF(B166="","",IF(ENTRADA!$S166="",AU166,ENTRADA!$S166))</f>
      </c>
      <c r="AW166" s="71">
        <f>IF(B166="","",AT166*L_Dist_ORI)</f>
      </c>
      <c r="AX166" s="71">
        <f>IF(B166="","",IF(ENTRADA!$T166="",AW166,ENTRADA!$T166))</f>
      </c>
      <c r="AY166" s="37">
        <f>IF(B166="","",(AV166+AX166)*INDEX(PRECIOS!$E$6:$E$55,K166))</f>
      </c>
      <c r="AZ166" s="71">
        <f>IF(B166="","",IF(I166=0,0,ROUNDUP(I166/Rend_Desagrupe_CT,0)))</f>
      </c>
      <c r="BA166" s="71">
        <f>IF(B166="","",IF(ENTRADA!$U166="",AZ166,ENTRADA!$U166))</f>
      </c>
      <c r="BB166" s="37">
        <f>IF(B166="","",BA166*INDEX(PRECIOS!$I$6:$I$55,K166))</f>
      </c>
      <c r="BC166" s="37">
        <f>IF(B166="","",AY166+BB166)</f>
      </c>
      <c r="BD166" s="70">
        <f>IF(B166="","",AI166+AS166+BC166)</f>
      </c>
      <c r="BE166" s="37">
        <f>IF(B166="","",IF(Base_Comision="% DEL INGRESO",M166*INDEX(PRECIOS!$L$6:$L$55,K166),G166*INDEX(PRECIOS!$M$6:$M$55,K166)))</f>
      </c>
      <c r="BF166" s="37">
        <f>IF(B166="","",IF(Base_Comision="% DEL INGRESO",N166*INDEX(PRECIOS!$L$6:$L$55,K166),H166*INDEX(PRECIOS!$M$6:$M$55,K166)))</f>
      </c>
      <c r="BG166" s="37">
        <f>IF(B166="","",IF(Base_Comision="% DEL INGRESO",O166*INDEX(PRECIOS!$L$6:$L$55,K166),I166*INDEX(PRECIOS!$M$6:$M$55,K166)))</f>
      </c>
      <c r="BH166" s="70">
        <f>IF(B166="","",BE166+BF166+BG166)</f>
      </c>
      <c r="BI166" s="37">
        <f>IF(B166="","",Q166*Pct_Reclamaciones)</f>
      </c>
      <c r="BJ166" s="37">
        <f>IF(B166="","",Q166*Pct_Banco)</f>
      </c>
      <c r="BK166" s="37">
        <f>IF(B166="","",N(ENTRADA!$V166))</f>
      </c>
      <c r="BL166" s="70">
        <f>IF(B166="","",Y166+AE166+BD166+BH166+BI166+BJ166+BK166)</f>
      </c>
      <c r="BM166" s="70">
        <f>IF(B166="","",Q166-BL166)</f>
      </c>
      <c r="BN166" s="72">
        <f>IF(B166="","",IF(Q166=0,0,BM166/Q166))</f>
      </c>
      <c r="BO166" s="73">
        <f>IF(B166="","",IF(J166=0,0,BM166/J166))</f>
      </c>
      <c r="BP166" s="60">
        <f>IF(B166="","",IFERROR(MATCH(D166,COSTOS_FIJOS!$G$5:$AD$5,0),0))</f>
      </c>
      <c r="BQ166" s="60">
        <f>IF(B166="","",COUNTIFS($D$6:$D$305,D166))</f>
      </c>
      <c r="BR166" s="67">
        <f>IF(B166="","",SUMIFS($J$6:$J$305,$D$6:$D$305,D166))</f>
      </c>
      <c r="BS166" s="72">
        <f>IF(B166="","",IF(Metodo_Prorrateo="KG",IF(BR166=0,0,J166/BR166),1/BQ166))</f>
      </c>
      <c r="BT166" s="37">
        <f>IF(B166="","",IF(BP166=0,0,INDEX(COSTOS_FIJOS!$G$38:$AD$38,BP166))*BS166)</f>
      </c>
      <c r="BU166" s="72">
        <f>IF(B166="","",IF(Metodo_Prorrateo="KG",IF(SUMIFS($G$6:$G$305,$D$6:$D$305,D166)=0,0,G166/SUMIFS($G$6:$G$305,$D$6:$D$305,D166)),IF(G166&gt;0,1/COUNTIFS($D$6:$D$305,D166,$G$6:$G$305,"&gt;0"),0)))</f>
      </c>
      <c r="BV166" s="37">
        <f>IF(B166="","",IF(BP166=0,0,INDEX(COSTOS_FIJOS!$G$39:$AD$39,BP166))*BU166)</f>
      </c>
      <c r="BW166" s="72">
        <f>IF(B166="","",IF(Metodo_Prorrateo="KG",IF(SUMIFS($H$6:$H$305,$D$6:$D$305,D166)=0,0,H166/SUMIFS($H$6:$H$305,$D$6:$D$305,D166)),IF(H166&gt;0,1/COUNTIFS($D$6:$D$305,D166,$H$6:$H$305,"&gt;0"),0)))</f>
      </c>
      <c r="BX166" s="37">
        <f>IF(B166="","",IF(BP166=0,0,INDEX(COSTOS_FIJOS!$G$40:$AD$40,BP166))*BW166)</f>
      </c>
      <c r="BY166" s="72">
        <f>IF(B166="","",IF(Metodo_Prorrateo="KG",IF(SUMIFS($I$6:$I$305,$D$6:$D$305,D166)=0,0,I166/SUMIFS($I$6:$I$305,$D$6:$D$305,D166)),IF(I166&gt;0,1/COUNTIFS($D$6:$D$305,D166,$I$6:$I$305,"&gt;0"),0)))</f>
      </c>
      <c r="BZ166" s="37">
        <f>IF(B166="","",IF(BP166=0,0,INDEX(COSTOS_FIJOS!$G$41:$AD$41,BP166))*BY166)</f>
      </c>
      <c r="CA166" s="70">
        <f>IF(B166="","",BT166+BV166+BX166+BZ166)</f>
      </c>
      <c r="CB166" s="37">
        <f>IF(B166="","",Q166*Imp_Ventas_Serv)</f>
      </c>
      <c r="CC166" s="37">
        <f>IF(B166="","",Q166*Contrib_Territorial)</f>
      </c>
      <c r="CD166" s="70">
        <f>IF(B166="","",BM166-CA166-CB166-CC166)</f>
      </c>
      <c r="CE166" s="37">
        <f>IF(B166="","",MAX(0,CD166)*Imp_Utilidades)</f>
      </c>
      <c r="CF166" s="70">
        <f>IF(B166="","",CD166-CE166)</f>
      </c>
      <c r="CG166" s="72">
        <f>IF(B166="","",IF(Q166=0,0,CF166/Q166))</f>
      </c>
      <c r="CH166" s="73">
        <f>IF(B166="","",IF(J166=0,0,(BL166+CA166+CB166+CC166)/J166))</f>
      </c>
      <c r="CI166" s="73">
        <f>IF(B166="","",IF(J166=0,0,Q166/J166))</f>
      </c>
      <c r="CJ166" s="73">
        <f>IF(B166="","",IF(J166=0,0,CD166/J166))</f>
      </c>
      <c r="CK166" s="37">
        <f>IF(B166="","",Y166+AE166+BK166+BT166)</f>
      </c>
      <c r="CL166" s="37">
        <f>IF(B166="","",IF(J166=0,0,(M166+P166*G166/J166)*(1-Pct_Reclamaciones-Pct_Banco-Imp_Ventas_Serv-Contrib_Territorial)-AI166-BE166-BV166-CK166*G166/J166))</f>
      </c>
      <c r="CM166" s="37">
        <f>IF(B166="","",IF(J166=0,0,(N166+P166*H166/J166)*(1-Pct_Reclamaciones-Pct_Banco-Imp_Ventas_Serv-Contrib_Territorial)-AS166-BF166-BX166-CK166*H166/J166))</f>
      </c>
      <c r="CN166" s="37">
        <f>IF(B166="","",IF(J166=0,0,(O166+P166*I166/J166)*(1-Pct_Reclamaciones-Pct_Banco-Imp_Ventas_Serv-Contrib_Territorial)-BC166-BG166-BZ166-CK166*I166/J166))</f>
      </c>
      <c r="CO166" s="37">
        <f>IF(B166="","",IF(J166=0,0,ROUND(CD166-CL166-CM166-CN166,4)))</f>
      </c>
      <c r="CP166" s="71">
        <f>IF(B166="","",T166+AG166+AK166+AM166+AU166+AW166)</f>
      </c>
      <c r="CQ166" s="71">
        <f>IF(B166="","",U166+AH166+AL166+AN166+AV166+AX166)</f>
      </c>
      <c r="CR166" s="72">
        <f>IF(B166="","",IF(CP166=0,0,CQ166/CP166-1))</f>
      </c>
      <c r="CS166" s="60">
        <f>IF(B166="","",IF(ENTRADA!$Y166="","",ENTRADA!$Y166-C166))</f>
      </c>
      <c r="CT166" s="66">
        <f>IF(B166="","",IF(ENTRADA!$C166="","Falta fecha. ","")&amp;IF(BP166=0,"Mes fuera del rango de COSTOS_FIJOS. ","")&amp;IF(J166=0,"Sin kg. ","")&amp;IF(E166="","Falta transitaria. ","")&amp;IF(AND(T166&gt;0,U166/T166-1&gt;Tolerancia_Comb),"Combustible al puerto "&amp;TEXT(U166/T166-1,"+0%")&amp;" sobre norma. ","")&amp;IF(AND(AG166&gt;0,AH166/AG166-1&gt;Tolerancia_Comb),"Combustible distribución Occidente "&amp;TEXT(AH166/AG166-1,"+0%")&amp;" sobre norma. ","")&amp;IF(AND(AK166&gt;0,AL166/AK166-1&gt;Tolerancia_Comb),"Combustible traslado Centro "&amp;TEXT(AL166/AK166-1,"+0%")&amp;" sobre norma. ","")&amp;IF(AND(AM166&gt;0,AN166/AM166-1&gt;Tolerancia_Comb),"Combustible distribución Centro "&amp;TEXT(AN166/AM166-1,"+0%")&amp;" sobre norma. ","")&amp;IF(AND(AU166&gt;0,AV166/AU166-1&gt;Tolerancia_Comb),"Combustible traslado Oriente "&amp;TEXT(AV166/AU166-1,"+0%")&amp;" sobre norma. ","")&amp;IF(AND(AW166&gt;0,AX166/AW166-1&gt;Tolerancia_Comb),"Combustible distribución Oriente "&amp;TEXT(AX166/AW166-1,"+0%")&amp;" sobre norma. ","")&amp;IF(AND(ENTRADA!$C166&lt;&gt;"",C166&lt;PRECIOS!$A$6),"Fecha anterior a la 1ª vigencia de precios. ","")&amp;IF(CD166&lt;0,"Contenedor con pérdida. ",""))</f>
      </c>
    </row>
    <row r="167">
      <c r="A167" s="60">
        <f>IF(B167="","",ROW()-5)</f>
      </c>
      <c r="B167" s="63">
        <f>IF(ENTRADA!$B167="","",ENTRADA!$B167)</f>
      </c>
      <c r="C167" s="64">
        <f>IF(B167="","",ENTRADA!$C167)</f>
      </c>
      <c r="D167" s="65">
        <f>IF(B167="","",DATE(YEAR(C167),MONTH(C167),1))</f>
      </c>
      <c r="E167" s="66">
        <f>IF(B167="","",ENTRADA!$D167&amp;"")</f>
      </c>
      <c r="F167" s="66">
        <f>IF(B167="","",ENTRADA!$Z167&amp;"")</f>
      </c>
      <c r="G167" s="67">
        <f>IF(B167="","",N(ENTRADA!$G167))</f>
      </c>
      <c r="H167" s="67">
        <f>IF(B167="","",N(ENTRADA!$H167))</f>
      </c>
      <c r="I167" s="67">
        <f>IF(B167="","",N(ENTRADA!$I167))</f>
      </c>
      <c r="J167" s="68">
        <f>IF(B167="","",G167+H167+I167)</f>
      </c>
      <c r="K167" s="60">
        <f>IF(B167="","",IFERROR(MATCH(SUMPRODUCT(MAX((PRECIOS!$A$6:$A$55&lt;=C167)*PRECIOS!$A$6:$A$55)),PRECIOS!$A$6:$A$55,0),1))</f>
      </c>
      <c r="L167" s="69">
        <f>IF(B167="","",INDEX(PRECIOS!$A$6:$A$55,K167))</f>
      </c>
      <c r="M167" s="37">
        <f>IF(B167="","",G167*INDEX(PRECIOS!$B$6:$B$55,K167))</f>
      </c>
      <c r="N167" s="37">
        <f>IF(B167="","",H167*INDEX(PRECIOS!$C$6:$C$55,K167))</f>
      </c>
      <c r="O167" s="37">
        <f>IF(B167="","",I167*INDEX(PRECIOS!$D$6:$D$55,K167))</f>
      </c>
      <c r="P167" s="37">
        <f>IF(B167="","",N(ENTRADA!$X167))</f>
      </c>
      <c r="Q167" s="70">
        <f>IF(B167="","",M167+N167+O167+P167)</f>
      </c>
      <c r="R167" s="71">
        <f>IF(B167="","",IF(ENTRADA!$J167="",Std_Viajes_Puerto,ENTRADA!$J167))</f>
      </c>
      <c r="S167" s="37">
        <f>IF(B167="","",R167*INDEX(PRECIOS!$F$6:$F$55,K167))</f>
      </c>
      <c r="T167" s="71">
        <f>IF(B167="","",R167*Litros_Puerto_Viaje)</f>
      </c>
      <c r="U167" s="71">
        <f>IF(B167="","",IF(ENTRADA!$K167="",T167,ENTRADA!$K167))</f>
      </c>
      <c r="V167" s="37">
        <f>IF(B167="","",U167*INDEX(PRECIOS!$E$6:$E$55,K167))</f>
      </c>
      <c r="W167" s="37">
        <f>IF(B167="","",IF(ENTRADA!$L167="",R167*INDEX(PRECIOS!$G$6:$G$55,K167),ENTRADA!$L167))</f>
      </c>
      <c r="X167" s="37">
        <f>IF(B167="","",R167*Km_Puerto_Viaje*INDEX(PRECIOS!$N$6:$N$55,K167))</f>
      </c>
      <c r="Y167" s="70">
        <f>IF(B167="","",S167+V167+W167+X167)</f>
      </c>
      <c r="Z167" s="71">
        <f>IF(B167="","",IF(J167=0,0,ROUNDUP(J167/Rend_Desagrupe,0)))</f>
      </c>
      <c r="AA167" s="71">
        <f>IF(B167="","",IF(ENTRADA!$M167="",Z167,ENTRADA!$M167))</f>
      </c>
      <c r="AB167" s="37">
        <f>IF(B167="","",AA167*INDEX(PRECIOS!$H$6:$H$55,K167))</f>
      </c>
      <c r="AC167" s="37">
        <f>IF(B167="","",IF(E167="ENCI",INDEX(PRECIOS!$J$6:$J$55,K167),IF(E167="A.V",INDEX(PRECIOS!$K$6:$K$55,K167),0)))</f>
      </c>
      <c r="AD167" s="37">
        <f>IF(B167="","",N(ENTRADA!$N167))</f>
      </c>
      <c r="AE167" s="70">
        <f>IF(B167="","",AB167+AC167+AD167)</f>
      </c>
      <c r="AF167" s="71">
        <f>IF(B167="","",IF(G167=0,0,ROUNDUP(G167/Cap_Camion_OCC,0)))</f>
      </c>
      <c r="AG167" s="71">
        <f>IF(B167="","",AF167*L_Dist_OCC)</f>
      </c>
      <c r="AH167" s="71">
        <f>IF(B167="","",IF(ENTRADA!$O167="",AG167,ENTRADA!$O167))</f>
      </c>
      <c r="AI167" s="37">
        <f>IF(B167="","",AH167*INDEX(PRECIOS!$E$6:$E$55,K167))</f>
      </c>
      <c r="AJ167" s="71">
        <f>IF(B167="","",IF(H167=0,0,ROUNDUP(H167/Cap_Camion_CEN,0)))</f>
      </c>
      <c r="AK167" s="71">
        <f>IF(B167="","",AJ167*L_Tras_CEN)</f>
      </c>
      <c r="AL167" s="71">
        <f>IF(B167="","",IF(ENTRADA!$P167="",AK167,ENTRADA!$P167))</f>
      </c>
      <c r="AM167" s="71">
        <f>IF(B167="","",AJ167*L_Dist_CEN)</f>
      </c>
      <c r="AN167" s="71">
        <f>IF(B167="","",IF(ENTRADA!$Q167="",AM167,ENTRADA!$Q167))</f>
      </c>
      <c r="AO167" s="37">
        <f>IF(B167="","",(AL167+AN167)*INDEX(PRECIOS!$E$6:$E$55,K167))</f>
      </c>
      <c r="AP167" s="71">
        <f>IF(B167="","",IF(H167=0,0,ROUNDUP(H167/Rend_Desagrupe_CT,0)))</f>
      </c>
      <c r="AQ167" s="71">
        <f>IF(B167="","",IF(ENTRADA!$R167="",AP167,ENTRADA!$R167))</f>
      </c>
      <c r="AR167" s="37">
        <f>IF(B167="","",AQ167*INDEX(PRECIOS!$I$6:$I$55,K167))</f>
      </c>
      <c r="AS167" s="37">
        <f>IF(B167="","",AO167+AR167)</f>
      </c>
      <c r="AT167" s="71">
        <f>IF(B167="","",IF(I167=0,0,ROUNDUP(I167/Cap_Camion_ORI,0)))</f>
      </c>
      <c r="AU167" s="71">
        <f>IF(B167="","",AT167*L_Tras_ORI)</f>
      </c>
      <c r="AV167" s="71">
        <f>IF(B167="","",IF(ENTRADA!$S167="",AU167,ENTRADA!$S167))</f>
      </c>
      <c r="AW167" s="71">
        <f>IF(B167="","",AT167*L_Dist_ORI)</f>
      </c>
      <c r="AX167" s="71">
        <f>IF(B167="","",IF(ENTRADA!$T167="",AW167,ENTRADA!$T167))</f>
      </c>
      <c r="AY167" s="37">
        <f>IF(B167="","",(AV167+AX167)*INDEX(PRECIOS!$E$6:$E$55,K167))</f>
      </c>
      <c r="AZ167" s="71">
        <f>IF(B167="","",IF(I167=0,0,ROUNDUP(I167/Rend_Desagrupe_CT,0)))</f>
      </c>
      <c r="BA167" s="71">
        <f>IF(B167="","",IF(ENTRADA!$U167="",AZ167,ENTRADA!$U167))</f>
      </c>
      <c r="BB167" s="37">
        <f>IF(B167="","",BA167*INDEX(PRECIOS!$I$6:$I$55,K167))</f>
      </c>
      <c r="BC167" s="37">
        <f>IF(B167="","",AY167+BB167)</f>
      </c>
      <c r="BD167" s="70">
        <f>IF(B167="","",AI167+AS167+BC167)</f>
      </c>
      <c r="BE167" s="37">
        <f>IF(B167="","",IF(Base_Comision="% DEL INGRESO",M167*INDEX(PRECIOS!$L$6:$L$55,K167),G167*INDEX(PRECIOS!$M$6:$M$55,K167)))</f>
      </c>
      <c r="BF167" s="37">
        <f>IF(B167="","",IF(Base_Comision="% DEL INGRESO",N167*INDEX(PRECIOS!$L$6:$L$55,K167),H167*INDEX(PRECIOS!$M$6:$M$55,K167)))</f>
      </c>
      <c r="BG167" s="37">
        <f>IF(B167="","",IF(Base_Comision="% DEL INGRESO",O167*INDEX(PRECIOS!$L$6:$L$55,K167),I167*INDEX(PRECIOS!$M$6:$M$55,K167)))</f>
      </c>
      <c r="BH167" s="70">
        <f>IF(B167="","",BE167+BF167+BG167)</f>
      </c>
      <c r="BI167" s="37">
        <f>IF(B167="","",Q167*Pct_Reclamaciones)</f>
      </c>
      <c r="BJ167" s="37">
        <f>IF(B167="","",Q167*Pct_Banco)</f>
      </c>
      <c r="BK167" s="37">
        <f>IF(B167="","",N(ENTRADA!$V167))</f>
      </c>
      <c r="BL167" s="70">
        <f>IF(B167="","",Y167+AE167+BD167+BH167+BI167+BJ167+BK167)</f>
      </c>
      <c r="BM167" s="70">
        <f>IF(B167="","",Q167-BL167)</f>
      </c>
      <c r="BN167" s="72">
        <f>IF(B167="","",IF(Q167=0,0,BM167/Q167))</f>
      </c>
      <c r="BO167" s="73">
        <f>IF(B167="","",IF(J167=0,0,BM167/J167))</f>
      </c>
      <c r="BP167" s="60">
        <f>IF(B167="","",IFERROR(MATCH(D167,COSTOS_FIJOS!$G$5:$AD$5,0),0))</f>
      </c>
      <c r="BQ167" s="60">
        <f>IF(B167="","",COUNTIFS($D$6:$D$305,D167))</f>
      </c>
      <c r="BR167" s="67">
        <f>IF(B167="","",SUMIFS($J$6:$J$305,$D$6:$D$305,D167))</f>
      </c>
      <c r="BS167" s="72">
        <f>IF(B167="","",IF(Metodo_Prorrateo="KG",IF(BR167=0,0,J167/BR167),1/BQ167))</f>
      </c>
      <c r="BT167" s="37">
        <f>IF(B167="","",IF(BP167=0,0,INDEX(COSTOS_FIJOS!$G$38:$AD$38,BP167))*BS167)</f>
      </c>
      <c r="BU167" s="72">
        <f>IF(B167="","",IF(Metodo_Prorrateo="KG",IF(SUMIFS($G$6:$G$305,$D$6:$D$305,D167)=0,0,G167/SUMIFS($G$6:$G$305,$D$6:$D$305,D167)),IF(G167&gt;0,1/COUNTIFS($D$6:$D$305,D167,$G$6:$G$305,"&gt;0"),0)))</f>
      </c>
      <c r="BV167" s="37">
        <f>IF(B167="","",IF(BP167=0,0,INDEX(COSTOS_FIJOS!$G$39:$AD$39,BP167))*BU167)</f>
      </c>
      <c r="BW167" s="72">
        <f>IF(B167="","",IF(Metodo_Prorrateo="KG",IF(SUMIFS($H$6:$H$305,$D$6:$D$305,D167)=0,0,H167/SUMIFS($H$6:$H$305,$D$6:$D$305,D167)),IF(H167&gt;0,1/COUNTIFS($D$6:$D$305,D167,$H$6:$H$305,"&gt;0"),0)))</f>
      </c>
      <c r="BX167" s="37">
        <f>IF(B167="","",IF(BP167=0,0,INDEX(COSTOS_FIJOS!$G$40:$AD$40,BP167))*BW167)</f>
      </c>
      <c r="BY167" s="72">
        <f>IF(B167="","",IF(Metodo_Prorrateo="KG",IF(SUMIFS($I$6:$I$305,$D$6:$D$305,D167)=0,0,I167/SUMIFS($I$6:$I$305,$D$6:$D$305,D167)),IF(I167&gt;0,1/COUNTIFS($D$6:$D$305,D167,$I$6:$I$305,"&gt;0"),0)))</f>
      </c>
      <c r="BZ167" s="37">
        <f>IF(B167="","",IF(BP167=0,0,INDEX(COSTOS_FIJOS!$G$41:$AD$41,BP167))*BY167)</f>
      </c>
      <c r="CA167" s="70">
        <f>IF(B167="","",BT167+BV167+BX167+BZ167)</f>
      </c>
      <c r="CB167" s="37">
        <f>IF(B167="","",Q167*Imp_Ventas_Serv)</f>
      </c>
      <c r="CC167" s="37">
        <f>IF(B167="","",Q167*Contrib_Territorial)</f>
      </c>
      <c r="CD167" s="70">
        <f>IF(B167="","",BM167-CA167-CB167-CC167)</f>
      </c>
      <c r="CE167" s="37">
        <f>IF(B167="","",MAX(0,CD167)*Imp_Utilidades)</f>
      </c>
      <c r="CF167" s="70">
        <f>IF(B167="","",CD167-CE167)</f>
      </c>
      <c r="CG167" s="72">
        <f>IF(B167="","",IF(Q167=0,0,CF167/Q167))</f>
      </c>
      <c r="CH167" s="73">
        <f>IF(B167="","",IF(J167=0,0,(BL167+CA167+CB167+CC167)/J167))</f>
      </c>
      <c r="CI167" s="73">
        <f>IF(B167="","",IF(J167=0,0,Q167/J167))</f>
      </c>
      <c r="CJ167" s="73">
        <f>IF(B167="","",IF(J167=0,0,CD167/J167))</f>
      </c>
      <c r="CK167" s="37">
        <f>IF(B167="","",Y167+AE167+BK167+BT167)</f>
      </c>
      <c r="CL167" s="37">
        <f>IF(B167="","",IF(J167=0,0,(M167+P167*G167/J167)*(1-Pct_Reclamaciones-Pct_Banco-Imp_Ventas_Serv-Contrib_Territorial)-AI167-BE167-BV167-CK167*G167/J167))</f>
      </c>
      <c r="CM167" s="37">
        <f>IF(B167="","",IF(J167=0,0,(N167+P167*H167/J167)*(1-Pct_Reclamaciones-Pct_Banco-Imp_Ventas_Serv-Contrib_Territorial)-AS167-BF167-BX167-CK167*H167/J167))</f>
      </c>
      <c r="CN167" s="37">
        <f>IF(B167="","",IF(J167=0,0,(O167+P167*I167/J167)*(1-Pct_Reclamaciones-Pct_Banco-Imp_Ventas_Serv-Contrib_Territorial)-BC167-BG167-BZ167-CK167*I167/J167))</f>
      </c>
      <c r="CO167" s="37">
        <f>IF(B167="","",IF(J167=0,0,ROUND(CD167-CL167-CM167-CN167,4)))</f>
      </c>
      <c r="CP167" s="71">
        <f>IF(B167="","",T167+AG167+AK167+AM167+AU167+AW167)</f>
      </c>
      <c r="CQ167" s="71">
        <f>IF(B167="","",U167+AH167+AL167+AN167+AV167+AX167)</f>
      </c>
      <c r="CR167" s="72">
        <f>IF(B167="","",IF(CP167=0,0,CQ167/CP167-1))</f>
      </c>
      <c r="CS167" s="60">
        <f>IF(B167="","",IF(ENTRADA!$Y167="","",ENTRADA!$Y167-C167))</f>
      </c>
      <c r="CT167" s="66">
        <f>IF(B167="","",IF(ENTRADA!$C167="","Falta fecha. ","")&amp;IF(BP167=0,"Mes fuera del rango de COSTOS_FIJOS. ","")&amp;IF(J167=0,"Sin kg. ","")&amp;IF(E167="","Falta transitaria. ","")&amp;IF(AND(T167&gt;0,U167/T167-1&gt;Tolerancia_Comb),"Combustible al puerto "&amp;TEXT(U167/T167-1,"+0%")&amp;" sobre norma. ","")&amp;IF(AND(AG167&gt;0,AH167/AG167-1&gt;Tolerancia_Comb),"Combustible distribución Occidente "&amp;TEXT(AH167/AG167-1,"+0%")&amp;" sobre norma. ","")&amp;IF(AND(AK167&gt;0,AL167/AK167-1&gt;Tolerancia_Comb),"Combustible traslado Centro "&amp;TEXT(AL167/AK167-1,"+0%")&amp;" sobre norma. ","")&amp;IF(AND(AM167&gt;0,AN167/AM167-1&gt;Tolerancia_Comb),"Combustible distribución Centro "&amp;TEXT(AN167/AM167-1,"+0%")&amp;" sobre norma. ","")&amp;IF(AND(AU167&gt;0,AV167/AU167-1&gt;Tolerancia_Comb),"Combustible traslado Oriente "&amp;TEXT(AV167/AU167-1,"+0%")&amp;" sobre norma. ","")&amp;IF(AND(AW167&gt;0,AX167/AW167-1&gt;Tolerancia_Comb),"Combustible distribución Oriente "&amp;TEXT(AX167/AW167-1,"+0%")&amp;" sobre norma. ","")&amp;IF(AND(ENTRADA!$C167&lt;&gt;"",C167&lt;PRECIOS!$A$6),"Fecha anterior a la 1ª vigencia de precios. ","")&amp;IF(CD167&lt;0,"Contenedor con pérdida. ",""))</f>
      </c>
    </row>
    <row r="168">
      <c r="A168" s="60">
        <f>IF(B168="","",ROW()-5)</f>
      </c>
      <c r="B168" s="63">
        <f>IF(ENTRADA!$B168="","",ENTRADA!$B168)</f>
      </c>
      <c r="C168" s="64">
        <f>IF(B168="","",ENTRADA!$C168)</f>
      </c>
      <c r="D168" s="65">
        <f>IF(B168="","",DATE(YEAR(C168),MONTH(C168),1))</f>
      </c>
      <c r="E168" s="66">
        <f>IF(B168="","",ENTRADA!$D168&amp;"")</f>
      </c>
      <c r="F168" s="66">
        <f>IF(B168="","",ENTRADA!$Z168&amp;"")</f>
      </c>
      <c r="G168" s="67">
        <f>IF(B168="","",N(ENTRADA!$G168))</f>
      </c>
      <c r="H168" s="67">
        <f>IF(B168="","",N(ENTRADA!$H168))</f>
      </c>
      <c r="I168" s="67">
        <f>IF(B168="","",N(ENTRADA!$I168))</f>
      </c>
      <c r="J168" s="68">
        <f>IF(B168="","",G168+H168+I168)</f>
      </c>
      <c r="K168" s="60">
        <f>IF(B168="","",IFERROR(MATCH(SUMPRODUCT(MAX((PRECIOS!$A$6:$A$55&lt;=C168)*PRECIOS!$A$6:$A$55)),PRECIOS!$A$6:$A$55,0),1))</f>
      </c>
      <c r="L168" s="69">
        <f>IF(B168="","",INDEX(PRECIOS!$A$6:$A$55,K168))</f>
      </c>
      <c r="M168" s="37">
        <f>IF(B168="","",G168*INDEX(PRECIOS!$B$6:$B$55,K168))</f>
      </c>
      <c r="N168" s="37">
        <f>IF(B168="","",H168*INDEX(PRECIOS!$C$6:$C$55,K168))</f>
      </c>
      <c r="O168" s="37">
        <f>IF(B168="","",I168*INDEX(PRECIOS!$D$6:$D$55,K168))</f>
      </c>
      <c r="P168" s="37">
        <f>IF(B168="","",N(ENTRADA!$X168))</f>
      </c>
      <c r="Q168" s="70">
        <f>IF(B168="","",M168+N168+O168+P168)</f>
      </c>
      <c r="R168" s="71">
        <f>IF(B168="","",IF(ENTRADA!$J168="",Std_Viajes_Puerto,ENTRADA!$J168))</f>
      </c>
      <c r="S168" s="37">
        <f>IF(B168="","",R168*INDEX(PRECIOS!$F$6:$F$55,K168))</f>
      </c>
      <c r="T168" s="71">
        <f>IF(B168="","",R168*Litros_Puerto_Viaje)</f>
      </c>
      <c r="U168" s="71">
        <f>IF(B168="","",IF(ENTRADA!$K168="",T168,ENTRADA!$K168))</f>
      </c>
      <c r="V168" s="37">
        <f>IF(B168="","",U168*INDEX(PRECIOS!$E$6:$E$55,K168))</f>
      </c>
      <c r="W168" s="37">
        <f>IF(B168="","",IF(ENTRADA!$L168="",R168*INDEX(PRECIOS!$G$6:$G$55,K168),ENTRADA!$L168))</f>
      </c>
      <c r="X168" s="37">
        <f>IF(B168="","",R168*Km_Puerto_Viaje*INDEX(PRECIOS!$N$6:$N$55,K168))</f>
      </c>
      <c r="Y168" s="70">
        <f>IF(B168="","",S168+V168+W168+X168)</f>
      </c>
      <c r="Z168" s="71">
        <f>IF(B168="","",IF(J168=0,0,ROUNDUP(J168/Rend_Desagrupe,0)))</f>
      </c>
      <c r="AA168" s="71">
        <f>IF(B168="","",IF(ENTRADA!$M168="",Z168,ENTRADA!$M168))</f>
      </c>
      <c r="AB168" s="37">
        <f>IF(B168="","",AA168*INDEX(PRECIOS!$H$6:$H$55,K168))</f>
      </c>
      <c r="AC168" s="37">
        <f>IF(B168="","",IF(E168="ENCI",INDEX(PRECIOS!$J$6:$J$55,K168),IF(E168="A.V",INDEX(PRECIOS!$K$6:$K$55,K168),0)))</f>
      </c>
      <c r="AD168" s="37">
        <f>IF(B168="","",N(ENTRADA!$N168))</f>
      </c>
      <c r="AE168" s="70">
        <f>IF(B168="","",AB168+AC168+AD168)</f>
      </c>
      <c r="AF168" s="71">
        <f>IF(B168="","",IF(G168=0,0,ROUNDUP(G168/Cap_Camion_OCC,0)))</f>
      </c>
      <c r="AG168" s="71">
        <f>IF(B168="","",AF168*L_Dist_OCC)</f>
      </c>
      <c r="AH168" s="71">
        <f>IF(B168="","",IF(ENTRADA!$O168="",AG168,ENTRADA!$O168))</f>
      </c>
      <c r="AI168" s="37">
        <f>IF(B168="","",AH168*INDEX(PRECIOS!$E$6:$E$55,K168))</f>
      </c>
      <c r="AJ168" s="71">
        <f>IF(B168="","",IF(H168=0,0,ROUNDUP(H168/Cap_Camion_CEN,0)))</f>
      </c>
      <c r="AK168" s="71">
        <f>IF(B168="","",AJ168*L_Tras_CEN)</f>
      </c>
      <c r="AL168" s="71">
        <f>IF(B168="","",IF(ENTRADA!$P168="",AK168,ENTRADA!$P168))</f>
      </c>
      <c r="AM168" s="71">
        <f>IF(B168="","",AJ168*L_Dist_CEN)</f>
      </c>
      <c r="AN168" s="71">
        <f>IF(B168="","",IF(ENTRADA!$Q168="",AM168,ENTRADA!$Q168))</f>
      </c>
      <c r="AO168" s="37">
        <f>IF(B168="","",(AL168+AN168)*INDEX(PRECIOS!$E$6:$E$55,K168))</f>
      </c>
      <c r="AP168" s="71">
        <f>IF(B168="","",IF(H168=0,0,ROUNDUP(H168/Rend_Desagrupe_CT,0)))</f>
      </c>
      <c r="AQ168" s="71">
        <f>IF(B168="","",IF(ENTRADA!$R168="",AP168,ENTRADA!$R168))</f>
      </c>
      <c r="AR168" s="37">
        <f>IF(B168="","",AQ168*INDEX(PRECIOS!$I$6:$I$55,K168))</f>
      </c>
      <c r="AS168" s="37">
        <f>IF(B168="","",AO168+AR168)</f>
      </c>
      <c r="AT168" s="71">
        <f>IF(B168="","",IF(I168=0,0,ROUNDUP(I168/Cap_Camion_ORI,0)))</f>
      </c>
      <c r="AU168" s="71">
        <f>IF(B168="","",AT168*L_Tras_ORI)</f>
      </c>
      <c r="AV168" s="71">
        <f>IF(B168="","",IF(ENTRADA!$S168="",AU168,ENTRADA!$S168))</f>
      </c>
      <c r="AW168" s="71">
        <f>IF(B168="","",AT168*L_Dist_ORI)</f>
      </c>
      <c r="AX168" s="71">
        <f>IF(B168="","",IF(ENTRADA!$T168="",AW168,ENTRADA!$T168))</f>
      </c>
      <c r="AY168" s="37">
        <f>IF(B168="","",(AV168+AX168)*INDEX(PRECIOS!$E$6:$E$55,K168))</f>
      </c>
      <c r="AZ168" s="71">
        <f>IF(B168="","",IF(I168=0,0,ROUNDUP(I168/Rend_Desagrupe_CT,0)))</f>
      </c>
      <c r="BA168" s="71">
        <f>IF(B168="","",IF(ENTRADA!$U168="",AZ168,ENTRADA!$U168))</f>
      </c>
      <c r="BB168" s="37">
        <f>IF(B168="","",BA168*INDEX(PRECIOS!$I$6:$I$55,K168))</f>
      </c>
      <c r="BC168" s="37">
        <f>IF(B168="","",AY168+BB168)</f>
      </c>
      <c r="BD168" s="70">
        <f>IF(B168="","",AI168+AS168+BC168)</f>
      </c>
      <c r="BE168" s="37">
        <f>IF(B168="","",IF(Base_Comision="% DEL INGRESO",M168*INDEX(PRECIOS!$L$6:$L$55,K168),G168*INDEX(PRECIOS!$M$6:$M$55,K168)))</f>
      </c>
      <c r="BF168" s="37">
        <f>IF(B168="","",IF(Base_Comision="% DEL INGRESO",N168*INDEX(PRECIOS!$L$6:$L$55,K168),H168*INDEX(PRECIOS!$M$6:$M$55,K168)))</f>
      </c>
      <c r="BG168" s="37">
        <f>IF(B168="","",IF(Base_Comision="% DEL INGRESO",O168*INDEX(PRECIOS!$L$6:$L$55,K168),I168*INDEX(PRECIOS!$M$6:$M$55,K168)))</f>
      </c>
      <c r="BH168" s="70">
        <f>IF(B168="","",BE168+BF168+BG168)</f>
      </c>
      <c r="BI168" s="37">
        <f>IF(B168="","",Q168*Pct_Reclamaciones)</f>
      </c>
      <c r="BJ168" s="37">
        <f>IF(B168="","",Q168*Pct_Banco)</f>
      </c>
      <c r="BK168" s="37">
        <f>IF(B168="","",N(ENTRADA!$V168))</f>
      </c>
      <c r="BL168" s="70">
        <f>IF(B168="","",Y168+AE168+BD168+BH168+BI168+BJ168+BK168)</f>
      </c>
      <c r="BM168" s="70">
        <f>IF(B168="","",Q168-BL168)</f>
      </c>
      <c r="BN168" s="72">
        <f>IF(B168="","",IF(Q168=0,0,BM168/Q168))</f>
      </c>
      <c r="BO168" s="73">
        <f>IF(B168="","",IF(J168=0,0,BM168/J168))</f>
      </c>
      <c r="BP168" s="60">
        <f>IF(B168="","",IFERROR(MATCH(D168,COSTOS_FIJOS!$G$5:$AD$5,0),0))</f>
      </c>
      <c r="BQ168" s="60">
        <f>IF(B168="","",COUNTIFS($D$6:$D$305,D168))</f>
      </c>
      <c r="BR168" s="67">
        <f>IF(B168="","",SUMIFS($J$6:$J$305,$D$6:$D$305,D168))</f>
      </c>
      <c r="BS168" s="72">
        <f>IF(B168="","",IF(Metodo_Prorrateo="KG",IF(BR168=0,0,J168/BR168),1/BQ168))</f>
      </c>
      <c r="BT168" s="37">
        <f>IF(B168="","",IF(BP168=0,0,INDEX(COSTOS_FIJOS!$G$38:$AD$38,BP168))*BS168)</f>
      </c>
      <c r="BU168" s="72">
        <f>IF(B168="","",IF(Metodo_Prorrateo="KG",IF(SUMIFS($G$6:$G$305,$D$6:$D$305,D168)=0,0,G168/SUMIFS($G$6:$G$305,$D$6:$D$305,D168)),IF(G168&gt;0,1/COUNTIFS($D$6:$D$305,D168,$G$6:$G$305,"&gt;0"),0)))</f>
      </c>
      <c r="BV168" s="37">
        <f>IF(B168="","",IF(BP168=0,0,INDEX(COSTOS_FIJOS!$G$39:$AD$39,BP168))*BU168)</f>
      </c>
      <c r="BW168" s="72">
        <f>IF(B168="","",IF(Metodo_Prorrateo="KG",IF(SUMIFS($H$6:$H$305,$D$6:$D$305,D168)=0,0,H168/SUMIFS($H$6:$H$305,$D$6:$D$305,D168)),IF(H168&gt;0,1/COUNTIFS($D$6:$D$305,D168,$H$6:$H$305,"&gt;0"),0)))</f>
      </c>
      <c r="BX168" s="37">
        <f>IF(B168="","",IF(BP168=0,0,INDEX(COSTOS_FIJOS!$G$40:$AD$40,BP168))*BW168)</f>
      </c>
      <c r="BY168" s="72">
        <f>IF(B168="","",IF(Metodo_Prorrateo="KG",IF(SUMIFS($I$6:$I$305,$D$6:$D$305,D168)=0,0,I168/SUMIFS($I$6:$I$305,$D$6:$D$305,D168)),IF(I168&gt;0,1/COUNTIFS($D$6:$D$305,D168,$I$6:$I$305,"&gt;0"),0)))</f>
      </c>
      <c r="BZ168" s="37">
        <f>IF(B168="","",IF(BP168=0,0,INDEX(COSTOS_FIJOS!$G$41:$AD$41,BP168))*BY168)</f>
      </c>
      <c r="CA168" s="70">
        <f>IF(B168="","",BT168+BV168+BX168+BZ168)</f>
      </c>
      <c r="CB168" s="37">
        <f>IF(B168="","",Q168*Imp_Ventas_Serv)</f>
      </c>
      <c r="CC168" s="37">
        <f>IF(B168="","",Q168*Contrib_Territorial)</f>
      </c>
      <c r="CD168" s="70">
        <f>IF(B168="","",BM168-CA168-CB168-CC168)</f>
      </c>
      <c r="CE168" s="37">
        <f>IF(B168="","",MAX(0,CD168)*Imp_Utilidades)</f>
      </c>
      <c r="CF168" s="70">
        <f>IF(B168="","",CD168-CE168)</f>
      </c>
      <c r="CG168" s="72">
        <f>IF(B168="","",IF(Q168=0,0,CF168/Q168))</f>
      </c>
      <c r="CH168" s="73">
        <f>IF(B168="","",IF(J168=0,0,(BL168+CA168+CB168+CC168)/J168))</f>
      </c>
      <c r="CI168" s="73">
        <f>IF(B168="","",IF(J168=0,0,Q168/J168))</f>
      </c>
      <c r="CJ168" s="73">
        <f>IF(B168="","",IF(J168=0,0,CD168/J168))</f>
      </c>
      <c r="CK168" s="37">
        <f>IF(B168="","",Y168+AE168+BK168+BT168)</f>
      </c>
      <c r="CL168" s="37">
        <f>IF(B168="","",IF(J168=0,0,(M168+P168*G168/J168)*(1-Pct_Reclamaciones-Pct_Banco-Imp_Ventas_Serv-Contrib_Territorial)-AI168-BE168-BV168-CK168*G168/J168))</f>
      </c>
      <c r="CM168" s="37">
        <f>IF(B168="","",IF(J168=0,0,(N168+P168*H168/J168)*(1-Pct_Reclamaciones-Pct_Banco-Imp_Ventas_Serv-Contrib_Territorial)-AS168-BF168-BX168-CK168*H168/J168))</f>
      </c>
      <c r="CN168" s="37">
        <f>IF(B168="","",IF(J168=0,0,(O168+P168*I168/J168)*(1-Pct_Reclamaciones-Pct_Banco-Imp_Ventas_Serv-Contrib_Territorial)-BC168-BG168-BZ168-CK168*I168/J168))</f>
      </c>
      <c r="CO168" s="37">
        <f>IF(B168="","",IF(J168=0,0,ROUND(CD168-CL168-CM168-CN168,4)))</f>
      </c>
      <c r="CP168" s="71">
        <f>IF(B168="","",T168+AG168+AK168+AM168+AU168+AW168)</f>
      </c>
      <c r="CQ168" s="71">
        <f>IF(B168="","",U168+AH168+AL168+AN168+AV168+AX168)</f>
      </c>
      <c r="CR168" s="72">
        <f>IF(B168="","",IF(CP168=0,0,CQ168/CP168-1))</f>
      </c>
      <c r="CS168" s="60">
        <f>IF(B168="","",IF(ENTRADA!$Y168="","",ENTRADA!$Y168-C168))</f>
      </c>
      <c r="CT168" s="66">
        <f>IF(B168="","",IF(ENTRADA!$C168="","Falta fecha. ","")&amp;IF(BP168=0,"Mes fuera del rango de COSTOS_FIJOS. ","")&amp;IF(J168=0,"Sin kg. ","")&amp;IF(E168="","Falta transitaria. ","")&amp;IF(AND(T168&gt;0,U168/T168-1&gt;Tolerancia_Comb),"Combustible al puerto "&amp;TEXT(U168/T168-1,"+0%")&amp;" sobre norma. ","")&amp;IF(AND(AG168&gt;0,AH168/AG168-1&gt;Tolerancia_Comb),"Combustible distribución Occidente "&amp;TEXT(AH168/AG168-1,"+0%")&amp;" sobre norma. ","")&amp;IF(AND(AK168&gt;0,AL168/AK168-1&gt;Tolerancia_Comb),"Combustible traslado Centro "&amp;TEXT(AL168/AK168-1,"+0%")&amp;" sobre norma. ","")&amp;IF(AND(AM168&gt;0,AN168/AM168-1&gt;Tolerancia_Comb),"Combustible distribución Centro "&amp;TEXT(AN168/AM168-1,"+0%")&amp;" sobre norma. ","")&amp;IF(AND(AU168&gt;0,AV168/AU168-1&gt;Tolerancia_Comb),"Combustible traslado Oriente "&amp;TEXT(AV168/AU168-1,"+0%")&amp;" sobre norma. ","")&amp;IF(AND(AW168&gt;0,AX168/AW168-1&gt;Tolerancia_Comb),"Combustible distribución Oriente "&amp;TEXT(AX168/AW168-1,"+0%")&amp;" sobre norma. ","")&amp;IF(AND(ENTRADA!$C168&lt;&gt;"",C168&lt;PRECIOS!$A$6),"Fecha anterior a la 1ª vigencia de precios. ","")&amp;IF(CD168&lt;0,"Contenedor con pérdida. ",""))</f>
      </c>
    </row>
    <row r="169">
      <c r="A169" s="60">
        <f>IF(B169="","",ROW()-5)</f>
      </c>
      <c r="B169" s="63">
        <f>IF(ENTRADA!$B169="","",ENTRADA!$B169)</f>
      </c>
      <c r="C169" s="64">
        <f>IF(B169="","",ENTRADA!$C169)</f>
      </c>
      <c r="D169" s="65">
        <f>IF(B169="","",DATE(YEAR(C169),MONTH(C169),1))</f>
      </c>
      <c r="E169" s="66">
        <f>IF(B169="","",ENTRADA!$D169&amp;"")</f>
      </c>
      <c r="F169" s="66">
        <f>IF(B169="","",ENTRADA!$Z169&amp;"")</f>
      </c>
      <c r="G169" s="67">
        <f>IF(B169="","",N(ENTRADA!$G169))</f>
      </c>
      <c r="H169" s="67">
        <f>IF(B169="","",N(ENTRADA!$H169))</f>
      </c>
      <c r="I169" s="67">
        <f>IF(B169="","",N(ENTRADA!$I169))</f>
      </c>
      <c r="J169" s="68">
        <f>IF(B169="","",G169+H169+I169)</f>
      </c>
      <c r="K169" s="60">
        <f>IF(B169="","",IFERROR(MATCH(SUMPRODUCT(MAX((PRECIOS!$A$6:$A$55&lt;=C169)*PRECIOS!$A$6:$A$55)),PRECIOS!$A$6:$A$55,0),1))</f>
      </c>
      <c r="L169" s="69">
        <f>IF(B169="","",INDEX(PRECIOS!$A$6:$A$55,K169))</f>
      </c>
      <c r="M169" s="37">
        <f>IF(B169="","",G169*INDEX(PRECIOS!$B$6:$B$55,K169))</f>
      </c>
      <c r="N169" s="37">
        <f>IF(B169="","",H169*INDEX(PRECIOS!$C$6:$C$55,K169))</f>
      </c>
      <c r="O169" s="37">
        <f>IF(B169="","",I169*INDEX(PRECIOS!$D$6:$D$55,K169))</f>
      </c>
      <c r="P169" s="37">
        <f>IF(B169="","",N(ENTRADA!$X169))</f>
      </c>
      <c r="Q169" s="70">
        <f>IF(B169="","",M169+N169+O169+P169)</f>
      </c>
      <c r="R169" s="71">
        <f>IF(B169="","",IF(ENTRADA!$J169="",Std_Viajes_Puerto,ENTRADA!$J169))</f>
      </c>
      <c r="S169" s="37">
        <f>IF(B169="","",R169*INDEX(PRECIOS!$F$6:$F$55,K169))</f>
      </c>
      <c r="T169" s="71">
        <f>IF(B169="","",R169*Litros_Puerto_Viaje)</f>
      </c>
      <c r="U169" s="71">
        <f>IF(B169="","",IF(ENTRADA!$K169="",T169,ENTRADA!$K169))</f>
      </c>
      <c r="V169" s="37">
        <f>IF(B169="","",U169*INDEX(PRECIOS!$E$6:$E$55,K169))</f>
      </c>
      <c r="W169" s="37">
        <f>IF(B169="","",IF(ENTRADA!$L169="",R169*INDEX(PRECIOS!$G$6:$G$55,K169),ENTRADA!$L169))</f>
      </c>
      <c r="X169" s="37">
        <f>IF(B169="","",R169*Km_Puerto_Viaje*INDEX(PRECIOS!$N$6:$N$55,K169))</f>
      </c>
      <c r="Y169" s="70">
        <f>IF(B169="","",S169+V169+W169+X169)</f>
      </c>
      <c r="Z169" s="71">
        <f>IF(B169="","",IF(J169=0,0,ROUNDUP(J169/Rend_Desagrupe,0)))</f>
      </c>
      <c r="AA169" s="71">
        <f>IF(B169="","",IF(ENTRADA!$M169="",Z169,ENTRADA!$M169))</f>
      </c>
      <c r="AB169" s="37">
        <f>IF(B169="","",AA169*INDEX(PRECIOS!$H$6:$H$55,K169))</f>
      </c>
      <c r="AC169" s="37">
        <f>IF(B169="","",IF(E169="ENCI",INDEX(PRECIOS!$J$6:$J$55,K169),IF(E169="A.V",INDEX(PRECIOS!$K$6:$K$55,K169),0)))</f>
      </c>
      <c r="AD169" s="37">
        <f>IF(B169="","",N(ENTRADA!$N169))</f>
      </c>
      <c r="AE169" s="70">
        <f>IF(B169="","",AB169+AC169+AD169)</f>
      </c>
      <c r="AF169" s="71">
        <f>IF(B169="","",IF(G169=0,0,ROUNDUP(G169/Cap_Camion_OCC,0)))</f>
      </c>
      <c r="AG169" s="71">
        <f>IF(B169="","",AF169*L_Dist_OCC)</f>
      </c>
      <c r="AH169" s="71">
        <f>IF(B169="","",IF(ENTRADA!$O169="",AG169,ENTRADA!$O169))</f>
      </c>
      <c r="AI169" s="37">
        <f>IF(B169="","",AH169*INDEX(PRECIOS!$E$6:$E$55,K169))</f>
      </c>
      <c r="AJ169" s="71">
        <f>IF(B169="","",IF(H169=0,0,ROUNDUP(H169/Cap_Camion_CEN,0)))</f>
      </c>
      <c r="AK169" s="71">
        <f>IF(B169="","",AJ169*L_Tras_CEN)</f>
      </c>
      <c r="AL169" s="71">
        <f>IF(B169="","",IF(ENTRADA!$P169="",AK169,ENTRADA!$P169))</f>
      </c>
      <c r="AM169" s="71">
        <f>IF(B169="","",AJ169*L_Dist_CEN)</f>
      </c>
      <c r="AN169" s="71">
        <f>IF(B169="","",IF(ENTRADA!$Q169="",AM169,ENTRADA!$Q169))</f>
      </c>
      <c r="AO169" s="37">
        <f>IF(B169="","",(AL169+AN169)*INDEX(PRECIOS!$E$6:$E$55,K169))</f>
      </c>
      <c r="AP169" s="71">
        <f>IF(B169="","",IF(H169=0,0,ROUNDUP(H169/Rend_Desagrupe_CT,0)))</f>
      </c>
      <c r="AQ169" s="71">
        <f>IF(B169="","",IF(ENTRADA!$R169="",AP169,ENTRADA!$R169))</f>
      </c>
      <c r="AR169" s="37">
        <f>IF(B169="","",AQ169*INDEX(PRECIOS!$I$6:$I$55,K169))</f>
      </c>
      <c r="AS169" s="37">
        <f>IF(B169="","",AO169+AR169)</f>
      </c>
      <c r="AT169" s="71">
        <f>IF(B169="","",IF(I169=0,0,ROUNDUP(I169/Cap_Camion_ORI,0)))</f>
      </c>
      <c r="AU169" s="71">
        <f>IF(B169="","",AT169*L_Tras_ORI)</f>
      </c>
      <c r="AV169" s="71">
        <f>IF(B169="","",IF(ENTRADA!$S169="",AU169,ENTRADA!$S169))</f>
      </c>
      <c r="AW169" s="71">
        <f>IF(B169="","",AT169*L_Dist_ORI)</f>
      </c>
      <c r="AX169" s="71">
        <f>IF(B169="","",IF(ENTRADA!$T169="",AW169,ENTRADA!$T169))</f>
      </c>
      <c r="AY169" s="37">
        <f>IF(B169="","",(AV169+AX169)*INDEX(PRECIOS!$E$6:$E$55,K169))</f>
      </c>
      <c r="AZ169" s="71">
        <f>IF(B169="","",IF(I169=0,0,ROUNDUP(I169/Rend_Desagrupe_CT,0)))</f>
      </c>
      <c r="BA169" s="71">
        <f>IF(B169="","",IF(ENTRADA!$U169="",AZ169,ENTRADA!$U169))</f>
      </c>
      <c r="BB169" s="37">
        <f>IF(B169="","",BA169*INDEX(PRECIOS!$I$6:$I$55,K169))</f>
      </c>
      <c r="BC169" s="37">
        <f>IF(B169="","",AY169+BB169)</f>
      </c>
      <c r="BD169" s="70">
        <f>IF(B169="","",AI169+AS169+BC169)</f>
      </c>
      <c r="BE169" s="37">
        <f>IF(B169="","",IF(Base_Comision="% DEL INGRESO",M169*INDEX(PRECIOS!$L$6:$L$55,K169),G169*INDEX(PRECIOS!$M$6:$M$55,K169)))</f>
      </c>
      <c r="BF169" s="37">
        <f>IF(B169="","",IF(Base_Comision="% DEL INGRESO",N169*INDEX(PRECIOS!$L$6:$L$55,K169),H169*INDEX(PRECIOS!$M$6:$M$55,K169)))</f>
      </c>
      <c r="BG169" s="37">
        <f>IF(B169="","",IF(Base_Comision="% DEL INGRESO",O169*INDEX(PRECIOS!$L$6:$L$55,K169),I169*INDEX(PRECIOS!$M$6:$M$55,K169)))</f>
      </c>
      <c r="BH169" s="70">
        <f>IF(B169="","",BE169+BF169+BG169)</f>
      </c>
      <c r="BI169" s="37">
        <f>IF(B169="","",Q169*Pct_Reclamaciones)</f>
      </c>
      <c r="BJ169" s="37">
        <f>IF(B169="","",Q169*Pct_Banco)</f>
      </c>
      <c r="BK169" s="37">
        <f>IF(B169="","",N(ENTRADA!$V169))</f>
      </c>
      <c r="BL169" s="70">
        <f>IF(B169="","",Y169+AE169+BD169+BH169+BI169+BJ169+BK169)</f>
      </c>
      <c r="BM169" s="70">
        <f>IF(B169="","",Q169-BL169)</f>
      </c>
      <c r="BN169" s="72">
        <f>IF(B169="","",IF(Q169=0,0,BM169/Q169))</f>
      </c>
      <c r="BO169" s="73">
        <f>IF(B169="","",IF(J169=0,0,BM169/J169))</f>
      </c>
      <c r="BP169" s="60">
        <f>IF(B169="","",IFERROR(MATCH(D169,COSTOS_FIJOS!$G$5:$AD$5,0),0))</f>
      </c>
      <c r="BQ169" s="60">
        <f>IF(B169="","",COUNTIFS($D$6:$D$305,D169))</f>
      </c>
      <c r="BR169" s="67">
        <f>IF(B169="","",SUMIFS($J$6:$J$305,$D$6:$D$305,D169))</f>
      </c>
      <c r="BS169" s="72">
        <f>IF(B169="","",IF(Metodo_Prorrateo="KG",IF(BR169=0,0,J169/BR169),1/BQ169))</f>
      </c>
      <c r="BT169" s="37">
        <f>IF(B169="","",IF(BP169=0,0,INDEX(COSTOS_FIJOS!$G$38:$AD$38,BP169))*BS169)</f>
      </c>
      <c r="BU169" s="72">
        <f>IF(B169="","",IF(Metodo_Prorrateo="KG",IF(SUMIFS($G$6:$G$305,$D$6:$D$305,D169)=0,0,G169/SUMIFS($G$6:$G$305,$D$6:$D$305,D169)),IF(G169&gt;0,1/COUNTIFS($D$6:$D$305,D169,$G$6:$G$305,"&gt;0"),0)))</f>
      </c>
      <c r="BV169" s="37">
        <f>IF(B169="","",IF(BP169=0,0,INDEX(COSTOS_FIJOS!$G$39:$AD$39,BP169))*BU169)</f>
      </c>
      <c r="BW169" s="72">
        <f>IF(B169="","",IF(Metodo_Prorrateo="KG",IF(SUMIFS($H$6:$H$305,$D$6:$D$305,D169)=0,0,H169/SUMIFS($H$6:$H$305,$D$6:$D$305,D169)),IF(H169&gt;0,1/COUNTIFS($D$6:$D$305,D169,$H$6:$H$305,"&gt;0"),0)))</f>
      </c>
      <c r="BX169" s="37">
        <f>IF(B169="","",IF(BP169=0,0,INDEX(COSTOS_FIJOS!$G$40:$AD$40,BP169))*BW169)</f>
      </c>
      <c r="BY169" s="72">
        <f>IF(B169="","",IF(Metodo_Prorrateo="KG",IF(SUMIFS($I$6:$I$305,$D$6:$D$305,D169)=0,0,I169/SUMIFS($I$6:$I$305,$D$6:$D$305,D169)),IF(I169&gt;0,1/COUNTIFS($D$6:$D$305,D169,$I$6:$I$305,"&gt;0"),0)))</f>
      </c>
      <c r="BZ169" s="37">
        <f>IF(B169="","",IF(BP169=0,0,INDEX(COSTOS_FIJOS!$G$41:$AD$41,BP169))*BY169)</f>
      </c>
      <c r="CA169" s="70">
        <f>IF(B169="","",BT169+BV169+BX169+BZ169)</f>
      </c>
      <c r="CB169" s="37">
        <f>IF(B169="","",Q169*Imp_Ventas_Serv)</f>
      </c>
      <c r="CC169" s="37">
        <f>IF(B169="","",Q169*Contrib_Territorial)</f>
      </c>
      <c r="CD169" s="70">
        <f>IF(B169="","",BM169-CA169-CB169-CC169)</f>
      </c>
      <c r="CE169" s="37">
        <f>IF(B169="","",MAX(0,CD169)*Imp_Utilidades)</f>
      </c>
      <c r="CF169" s="70">
        <f>IF(B169="","",CD169-CE169)</f>
      </c>
      <c r="CG169" s="72">
        <f>IF(B169="","",IF(Q169=0,0,CF169/Q169))</f>
      </c>
      <c r="CH169" s="73">
        <f>IF(B169="","",IF(J169=0,0,(BL169+CA169+CB169+CC169)/J169))</f>
      </c>
      <c r="CI169" s="73">
        <f>IF(B169="","",IF(J169=0,0,Q169/J169))</f>
      </c>
      <c r="CJ169" s="73">
        <f>IF(B169="","",IF(J169=0,0,CD169/J169))</f>
      </c>
      <c r="CK169" s="37">
        <f>IF(B169="","",Y169+AE169+BK169+BT169)</f>
      </c>
      <c r="CL169" s="37">
        <f>IF(B169="","",IF(J169=0,0,(M169+P169*G169/J169)*(1-Pct_Reclamaciones-Pct_Banco-Imp_Ventas_Serv-Contrib_Territorial)-AI169-BE169-BV169-CK169*G169/J169))</f>
      </c>
      <c r="CM169" s="37">
        <f>IF(B169="","",IF(J169=0,0,(N169+P169*H169/J169)*(1-Pct_Reclamaciones-Pct_Banco-Imp_Ventas_Serv-Contrib_Territorial)-AS169-BF169-BX169-CK169*H169/J169))</f>
      </c>
      <c r="CN169" s="37">
        <f>IF(B169="","",IF(J169=0,0,(O169+P169*I169/J169)*(1-Pct_Reclamaciones-Pct_Banco-Imp_Ventas_Serv-Contrib_Territorial)-BC169-BG169-BZ169-CK169*I169/J169))</f>
      </c>
      <c r="CO169" s="37">
        <f>IF(B169="","",IF(J169=0,0,ROUND(CD169-CL169-CM169-CN169,4)))</f>
      </c>
      <c r="CP169" s="71">
        <f>IF(B169="","",T169+AG169+AK169+AM169+AU169+AW169)</f>
      </c>
      <c r="CQ169" s="71">
        <f>IF(B169="","",U169+AH169+AL169+AN169+AV169+AX169)</f>
      </c>
      <c r="CR169" s="72">
        <f>IF(B169="","",IF(CP169=0,0,CQ169/CP169-1))</f>
      </c>
      <c r="CS169" s="60">
        <f>IF(B169="","",IF(ENTRADA!$Y169="","",ENTRADA!$Y169-C169))</f>
      </c>
      <c r="CT169" s="66">
        <f>IF(B169="","",IF(ENTRADA!$C169="","Falta fecha. ","")&amp;IF(BP169=0,"Mes fuera del rango de COSTOS_FIJOS. ","")&amp;IF(J169=0,"Sin kg. ","")&amp;IF(E169="","Falta transitaria. ","")&amp;IF(AND(T169&gt;0,U169/T169-1&gt;Tolerancia_Comb),"Combustible al puerto "&amp;TEXT(U169/T169-1,"+0%")&amp;" sobre norma. ","")&amp;IF(AND(AG169&gt;0,AH169/AG169-1&gt;Tolerancia_Comb),"Combustible distribución Occidente "&amp;TEXT(AH169/AG169-1,"+0%")&amp;" sobre norma. ","")&amp;IF(AND(AK169&gt;0,AL169/AK169-1&gt;Tolerancia_Comb),"Combustible traslado Centro "&amp;TEXT(AL169/AK169-1,"+0%")&amp;" sobre norma. ","")&amp;IF(AND(AM169&gt;0,AN169/AM169-1&gt;Tolerancia_Comb),"Combustible distribución Centro "&amp;TEXT(AN169/AM169-1,"+0%")&amp;" sobre norma. ","")&amp;IF(AND(AU169&gt;0,AV169/AU169-1&gt;Tolerancia_Comb),"Combustible traslado Oriente "&amp;TEXT(AV169/AU169-1,"+0%")&amp;" sobre norma. ","")&amp;IF(AND(AW169&gt;0,AX169/AW169-1&gt;Tolerancia_Comb),"Combustible distribución Oriente "&amp;TEXT(AX169/AW169-1,"+0%")&amp;" sobre norma. ","")&amp;IF(AND(ENTRADA!$C169&lt;&gt;"",C169&lt;PRECIOS!$A$6),"Fecha anterior a la 1ª vigencia de precios. ","")&amp;IF(CD169&lt;0,"Contenedor con pérdida. ",""))</f>
      </c>
    </row>
    <row r="170">
      <c r="A170" s="60">
        <f>IF(B170="","",ROW()-5)</f>
      </c>
      <c r="B170" s="63">
        <f>IF(ENTRADA!$B170="","",ENTRADA!$B170)</f>
      </c>
      <c r="C170" s="64">
        <f>IF(B170="","",ENTRADA!$C170)</f>
      </c>
      <c r="D170" s="65">
        <f>IF(B170="","",DATE(YEAR(C170),MONTH(C170),1))</f>
      </c>
      <c r="E170" s="66">
        <f>IF(B170="","",ENTRADA!$D170&amp;"")</f>
      </c>
      <c r="F170" s="66">
        <f>IF(B170="","",ENTRADA!$Z170&amp;"")</f>
      </c>
      <c r="G170" s="67">
        <f>IF(B170="","",N(ENTRADA!$G170))</f>
      </c>
      <c r="H170" s="67">
        <f>IF(B170="","",N(ENTRADA!$H170))</f>
      </c>
      <c r="I170" s="67">
        <f>IF(B170="","",N(ENTRADA!$I170))</f>
      </c>
      <c r="J170" s="68">
        <f>IF(B170="","",G170+H170+I170)</f>
      </c>
      <c r="K170" s="60">
        <f>IF(B170="","",IFERROR(MATCH(SUMPRODUCT(MAX((PRECIOS!$A$6:$A$55&lt;=C170)*PRECIOS!$A$6:$A$55)),PRECIOS!$A$6:$A$55,0),1))</f>
      </c>
      <c r="L170" s="69">
        <f>IF(B170="","",INDEX(PRECIOS!$A$6:$A$55,K170))</f>
      </c>
      <c r="M170" s="37">
        <f>IF(B170="","",G170*INDEX(PRECIOS!$B$6:$B$55,K170))</f>
      </c>
      <c r="N170" s="37">
        <f>IF(B170="","",H170*INDEX(PRECIOS!$C$6:$C$55,K170))</f>
      </c>
      <c r="O170" s="37">
        <f>IF(B170="","",I170*INDEX(PRECIOS!$D$6:$D$55,K170))</f>
      </c>
      <c r="P170" s="37">
        <f>IF(B170="","",N(ENTRADA!$X170))</f>
      </c>
      <c r="Q170" s="70">
        <f>IF(B170="","",M170+N170+O170+P170)</f>
      </c>
      <c r="R170" s="71">
        <f>IF(B170="","",IF(ENTRADA!$J170="",Std_Viajes_Puerto,ENTRADA!$J170))</f>
      </c>
      <c r="S170" s="37">
        <f>IF(B170="","",R170*INDEX(PRECIOS!$F$6:$F$55,K170))</f>
      </c>
      <c r="T170" s="71">
        <f>IF(B170="","",R170*Litros_Puerto_Viaje)</f>
      </c>
      <c r="U170" s="71">
        <f>IF(B170="","",IF(ENTRADA!$K170="",T170,ENTRADA!$K170))</f>
      </c>
      <c r="V170" s="37">
        <f>IF(B170="","",U170*INDEX(PRECIOS!$E$6:$E$55,K170))</f>
      </c>
      <c r="W170" s="37">
        <f>IF(B170="","",IF(ENTRADA!$L170="",R170*INDEX(PRECIOS!$G$6:$G$55,K170),ENTRADA!$L170))</f>
      </c>
      <c r="X170" s="37">
        <f>IF(B170="","",R170*Km_Puerto_Viaje*INDEX(PRECIOS!$N$6:$N$55,K170))</f>
      </c>
      <c r="Y170" s="70">
        <f>IF(B170="","",S170+V170+W170+X170)</f>
      </c>
      <c r="Z170" s="71">
        <f>IF(B170="","",IF(J170=0,0,ROUNDUP(J170/Rend_Desagrupe,0)))</f>
      </c>
      <c r="AA170" s="71">
        <f>IF(B170="","",IF(ENTRADA!$M170="",Z170,ENTRADA!$M170))</f>
      </c>
      <c r="AB170" s="37">
        <f>IF(B170="","",AA170*INDEX(PRECIOS!$H$6:$H$55,K170))</f>
      </c>
      <c r="AC170" s="37">
        <f>IF(B170="","",IF(E170="ENCI",INDEX(PRECIOS!$J$6:$J$55,K170),IF(E170="A.V",INDEX(PRECIOS!$K$6:$K$55,K170),0)))</f>
      </c>
      <c r="AD170" s="37">
        <f>IF(B170="","",N(ENTRADA!$N170))</f>
      </c>
      <c r="AE170" s="70">
        <f>IF(B170="","",AB170+AC170+AD170)</f>
      </c>
      <c r="AF170" s="71">
        <f>IF(B170="","",IF(G170=0,0,ROUNDUP(G170/Cap_Camion_OCC,0)))</f>
      </c>
      <c r="AG170" s="71">
        <f>IF(B170="","",AF170*L_Dist_OCC)</f>
      </c>
      <c r="AH170" s="71">
        <f>IF(B170="","",IF(ENTRADA!$O170="",AG170,ENTRADA!$O170))</f>
      </c>
      <c r="AI170" s="37">
        <f>IF(B170="","",AH170*INDEX(PRECIOS!$E$6:$E$55,K170))</f>
      </c>
      <c r="AJ170" s="71">
        <f>IF(B170="","",IF(H170=0,0,ROUNDUP(H170/Cap_Camion_CEN,0)))</f>
      </c>
      <c r="AK170" s="71">
        <f>IF(B170="","",AJ170*L_Tras_CEN)</f>
      </c>
      <c r="AL170" s="71">
        <f>IF(B170="","",IF(ENTRADA!$P170="",AK170,ENTRADA!$P170))</f>
      </c>
      <c r="AM170" s="71">
        <f>IF(B170="","",AJ170*L_Dist_CEN)</f>
      </c>
      <c r="AN170" s="71">
        <f>IF(B170="","",IF(ENTRADA!$Q170="",AM170,ENTRADA!$Q170))</f>
      </c>
      <c r="AO170" s="37">
        <f>IF(B170="","",(AL170+AN170)*INDEX(PRECIOS!$E$6:$E$55,K170))</f>
      </c>
      <c r="AP170" s="71">
        <f>IF(B170="","",IF(H170=0,0,ROUNDUP(H170/Rend_Desagrupe_CT,0)))</f>
      </c>
      <c r="AQ170" s="71">
        <f>IF(B170="","",IF(ENTRADA!$R170="",AP170,ENTRADA!$R170))</f>
      </c>
      <c r="AR170" s="37">
        <f>IF(B170="","",AQ170*INDEX(PRECIOS!$I$6:$I$55,K170))</f>
      </c>
      <c r="AS170" s="37">
        <f>IF(B170="","",AO170+AR170)</f>
      </c>
      <c r="AT170" s="71">
        <f>IF(B170="","",IF(I170=0,0,ROUNDUP(I170/Cap_Camion_ORI,0)))</f>
      </c>
      <c r="AU170" s="71">
        <f>IF(B170="","",AT170*L_Tras_ORI)</f>
      </c>
      <c r="AV170" s="71">
        <f>IF(B170="","",IF(ENTRADA!$S170="",AU170,ENTRADA!$S170))</f>
      </c>
      <c r="AW170" s="71">
        <f>IF(B170="","",AT170*L_Dist_ORI)</f>
      </c>
      <c r="AX170" s="71">
        <f>IF(B170="","",IF(ENTRADA!$T170="",AW170,ENTRADA!$T170))</f>
      </c>
      <c r="AY170" s="37">
        <f>IF(B170="","",(AV170+AX170)*INDEX(PRECIOS!$E$6:$E$55,K170))</f>
      </c>
      <c r="AZ170" s="71">
        <f>IF(B170="","",IF(I170=0,0,ROUNDUP(I170/Rend_Desagrupe_CT,0)))</f>
      </c>
      <c r="BA170" s="71">
        <f>IF(B170="","",IF(ENTRADA!$U170="",AZ170,ENTRADA!$U170))</f>
      </c>
      <c r="BB170" s="37">
        <f>IF(B170="","",BA170*INDEX(PRECIOS!$I$6:$I$55,K170))</f>
      </c>
      <c r="BC170" s="37">
        <f>IF(B170="","",AY170+BB170)</f>
      </c>
      <c r="BD170" s="70">
        <f>IF(B170="","",AI170+AS170+BC170)</f>
      </c>
      <c r="BE170" s="37">
        <f>IF(B170="","",IF(Base_Comision="% DEL INGRESO",M170*INDEX(PRECIOS!$L$6:$L$55,K170),G170*INDEX(PRECIOS!$M$6:$M$55,K170)))</f>
      </c>
      <c r="BF170" s="37">
        <f>IF(B170="","",IF(Base_Comision="% DEL INGRESO",N170*INDEX(PRECIOS!$L$6:$L$55,K170),H170*INDEX(PRECIOS!$M$6:$M$55,K170)))</f>
      </c>
      <c r="BG170" s="37">
        <f>IF(B170="","",IF(Base_Comision="% DEL INGRESO",O170*INDEX(PRECIOS!$L$6:$L$55,K170),I170*INDEX(PRECIOS!$M$6:$M$55,K170)))</f>
      </c>
      <c r="BH170" s="70">
        <f>IF(B170="","",BE170+BF170+BG170)</f>
      </c>
      <c r="BI170" s="37">
        <f>IF(B170="","",Q170*Pct_Reclamaciones)</f>
      </c>
      <c r="BJ170" s="37">
        <f>IF(B170="","",Q170*Pct_Banco)</f>
      </c>
      <c r="BK170" s="37">
        <f>IF(B170="","",N(ENTRADA!$V170))</f>
      </c>
      <c r="BL170" s="70">
        <f>IF(B170="","",Y170+AE170+BD170+BH170+BI170+BJ170+BK170)</f>
      </c>
      <c r="BM170" s="70">
        <f>IF(B170="","",Q170-BL170)</f>
      </c>
      <c r="BN170" s="72">
        <f>IF(B170="","",IF(Q170=0,0,BM170/Q170))</f>
      </c>
      <c r="BO170" s="73">
        <f>IF(B170="","",IF(J170=0,0,BM170/J170))</f>
      </c>
      <c r="BP170" s="60">
        <f>IF(B170="","",IFERROR(MATCH(D170,COSTOS_FIJOS!$G$5:$AD$5,0),0))</f>
      </c>
      <c r="BQ170" s="60">
        <f>IF(B170="","",COUNTIFS($D$6:$D$305,D170))</f>
      </c>
      <c r="BR170" s="67">
        <f>IF(B170="","",SUMIFS($J$6:$J$305,$D$6:$D$305,D170))</f>
      </c>
      <c r="BS170" s="72">
        <f>IF(B170="","",IF(Metodo_Prorrateo="KG",IF(BR170=0,0,J170/BR170),1/BQ170))</f>
      </c>
      <c r="BT170" s="37">
        <f>IF(B170="","",IF(BP170=0,0,INDEX(COSTOS_FIJOS!$G$38:$AD$38,BP170))*BS170)</f>
      </c>
      <c r="BU170" s="72">
        <f>IF(B170="","",IF(Metodo_Prorrateo="KG",IF(SUMIFS($G$6:$G$305,$D$6:$D$305,D170)=0,0,G170/SUMIFS($G$6:$G$305,$D$6:$D$305,D170)),IF(G170&gt;0,1/COUNTIFS($D$6:$D$305,D170,$G$6:$G$305,"&gt;0"),0)))</f>
      </c>
      <c r="BV170" s="37">
        <f>IF(B170="","",IF(BP170=0,0,INDEX(COSTOS_FIJOS!$G$39:$AD$39,BP170))*BU170)</f>
      </c>
      <c r="BW170" s="72">
        <f>IF(B170="","",IF(Metodo_Prorrateo="KG",IF(SUMIFS($H$6:$H$305,$D$6:$D$305,D170)=0,0,H170/SUMIFS($H$6:$H$305,$D$6:$D$305,D170)),IF(H170&gt;0,1/COUNTIFS($D$6:$D$305,D170,$H$6:$H$305,"&gt;0"),0)))</f>
      </c>
      <c r="BX170" s="37">
        <f>IF(B170="","",IF(BP170=0,0,INDEX(COSTOS_FIJOS!$G$40:$AD$40,BP170))*BW170)</f>
      </c>
      <c r="BY170" s="72">
        <f>IF(B170="","",IF(Metodo_Prorrateo="KG",IF(SUMIFS($I$6:$I$305,$D$6:$D$305,D170)=0,0,I170/SUMIFS($I$6:$I$305,$D$6:$D$305,D170)),IF(I170&gt;0,1/COUNTIFS($D$6:$D$305,D170,$I$6:$I$305,"&gt;0"),0)))</f>
      </c>
      <c r="BZ170" s="37">
        <f>IF(B170="","",IF(BP170=0,0,INDEX(COSTOS_FIJOS!$G$41:$AD$41,BP170))*BY170)</f>
      </c>
      <c r="CA170" s="70">
        <f>IF(B170="","",BT170+BV170+BX170+BZ170)</f>
      </c>
      <c r="CB170" s="37">
        <f>IF(B170="","",Q170*Imp_Ventas_Serv)</f>
      </c>
      <c r="CC170" s="37">
        <f>IF(B170="","",Q170*Contrib_Territorial)</f>
      </c>
      <c r="CD170" s="70">
        <f>IF(B170="","",BM170-CA170-CB170-CC170)</f>
      </c>
      <c r="CE170" s="37">
        <f>IF(B170="","",MAX(0,CD170)*Imp_Utilidades)</f>
      </c>
      <c r="CF170" s="70">
        <f>IF(B170="","",CD170-CE170)</f>
      </c>
      <c r="CG170" s="72">
        <f>IF(B170="","",IF(Q170=0,0,CF170/Q170))</f>
      </c>
      <c r="CH170" s="73">
        <f>IF(B170="","",IF(J170=0,0,(BL170+CA170+CB170+CC170)/J170))</f>
      </c>
      <c r="CI170" s="73">
        <f>IF(B170="","",IF(J170=0,0,Q170/J170))</f>
      </c>
      <c r="CJ170" s="73">
        <f>IF(B170="","",IF(J170=0,0,CD170/J170))</f>
      </c>
      <c r="CK170" s="37">
        <f>IF(B170="","",Y170+AE170+BK170+BT170)</f>
      </c>
      <c r="CL170" s="37">
        <f>IF(B170="","",IF(J170=0,0,(M170+P170*G170/J170)*(1-Pct_Reclamaciones-Pct_Banco-Imp_Ventas_Serv-Contrib_Territorial)-AI170-BE170-BV170-CK170*G170/J170))</f>
      </c>
      <c r="CM170" s="37">
        <f>IF(B170="","",IF(J170=0,0,(N170+P170*H170/J170)*(1-Pct_Reclamaciones-Pct_Banco-Imp_Ventas_Serv-Contrib_Territorial)-AS170-BF170-BX170-CK170*H170/J170))</f>
      </c>
      <c r="CN170" s="37">
        <f>IF(B170="","",IF(J170=0,0,(O170+P170*I170/J170)*(1-Pct_Reclamaciones-Pct_Banco-Imp_Ventas_Serv-Contrib_Territorial)-BC170-BG170-BZ170-CK170*I170/J170))</f>
      </c>
      <c r="CO170" s="37">
        <f>IF(B170="","",IF(J170=0,0,ROUND(CD170-CL170-CM170-CN170,4)))</f>
      </c>
      <c r="CP170" s="71">
        <f>IF(B170="","",T170+AG170+AK170+AM170+AU170+AW170)</f>
      </c>
      <c r="CQ170" s="71">
        <f>IF(B170="","",U170+AH170+AL170+AN170+AV170+AX170)</f>
      </c>
      <c r="CR170" s="72">
        <f>IF(B170="","",IF(CP170=0,0,CQ170/CP170-1))</f>
      </c>
      <c r="CS170" s="60">
        <f>IF(B170="","",IF(ENTRADA!$Y170="","",ENTRADA!$Y170-C170))</f>
      </c>
      <c r="CT170" s="66">
        <f>IF(B170="","",IF(ENTRADA!$C170="","Falta fecha. ","")&amp;IF(BP170=0,"Mes fuera del rango de COSTOS_FIJOS. ","")&amp;IF(J170=0,"Sin kg. ","")&amp;IF(E170="","Falta transitaria. ","")&amp;IF(AND(T170&gt;0,U170/T170-1&gt;Tolerancia_Comb),"Combustible al puerto "&amp;TEXT(U170/T170-1,"+0%")&amp;" sobre norma. ","")&amp;IF(AND(AG170&gt;0,AH170/AG170-1&gt;Tolerancia_Comb),"Combustible distribución Occidente "&amp;TEXT(AH170/AG170-1,"+0%")&amp;" sobre norma. ","")&amp;IF(AND(AK170&gt;0,AL170/AK170-1&gt;Tolerancia_Comb),"Combustible traslado Centro "&amp;TEXT(AL170/AK170-1,"+0%")&amp;" sobre norma. ","")&amp;IF(AND(AM170&gt;0,AN170/AM170-1&gt;Tolerancia_Comb),"Combustible distribución Centro "&amp;TEXT(AN170/AM170-1,"+0%")&amp;" sobre norma. ","")&amp;IF(AND(AU170&gt;0,AV170/AU170-1&gt;Tolerancia_Comb),"Combustible traslado Oriente "&amp;TEXT(AV170/AU170-1,"+0%")&amp;" sobre norma. ","")&amp;IF(AND(AW170&gt;0,AX170/AW170-1&gt;Tolerancia_Comb),"Combustible distribución Oriente "&amp;TEXT(AX170/AW170-1,"+0%")&amp;" sobre norma. ","")&amp;IF(AND(ENTRADA!$C170&lt;&gt;"",C170&lt;PRECIOS!$A$6),"Fecha anterior a la 1ª vigencia de precios. ","")&amp;IF(CD170&lt;0,"Contenedor con pérdida. ",""))</f>
      </c>
    </row>
    <row r="171">
      <c r="A171" s="60">
        <f>IF(B171="","",ROW()-5)</f>
      </c>
      <c r="B171" s="63">
        <f>IF(ENTRADA!$B171="","",ENTRADA!$B171)</f>
      </c>
      <c r="C171" s="64">
        <f>IF(B171="","",ENTRADA!$C171)</f>
      </c>
      <c r="D171" s="65">
        <f>IF(B171="","",DATE(YEAR(C171),MONTH(C171),1))</f>
      </c>
      <c r="E171" s="66">
        <f>IF(B171="","",ENTRADA!$D171&amp;"")</f>
      </c>
      <c r="F171" s="66">
        <f>IF(B171="","",ENTRADA!$Z171&amp;"")</f>
      </c>
      <c r="G171" s="67">
        <f>IF(B171="","",N(ENTRADA!$G171))</f>
      </c>
      <c r="H171" s="67">
        <f>IF(B171="","",N(ENTRADA!$H171))</f>
      </c>
      <c r="I171" s="67">
        <f>IF(B171="","",N(ENTRADA!$I171))</f>
      </c>
      <c r="J171" s="68">
        <f>IF(B171="","",G171+H171+I171)</f>
      </c>
      <c r="K171" s="60">
        <f>IF(B171="","",IFERROR(MATCH(SUMPRODUCT(MAX((PRECIOS!$A$6:$A$55&lt;=C171)*PRECIOS!$A$6:$A$55)),PRECIOS!$A$6:$A$55,0),1))</f>
      </c>
      <c r="L171" s="69">
        <f>IF(B171="","",INDEX(PRECIOS!$A$6:$A$55,K171))</f>
      </c>
      <c r="M171" s="37">
        <f>IF(B171="","",G171*INDEX(PRECIOS!$B$6:$B$55,K171))</f>
      </c>
      <c r="N171" s="37">
        <f>IF(B171="","",H171*INDEX(PRECIOS!$C$6:$C$55,K171))</f>
      </c>
      <c r="O171" s="37">
        <f>IF(B171="","",I171*INDEX(PRECIOS!$D$6:$D$55,K171))</f>
      </c>
      <c r="P171" s="37">
        <f>IF(B171="","",N(ENTRADA!$X171))</f>
      </c>
      <c r="Q171" s="70">
        <f>IF(B171="","",M171+N171+O171+P171)</f>
      </c>
      <c r="R171" s="71">
        <f>IF(B171="","",IF(ENTRADA!$J171="",Std_Viajes_Puerto,ENTRADA!$J171))</f>
      </c>
      <c r="S171" s="37">
        <f>IF(B171="","",R171*INDEX(PRECIOS!$F$6:$F$55,K171))</f>
      </c>
      <c r="T171" s="71">
        <f>IF(B171="","",R171*Litros_Puerto_Viaje)</f>
      </c>
      <c r="U171" s="71">
        <f>IF(B171="","",IF(ENTRADA!$K171="",T171,ENTRADA!$K171))</f>
      </c>
      <c r="V171" s="37">
        <f>IF(B171="","",U171*INDEX(PRECIOS!$E$6:$E$55,K171))</f>
      </c>
      <c r="W171" s="37">
        <f>IF(B171="","",IF(ENTRADA!$L171="",R171*INDEX(PRECIOS!$G$6:$G$55,K171),ENTRADA!$L171))</f>
      </c>
      <c r="X171" s="37">
        <f>IF(B171="","",R171*Km_Puerto_Viaje*INDEX(PRECIOS!$N$6:$N$55,K171))</f>
      </c>
      <c r="Y171" s="70">
        <f>IF(B171="","",S171+V171+W171+X171)</f>
      </c>
      <c r="Z171" s="71">
        <f>IF(B171="","",IF(J171=0,0,ROUNDUP(J171/Rend_Desagrupe,0)))</f>
      </c>
      <c r="AA171" s="71">
        <f>IF(B171="","",IF(ENTRADA!$M171="",Z171,ENTRADA!$M171))</f>
      </c>
      <c r="AB171" s="37">
        <f>IF(B171="","",AA171*INDEX(PRECIOS!$H$6:$H$55,K171))</f>
      </c>
      <c r="AC171" s="37">
        <f>IF(B171="","",IF(E171="ENCI",INDEX(PRECIOS!$J$6:$J$55,K171),IF(E171="A.V",INDEX(PRECIOS!$K$6:$K$55,K171),0)))</f>
      </c>
      <c r="AD171" s="37">
        <f>IF(B171="","",N(ENTRADA!$N171))</f>
      </c>
      <c r="AE171" s="70">
        <f>IF(B171="","",AB171+AC171+AD171)</f>
      </c>
      <c r="AF171" s="71">
        <f>IF(B171="","",IF(G171=0,0,ROUNDUP(G171/Cap_Camion_OCC,0)))</f>
      </c>
      <c r="AG171" s="71">
        <f>IF(B171="","",AF171*L_Dist_OCC)</f>
      </c>
      <c r="AH171" s="71">
        <f>IF(B171="","",IF(ENTRADA!$O171="",AG171,ENTRADA!$O171))</f>
      </c>
      <c r="AI171" s="37">
        <f>IF(B171="","",AH171*INDEX(PRECIOS!$E$6:$E$55,K171))</f>
      </c>
      <c r="AJ171" s="71">
        <f>IF(B171="","",IF(H171=0,0,ROUNDUP(H171/Cap_Camion_CEN,0)))</f>
      </c>
      <c r="AK171" s="71">
        <f>IF(B171="","",AJ171*L_Tras_CEN)</f>
      </c>
      <c r="AL171" s="71">
        <f>IF(B171="","",IF(ENTRADA!$P171="",AK171,ENTRADA!$P171))</f>
      </c>
      <c r="AM171" s="71">
        <f>IF(B171="","",AJ171*L_Dist_CEN)</f>
      </c>
      <c r="AN171" s="71">
        <f>IF(B171="","",IF(ENTRADA!$Q171="",AM171,ENTRADA!$Q171))</f>
      </c>
      <c r="AO171" s="37">
        <f>IF(B171="","",(AL171+AN171)*INDEX(PRECIOS!$E$6:$E$55,K171))</f>
      </c>
      <c r="AP171" s="71">
        <f>IF(B171="","",IF(H171=0,0,ROUNDUP(H171/Rend_Desagrupe_CT,0)))</f>
      </c>
      <c r="AQ171" s="71">
        <f>IF(B171="","",IF(ENTRADA!$R171="",AP171,ENTRADA!$R171))</f>
      </c>
      <c r="AR171" s="37">
        <f>IF(B171="","",AQ171*INDEX(PRECIOS!$I$6:$I$55,K171))</f>
      </c>
      <c r="AS171" s="37">
        <f>IF(B171="","",AO171+AR171)</f>
      </c>
      <c r="AT171" s="71">
        <f>IF(B171="","",IF(I171=0,0,ROUNDUP(I171/Cap_Camion_ORI,0)))</f>
      </c>
      <c r="AU171" s="71">
        <f>IF(B171="","",AT171*L_Tras_ORI)</f>
      </c>
      <c r="AV171" s="71">
        <f>IF(B171="","",IF(ENTRADA!$S171="",AU171,ENTRADA!$S171))</f>
      </c>
      <c r="AW171" s="71">
        <f>IF(B171="","",AT171*L_Dist_ORI)</f>
      </c>
      <c r="AX171" s="71">
        <f>IF(B171="","",IF(ENTRADA!$T171="",AW171,ENTRADA!$T171))</f>
      </c>
      <c r="AY171" s="37">
        <f>IF(B171="","",(AV171+AX171)*INDEX(PRECIOS!$E$6:$E$55,K171))</f>
      </c>
      <c r="AZ171" s="71">
        <f>IF(B171="","",IF(I171=0,0,ROUNDUP(I171/Rend_Desagrupe_CT,0)))</f>
      </c>
      <c r="BA171" s="71">
        <f>IF(B171="","",IF(ENTRADA!$U171="",AZ171,ENTRADA!$U171))</f>
      </c>
      <c r="BB171" s="37">
        <f>IF(B171="","",BA171*INDEX(PRECIOS!$I$6:$I$55,K171))</f>
      </c>
      <c r="BC171" s="37">
        <f>IF(B171="","",AY171+BB171)</f>
      </c>
      <c r="BD171" s="70">
        <f>IF(B171="","",AI171+AS171+BC171)</f>
      </c>
      <c r="BE171" s="37">
        <f>IF(B171="","",IF(Base_Comision="% DEL INGRESO",M171*INDEX(PRECIOS!$L$6:$L$55,K171),G171*INDEX(PRECIOS!$M$6:$M$55,K171)))</f>
      </c>
      <c r="BF171" s="37">
        <f>IF(B171="","",IF(Base_Comision="% DEL INGRESO",N171*INDEX(PRECIOS!$L$6:$L$55,K171),H171*INDEX(PRECIOS!$M$6:$M$55,K171)))</f>
      </c>
      <c r="BG171" s="37">
        <f>IF(B171="","",IF(Base_Comision="% DEL INGRESO",O171*INDEX(PRECIOS!$L$6:$L$55,K171),I171*INDEX(PRECIOS!$M$6:$M$55,K171)))</f>
      </c>
      <c r="BH171" s="70">
        <f>IF(B171="","",BE171+BF171+BG171)</f>
      </c>
      <c r="BI171" s="37">
        <f>IF(B171="","",Q171*Pct_Reclamaciones)</f>
      </c>
      <c r="BJ171" s="37">
        <f>IF(B171="","",Q171*Pct_Banco)</f>
      </c>
      <c r="BK171" s="37">
        <f>IF(B171="","",N(ENTRADA!$V171))</f>
      </c>
      <c r="BL171" s="70">
        <f>IF(B171="","",Y171+AE171+BD171+BH171+BI171+BJ171+BK171)</f>
      </c>
      <c r="BM171" s="70">
        <f>IF(B171="","",Q171-BL171)</f>
      </c>
      <c r="BN171" s="72">
        <f>IF(B171="","",IF(Q171=0,0,BM171/Q171))</f>
      </c>
      <c r="BO171" s="73">
        <f>IF(B171="","",IF(J171=0,0,BM171/J171))</f>
      </c>
      <c r="BP171" s="60">
        <f>IF(B171="","",IFERROR(MATCH(D171,COSTOS_FIJOS!$G$5:$AD$5,0),0))</f>
      </c>
      <c r="BQ171" s="60">
        <f>IF(B171="","",COUNTIFS($D$6:$D$305,D171))</f>
      </c>
      <c r="BR171" s="67">
        <f>IF(B171="","",SUMIFS($J$6:$J$305,$D$6:$D$305,D171))</f>
      </c>
      <c r="BS171" s="72">
        <f>IF(B171="","",IF(Metodo_Prorrateo="KG",IF(BR171=0,0,J171/BR171),1/BQ171))</f>
      </c>
      <c r="BT171" s="37">
        <f>IF(B171="","",IF(BP171=0,0,INDEX(COSTOS_FIJOS!$G$38:$AD$38,BP171))*BS171)</f>
      </c>
      <c r="BU171" s="72">
        <f>IF(B171="","",IF(Metodo_Prorrateo="KG",IF(SUMIFS($G$6:$G$305,$D$6:$D$305,D171)=0,0,G171/SUMIFS($G$6:$G$305,$D$6:$D$305,D171)),IF(G171&gt;0,1/COUNTIFS($D$6:$D$305,D171,$G$6:$G$305,"&gt;0"),0)))</f>
      </c>
      <c r="BV171" s="37">
        <f>IF(B171="","",IF(BP171=0,0,INDEX(COSTOS_FIJOS!$G$39:$AD$39,BP171))*BU171)</f>
      </c>
      <c r="BW171" s="72">
        <f>IF(B171="","",IF(Metodo_Prorrateo="KG",IF(SUMIFS($H$6:$H$305,$D$6:$D$305,D171)=0,0,H171/SUMIFS($H$6:$H$305,$D$6:$D$305,D171)),IF(H171&gt;0,1/COUNTIFS($D$6:$D$305,D171,$H$6:$H$305,"&gt;0"),0)))</f>
      </c>
      <c r="BX171" s="37">
        <f>IF(B171="","",IF(BP171=0,0,INDEX(COSTOS_FIJOS!$G$40:$AD$40,BP171))*BW171)</f>
      </c>
      <c r="BY171" s="72">
        <f>IF(B171="","",IF(Metodo_Prorrateo="KG",IF(SUMIFS($I$6:$I$305,$D$6:$D$305,D171)=0,0,I171/SUMIFS($I$6:$I$305,$D$6:$D$305,D171)),IF(I171&gt;0,1/COUNTIFS($D$6:$D$305,D171,$I$6:$I$305,"&gt;0"),0)))</f>
      </c>
      <c r="BZ171" s="37">
        <f>IF(B171="","",IF(BP171=0,0,INDEX(COSTOS_FIJOS!$G$41:$AD$41,BP171))*BY171)</f>
      </c>
      <c r="CA171" s="70">
        <f>IF(B171="","",BT171+BV171+BX171+BZ171)</f>
      </c>
      <c r="CB171" s="37">
        <f>IF(B171="","",Q171*Imp_Ventas_Serv)</f>
      </c>
      <c r="CC171" s="37">
        <f>IF(B171="","",Q171*Contrib_Territorial)</f>
      </c>
      <c r="CD171" s="70">
        <f>IF(B171="","",BM171-CA171-CB171-CC171)</f>
      </c>
      <c r="CE171" s="37">
        <f>IF(B171="","",MAX(0,CD171)*Imp_Utilidades)</f>
      </c>
      <c r="CF171" s="70">
        <f>IF(B171="","",CD171-CE171)</f>
      </c>
      <c r="CG171" s="72">
        <f>IF(B171="","",IF(Q171=0,0,CF171/Q171))</f>
      </c>
      <c r="CH171" s="73">
        <f>IF(B171="","",IF(J171=0,0,(BL171+CA171+CB171+CC171)/J171))</f>
      </c>
      <c r="CI171" s="73">
        <f>IF(B171="","",IF(J171=0,0,Q171/J171))</f>
      </c>
      <c r="CJ171" s="73">
        <f>IF(B171="","",IF(J171=0,0,CD171/J171))</f>
      </c>
      <c r="CK171" s="37">
        <f>IF(B171="","",Y171+AE171+BK171+BT171)</f>
      </c>
      <c r="CL171" s="37">
        <f>IF(B171="","",IF(J171=0,0,(M171+P171*G171/J171)*(1-Pct_Reclamaciones-Pct_Banco-Imp_Ventas_Serv-Contrib_Territorial)-AI171-BE171-BV171-CK171*G171/J171))</f>
      </c>
      <c r="CM171" s="37">
        <f>IF(B171="","",IF(J171=0,0,(N171+P171*H171/J171)*(1-Pct_Reclamaciones-Pct_Banco-Imp_Ventas_Serv-Contrib_Territorial)-AS171-BF171-BX171-CK171*H171/J171))</f>
      </c>
      <c r="CN171" s="37">
        <f>IF(B171="","",IF(J171=0,0,(O171+P171*I171/J171)*(1-Pct_Reclamaciones-Pct_Banco-Imp_Ventas_Serv-Contrib_Territorial)-BC171-BG171-BZ171-CK171*I171/J171))</f>
      </c>
      <c r="CO171" s="37">
        <f>IF(B171="","",IF(J171=0,0,ROUND(CD171-CL171-CM171-CN171,4)))</f>
      </c>
      <c r="CP171" s="71">
        <f>IF(B171="","",T171+AG171+AK171+AM171+AU171+AW171)</f>
      </c>
      <c r="CQ171" s="71">
        <f>IF(B171="","",U171+AH171+AL171+AN171+AV171+AX171)</f>
      </c>
      <c r="CR171" s="72">
        <f>IF(B171="","",IF(CP171=0,0,CQ171/CP171-1))</f>
      </c>
      <c r="CS171" s="60">
        <f>IF(B171="","",IF(ENTRADA!$Y171="","",ENTRADA!$Y171-C171))</f>
      </c>
      <c r="CT171" s="66">
        <f>IF(B171="","",IF(ENTRADA!$C171="","Falta fecha. ","")&amp;IF(BP171=0,"Mes fuera del rango de COSTOS_FIJOS. ","")&amp;IF(J171=0,"Sin kg. ","")&amp;IF(E171="","Falta transitaria. ","")&amp;IF(AND(T171&gt;0,U171/T171-1&gt;Tolerancia_Comb),"Combustible al puerto "&amp;TEXT(U171/T171-1,"+0%")&amp;" sobre norma. ","")&amp;IF(AND(AG171&gt;0,AH171/AG171-1&gt;Tolerancia_Comb),"Combustible distribución Occidente "&amp;TEXT(AH171/AG171-1,"+0%")&amp;" sobre norma. ","")&amp;IF(AND(AK171&gt;0,AL171/AK171-1&gt;Tolerancia_Comb),"Combustible traslado Centro "&amp;TEXT(AL171/AK171-1,"+0%")&amp;" sobre norma. ","")&amp;IF(AND(AM171&gt;0,AN171/AM171-1&gt;Tolerancia_Comb),"Combustible distribución Centro "&amp;TEXT(AN171/AM171-1,"+0%")&amp;" sobre norma. ","")&amp;IF(AND(AU171&gt;0,AV171/AU171-1&gt;Tolerancia_Comb),"Combustible traslado Oriente "&amp;TEXT(AV171/AU171-1,"+0%")&amp;" sobre norma. ","")&amp;IF(AND(AW171&gt;0,AX171/AW171-1&gt;Tolerancia_Comb),"Combustible distribución Oriente "&amp;TEXT(AX171/AW171-1,"+0%")&amp;" sobre norma. ","")&amp;IF(AND(ENTRADA!$C171&lt;&gt;"",C171&lt;PRECIOS!$A$6),"Fecha anterior a la 1ª vigencia de precios. ","")&amp;IF(CD171&lt;0,"Contenedor con pérdida. ",""))</f>
      </c>
    </row>
    <row r="172">
      <c r="A172" s="60">
        <f>IF(B172="","",ROW()-5)</f>
      </c>
      <c r="B172" s="63">
        <f>IF(ENTRADA!$B172="","",ENTRADA!$B172)</f>
      </c>
      <c r="C172" s="64">
        <f>IF(B172="","",ENTRADA!$C172)</f>
      </c>
      <c r="D172" s="65">
        <f>IF(B172="","",DATE(YEAR(C172),MONTH(C172),1))</f>
      </c>
      <c r="E172" s="66">
        <f>IF(B172="","",ENTRADA!$D172&amp;"")</f>
      </c>
      <c r="F172" s="66">
        <f>IF(B172="","",ENTRADA!$Z172&amp;"")</f>
      </c>
      <c r="G172" s="67">
        <f>IF(B172="","",N(ENTRADA!$G172))</f>
      </c>
      <c r="H172" s="67">
        <f>IF(B172="","",N(ENTRADA!$H172))</f>
      </c>
      <c r="I172" s="67">
        <f>IF(B172="","",N(ENTRADA!$I172))</f>
      </c>
      <c r="J172" s="68">
        <f>IF(B172="","",G172+H172+I172)</f>
      </c>
      <c r="K172" s="60">
        <f>IF(B172="","",IFERROR(MATCH(SUMPRODUCT(MAX((PRECIOS!$A$6:$A$55&lt;=C172)*PRECIOS!$A$6:$A$55)),PRECIOS!$A$6:$A$55,0),1))</f>
      </c>
      <c r="L172" s="69">
        <f>IF(B172="","",INDEX(PRECIOS!$A$6:$A$55,K172))</f>
      </c>
      <c r="M172" s="37">
        <f>IF(B172="","",G172*INDEX(PRECIOS!$B$6:$B$55,K172))</f>
      </c>
      <c r="N172" s="37">
        <f>IF(B172="","",H172*INDEX(PRECIOS!$C$6:$C$55,K172))</f>
      </c>
      <c r="O172" s="37">
        <f>IF(B172="","",I172*INDEX(PRECIOS!$D$6:$D$55,K172))</f>
      </c>
      <c r="P172" s="37">
        <f>IF(B172="","",N(ENTRADA!$X172))</f>
      </c>
      <c r="Q172" s="70">
        <f>IF(B172="","",M172+N172+O172+P172)</f>
      </c>
      <c r="R172" s="71">
        <f>IF(B172="","",IF(ENTRADA!$J172="",Std_Viajes_Puerto,ENTRADA!$J172))</f>
      </c>
      <c r="S172" s="37">
        <f>IF(B172="","",R172*INDEX(PRECIOS!$F$6:$F$55,K172))</f>
      </c>
      <c r="T172" s="71">
        <f>IF(B172="","",R172*Litros_Puerto_Viaje)</f>
      </c>
      <c r="U172" s="71">
        <f>IF(B172="","",IF(ENTRADA!$K172="",T172,ENTRADA!$K172))</f>
      </c>
      <c r="V172" s="37">
        <f>IF(B172="","",U172*INDEX(PRECIOS!$E$6:$E$55,K172))</f>
      </c>
      <c r="W172" s="37">
        <f>IF(B172="","",IF(ENTRADA!$L172="",R172*INDEX(PRECIOS!$G$6:$G$55,K172),ENTRADA!$L172))</f>
      </c>
      <c r="X172" s="37">
        <f>IF(B172="","",R172*Km_Puerto_Viaje*INDEX(PRECIOS!$N$6:$N$55,K172))</f>
      </c>
      <c r="Y172" s="70">
        <f>IF(B172="","",S172+V172+W172+X172)</f>
      </c>
      <c r="Z172" s="71">
        <f>IF(B172="","",IF(J172=0,0,ROUNDUP(J172/Rend_Desagrupe,0)))</f>
      </c>
      <c r="AA172" s="71">
        <f>IF(B172="","",IF(ENTRADA!$M172="",Z172,ENTRADA!$M172))</f>
      </c>
      <c r="AB172" s="37">
        <f>IF(B172="","",AA172*INDEX(PRECIOS!$H$6:$H$55,K172))</f>
      </c>
      <c r="AC172" s="37">
        <f>IF(B172="","",IF(E172="ENCI",INDEX(PRECIOS!$J$6:$J$55,K172),IF(E172="A.V",INDEX(PRECIOS!$K$6:$K$55,K172),0)))</f>
      </c>
      <c r="AD172" s="37">
        <f>IF(B172="","",N(ENTRADA!$N172))</f>
      </c>
      <c r="AE172" s="70">
        <f>IF(B172="","",AB172+AC172+AD172)</f>
      </c>
      <c r="AF172" s="71">
        <f>IF(B172="","",IF(G172=0,0,ROUNDUP(G172/Cap_Camion_OCC,0)))</f>
      </c>
      <c r="AG172" s="71">
        <f>IF(B172="","",AF172*L_Dist_OCC)</f>
      </c>
      <c r="AH172" s="71">
        <f>IF(B172="","",IF(ENTRADA!$O172="",AG172,ENTRADA!$O172))</f>
      </c>
      <c r="AI172" s="37">
        <f>IF(B172="","",AH172*INDEX(PRECIOS!$E$6:$E$55,K172))</f>
      </c>
      <c r="AJ172" s="71">
        <f>IF(B172="","",IF(H172=0,0,ROUNDUP(H172/Cap_Camion_CEN,0)))</f>
      </c>
      <c r="AK172" s="71">
        <f>IF(B172="","",AJ172*L_Tras_CEN)</f>
      </c>
      <c r="AL172" s="71">
        <f>IF(B172="","",IF(ENTRADA!$P172="",AK172,ENTRADA!$P172))</f>
      </c>
      <c r="AM172" s="71">
        <f>IF(B172="","",AJ172*L_Dist_CEN)</f>
      </c>
      <c r="AN172" s="71">
        <f>IF(B172="","",IF(ENTRADA!$Q172="",AM172,ENTRADA!$Q172))</f>
      </c>
      <c r="AO172" s="37">
        <f>IF(B172="","",(AL172+AN172)*INDEX(PRECIOS!$E$6:$E$55,K172))</f>
      </c>
      <c r="AP172" s="71">
        <f>IF(B172="","",IF(H172=0,0,ROUNDUP(H172/Rend_Desagrupe_CT,0)))</f>
      </c>
      <c r="AQ172" s="71">
        <f>IF(B172="","",IF(ENTRADA!$R172="",AP172,ENTRADA!$R172))</f>
      </c>
      <c r="AR172" s="37">
        <f>IF(B172="","",AQ172*INDEX(PRECIOS!$I$6:$I$55,K172))</f>
      </c>
      <c r="AS172" s="37">
        <f>IF(B172="","",AO172+AR172)</f>
      </c>
      <c r="AT172" s="71">
        <f>IF(B172="","",IF(I172=0,0,ROUNDUP(I172/Cap_Camion_ORI,0)))</f>
      </c>
      <c r="AU172" s="71">
        <f>IF(B172="","",AT172*L_Tras_ORI)</f>
      </c>
      <c r="AV172" s="71">
        <f>IF(B172="","",IF(ENTRADA!$S172="",AU172,ENTRADA!$S172))</f>
      </c>
      <c r="AW172" s="71">
        <f>IF(B172="","",AT172*L_Dist_ORI)</f>
      </c>
      <c r="AX172" s="71">
        <f>IF(B172="","",IF(ENTRADA!$T172="",AW172,ENTRADA!$T172))</f>
      </c>
      <c r="AY172" s="37">
        <f>IF(B172="","",(AV172+AX172)*INDEX(PRECIOS!$E$6:$E$55,K172))</f>
      </c>
      <c r="AZ172" s="71">
        <f>IF(B172="","",IF(I172=0,0,ROUNDUP(I172/Rend_Desagrupe_CT,0)))</f>
      </c>
      <c r="BA172" s="71">
        <f>IF(B172="","",IF(ENTRADA!$U172="",AZ172,ENTRADA!$U172))</f>
      </c>
      <c r="BB172" s="37">
        <f>IF(B172="","",BA172*INDEX(PRECIOS!$I$6:$I$55,K172))</f>
      </c>
      <c r="BC172" s="37">
        <f>IF(B172="","",AY172+BB172)</f>
      </c>
      <c r="BD172" s="70">
        <f>IF(B172="","",AI172+AS172+BC172)</f>
      </c>
      <c r="BE172" s="37">
        <f>IF(B172="","",IF(Base_Comision="% DEL INGRESO",M172*INDEX(PRECIOS!$L$6:$L$55,K172),G172*INDEX(PRECIOS!$M$6:$M$55,K172)))</f>
      </c>
      <c r="BF172" s="37">
        <f>IF(B172="","",IF(Base_Comision="% DEL INGRESO",N172*INDEX(PRECIOS!$L$6:$L$55,K172),H172*INDEX(PRECIOS!$M$6:$M$55,K172)))</f>
      </c>
      <c r="BG172" s="37">
        <f>IF(B172="","",IF(Base_Comision="% DEL INGRESO",O172*INDEX(PRECIOS!$L$6:$L$55,K172),I172*INDEX(PRECIOS!$M$6:$M$55,K172)))</f>
      </c>
      <c r="BH172" s="70">
        <f>IF(B172="","",BE172+BF172+BG172)</f>
      </c>
      <c r="BI172" s="37">
        <f>IF(B172="","",Q172*Pct_Reclamaciones)</f>
      </c>
      <c r="BJ172" s="37">
        <f>IF(B172="","",Q172*Pct_Banco)</f>
      </c>
      <c r="BK172" s="37">
        <f>IF(B172="","",N(ENTRADA!$V172))</f>
      </c>
      <c r="BL172" s="70">
        <f>IF(B172="","",Y172+AE172+BD172+BH172+BI172+BJ172+BK172)</f>
      </c>
      <c r="BM172" s="70">
        <f>IF(B172="","",Q172-BL172)</f>
      </c>
      <c r="BN172" s="72">
        <f>IF(B172="","",IF(Q172=0,0,BM172/Q172))</f>
      </c>
      <c r="BO172" s="73">
        <f>IF(B172="","",IF(J172=0,0,BM172/J172))</f>
      </c>
      <c r="BP172" s="60">
        <f>IF(B172="","",IFERROR(MATCH(D172,COSTOS_FIJOS!$G$5:$AD$5,0),0))</f>
      </c>
      <c r="BQ172" s="60">
        <f>IF(B172="","",COUNTIFS($D$6:$D$305,D172))</f>
      </c>
      <c r="BR172" s="67">
        <f>IF(B172="","",SUMIFS($J$6:$J$305,$D$6:$D$305,D172))</f>
      </c>
      <c r="BS172" s="72">
        <f>IF(B172="","",IF(Metodo_Prorrateo="KG",IF(BR172=0,0,J172/BR172),1/BQ172))</f>
      </c>
      <c r="BT172" s="37">
        <f>IF(B172="","",IF(BP172=0,0,INDEX(COSTOS_FIJOS!$G$38:$AD$38,BP172))*BS172)</f>
      </c>
      <c r="BU172" s="72">
        <f>IF(B172="","",IF(Metodo_Prorrateo="KG",IF(SUMIFS($G$6:$G$305,$D$6:$D$305,D172)=0,0,G172/SUMIFS($G$6:$G$305,$D$6:$D$305,D172)),IF(G172&gt;0,1/COUNTIFS($D$6:$D$305,D172,$G$6:$G$305,"&gt;0"),0)))</f>
      </c>
      <c r="BV172" s="37">
        <f>IF(B172="","",IF(BP172=0,0,INDEX(COSTOS_FIJOS!$G$39:$AD$39,BP172))*BU172)</f>
      </c>
      <c r="BW172" s="72">
        <f>IF(B172="","",IF(Metodo_Prorrateo="KG",IF(SUMIFS($H$6:$H$305,$D$6:$D$305,D172)=0,0,H172/SUMIFS($H$6:$H$305,$D$6:$D$305,D172)),IF(H172&gt;0,1/COUNTIFS($D$6:$D$305,D172,$H$6:$H$305,"&gt;0"),0)))</f>
      </c>
      <c r="BX172" s="37">
        <f>IF(B172="","",IF(BP172=0,0,INDEX(COSTOS_FIJOS!$G$40:$AD$40,BP172))*BW172)</f>
      </c>
      <c r="BY172" s="72">
        <f>IF(B172="","",IF(Metodo_Prorrateo="KG",IF(SUMIFS($I$6:$I$305,$D$6:$D$305,D172)=0,0,I172/SUMIFS($I$6:$I$305,$D$6:$D$305,D172)),IF(I172&gt;0,1/COUNTIFS($D$6:$D$305,D172,$I$6:$I$305,"&gt;0"),0)))</f>
      </c>
      <c r="BZ172" s="37">
        <f>IF(B172="","",IF(BP172=0,0,INDEX(COSTOS_FIJOS!$G$41:$AD$41,BP172))*BY172)</f>
      </c>
      <c r="CA172" s="70">
        <f>IF(B172="","",BT172+BV172+BX172+BZ172)</f>
      </c>
      <c r="CB172" s="37">
        <f>IF(B172="","",Q172*Imp_Ventas_Serv)</f>
      </c>
      <c r="CC172" s="37">
        <f>IF(B172="","",Q172*Contrib_Territorial)</f>
      </c>
      <c r="CD172" s="70">
        <f>IF(B172="","",BM172-CA172-CB172-CC172)</f>
      </c>
      <c r="CE172" s="37">
        <f>IF(B172="","",MAX(0,CD172)*Imp_Utilidades)</f>
      </c>
      <c r="CF172" s="70">
        <f>IF(B172="","",CD172-CE172)</f>
      </c>
      <c r="CG172" s="72">
        <f>IF(B172="","",IF(Q172=0,0,CF172/Q172))</f>
      </c>
      <c r="CH172" s="73">
        <f>IF(B172="","",IF(J172=0,0,(BL172+CA172+CB172+CC172)/J172))</f>
      </c>
      <c r="CI172" s="73">
        <f>IF(B172="","",IF(J172=0,0,Q172/J172))</f>
      </c>
      <c r="CJ172" s="73">
        <f>IF(B172="","",IF(J172=0,0,CD172/J172))</f>
      </c>
      <c r="CK172" s="37">
        <f>IF(B172="","",Y172+AE172+BK172+BT172)</f>
      </c>
      <c r="CL172" s="37">
        <f>IF(B172="","",IF(J172=0,0,(M172+P172*G172/J172)*(1-Pct_Reclamaciones-Pct_Banco-Imp_Ventas_Serv-Contrib_Territorial)-AI172-BE172-BV172-CK172*G172/J172))</f>
      </c>
      <c r="CM172" s="37">
        <f>IF(B172="","",IF(J172=0,0,(N172+P172*H172/J172)*(1-Pct_Reclamaciones-Pct_Banco-Imp_Ventas_Serv-Contrib_Territorial)-AS172-BF172-BX172-CK172*H172/J172))</f>
      </c>
      <c r="CN172" s="37">
        <f>IF(B172="","",IF(J172=0,0,(O172+P172*I172/J172)*(1-Pct_Reclamaciones-Pct_Banco-Imp_Ventas_Serv-Contrib_Territorial)-BC172-BG172-BZ172-CK172*I172/J172))</f>
      </c>
      <c r="CO172" s="37">
        <f>IF(B172="","",IF(J172=0,0,ROUND(CD172-CL172-CM172-CN172,4)))</f>
      </c>
      <c r="CP172" s="71">
        <f>IF(B172="","",T172+AG172+AK172+AM172+AU172+AW172)</f>
      </c>
      <c r="CQ172" s="71">
        <f>IF(B172="","",U172+AH172+AL172+AN172+AV172+AX172)</f>
      </c>
      <c r="CR172" s="72">
        <f>IF(B172="","",IF(CP172=0,0,CQ172/CP172-1))</f>
      </c>
      <c r="CS172" s="60">
        <f>IF(B172="","",IF(ENTRADA!$Y172="","",ENTRADA!$Y172-C172))</f>
      </c>
      <c r="CT172" s="66">
        <f>IF(B172="","",IF(ENTRADA!$C172="","Falta fecha. ","")&amp;IF(BP172=0,"Mes fuera del rango de COSTOS_FIJOS. ","")&amp;IF(J172=0,"Sin kg. ","")&amp;IF(E172="","Falta transitaria. ","")&amp;IF(AND(T172&gt;0,U172/T172-1&gt;Tolerancia_Comb),"Combustible al puerto "&amp;TEXT(U172/T172-1,"+0%")&amp;" sobre norma. ","")&amp;IF(AND(AG172&gt;0,AH172/AG172-1&gt;Tolerancia_Comb),"Combustible distribución Occidente "&amp;TEXT(AH172/AG172-1,"+0%")&amp;" sobre norma. ","")&amp;IF(AND(AK172&gt;0,AL172/AK172-1&gt;Tolerancia_Comb),"Combustible traslado Centro "&amp;TEXT(AL172/AK172-1,"+0%")&amp;" sobre norma. ","")&amp;IF(AND(AM172&gt;0,AN172/AM172-1&gt;Tolerancia_Comb),"Combustible distribución Centro "&amp;TEXT(AN172/AM172-1,"+0%")&amp;" sobre norma. ","")&amp;IF(AND(AU172&gt;0,AV172/AU172-1&gt;Tolerancia_Comb),"Combustible traslado Oriente "&amp;TEXT(AV172/AU172-1,"+0%")&amp;" sobre norma. ","")&amp;IF(AND(AW172&gt;0,AX172/AW172-1&gt;Tolerancia_Comb),"Combustible distribución Oriente "&amp;TEXT(AX172/AW172-1,"+0%")&amp;" sobre norma. ","")&amp;IF(AND(ENTRADA!$C172&lt;&gt;"",C172&lt;PRECIOS!$A$6),"Fecha anterior a la 1ª vigencia de precios. ","")&amp;IF(CD172&lt;0,"Contenedor con pérdida. ",""))</f>
      </c>
    </row>
    <row r="173">
      <c r="A173" s="60">
        <f>IF(B173="","",ROW()-5)</f>
      </c>
      <c r="B173" s="63">
        <f>IF(ENTRADA!$B173="","",ENTRADA!$B173)</f>
      </c>
      <c r="C173" s="64">
        <f>IF(B173="","",ENTRADA!$C173)</f>
      </c>
      <c r="D173" s="65">
        <f>IF(B173="","",DATE(YEAR(C173),MONTH(C173),1))</f>
      </c>
      <c r="E173" s="66">
        <f>IF(B173="","",ENTRADA!$D173&amp;"")</f>
      </c>
      <c r="F173" s="66">
        <f>IF(B173="","",ENTRADA!$Z173&amp;"")</f>
      </c>
      <c r="G173" s="67">
        <f>IF(B173="","",N(ENTRADA!$G173))</f>
      </c>
      <c r="H173" s="67">
        <f>IF(B173="","",N(ENTRADA!$H173))</f>
      </c>
      <c r="I173" s="67">
        <f>IF(B173="","",N(ENTRADA!$I173))</f>
      </c>
      <c r="J173" s="68">
        <f>IF(B173="","",G173+H173+I173)</f>
      </c>
      <c r="K173" s="60">
        <f>IF(B173="","",IFERROR(MATCH(SUMPRODUCT(MAX((PRECIOS!$A$6:$A$55&lt;=C173)*PRECIOS!$A$6:$A$55)),PRECIOS!$A$6:$A$55,0),1))</f>
      </c>
      <c r="L173" s="69">
        <f>IF(B173="","",INDEX(PRECIOS!$A$6:$A$55,K173))</f>
      </c>
      <c r="M173" s="37">
        <f>IF(B173="","",G173*INDEX(PRECIOS!$B$6:$B$55,K173))</f>
      </c>
      <c r="N173" s="37">
        <f>IF(B173="","",H173*INDEX(PRECIOS!$C$6:$C$55,K173))</f>
      </c>
      <c r="O173" s="37">
        <f>IF(B173="","",I173*INDEX(PRECIOS!$D$6:$D$55,K173))</f>
      </c>
      <c r="P173" s="37">
        <f>IF(B173="","",N(ENTRADA!$X173))</f>
      </c>
      <c r="Q173" s="70">
        <f>IF(B173="","",M173+N173+O173+P173)</f>
      </c>
      <c r="R173" s="71">
        <f>IF(B173="","",IF(ENTRADA!$J173="",Std_Viajes_Puerto,ENTRADA!$J173))</f>
      </c>
      <c r="S173" s="37">
        <f>IF(B173="","",R173*INDEX(PRECIOS!$F$6:$F$55,K173))</f>
      </c>
      <c r="T173" s="71">
        <f>IF(B173="","",R173*Litros_Puerto_Viaje)</f>
      </c>
      <c r="U173" s="71">
        <f>IF(B173="","",IF(ENTRADA!$K173="",T173,ENTRADA!$K173))</f>
      </c>
      <c r="V173" s="37">
        <f>IF(B173="","",U173*INDEX(PRECIOS!$E$6:$E$55,K173))</f>
      </c>
      <c r="W173" s="37">
        <f>IF(B173="","",IF(ENTRADA!$L173="",R173*INDEX(PRECIOS!$G$6:$G$55,K173),ENTRADA!$L173))</f>
      </c>
      <c r="X173" s="37">
        <f>IF(B173="","",R173*Km_Puerto_Viaje*INDEX(PRECIOS!$N$6:$N$55,K173))</f>
      </c>
      <c r="Y173" s="70">
        <f>IF(B173="","",S173+V173+W173+X173)</f>
      </c>
      <c r="Z173" s="71">
        <f>IF(B173="","",IF(J173=0,0,ROUNDUP(J173/Rend_Desagrupe,0)))</f>
      </c>
      <c r="AA173" s="71">
        <f>IF(B173="","",IF(ENTRADA!$M173="",Z173,ENTRADA!$M173))</f>
      </c>
      <c r="AB173" s="37">
        <f>IF(B173="","",AA173*INDEX(PRECIOS!$H$6:$H$55,K173))</f>
      </c>
      <c r="AC173" s="37">
        <f>IF(B173="","",IF(E173="ENCI",INDEX(PRECIOS!$J$6:$J$55,K173),IF(E173="A.V",INDEX(PRECIOS!$K$6:$K$55,K173),0)))</f>
      </c>
      <c r="AD173" s="37">
        <f>IF(B173="","",N(ENTRADA!$N173))</f>
      </c>
      <c r="AE173" s="70">
        <f>IF(B173="","",AB173+AC173+AD173)</f>
      </c>
      <c r="AF173" s="71">
        <f>IF(B173="","",IF(G173=0,0,ROUNDUP(G173/Cap_Camion_OCC,0)))</f>
      </c>
      <c r="AG173" s="71">
        <f>IF(B173="","",AF173*L_Dist_OCC)</f>
      </c>
      <c r="AH173" s="71">
        <f>IF(B173="","",IF(ENTRADA!$O173="",AG173,ENTRADA!$O173))</f>
      </c>
      <c r="AI173" s="37">
        <f>IF(B173="","",AH173*INDEX(PRECIOS!$E$6:$E$55,K173))</f>
      </c>
      <c r="AJ173" s="71">
        <f>IF(B173="","",IF(H173=0,0,ROUNDUP(H173/Cap_Camion_CEN,0)))</f>
      </c>
      <c r="AK173" s="71">
        <f>IF(B173="","",AJ173*L_Tras_CEN)</f>
      </c>
      <c r="AL173" s="71">
        <f>IF(B173="","",IF(ENTRADA!$P173="",AK173,ENTRADA!$P173))</f>
      </c>
      <c r="AM173" s="71">
        <f>IF(B173="","",AJ173*L_Dist_CEN)</f>
      </c>
      <c r="AN173" s="71">
        <f>IF(B173="","",IF(ENTRADA!$Q173="",AM173,ENTRADA!$Q173))</f>
      </c>
      <c r="AO173" s="37">
        <f>IF(B173="","",(AL173+AN173)*INDEX(PRECIOS!$E$6:$E$55,K173))</f>
      </c>
      <c r="AP173" s="71">
        <f>IF(B173="","",IF(H173=0,0,ROUNDUP(H173/Rend_Desagrupe_CT,0)))</f>
      </c>
      <c r="AQ173" s="71">
        <f>IF(B173="","",IF(ENTRADA!$R173="",AP173,ENTRADA!$R173))</f>
      </c>
      <c r="AR173" s="37">
        <f>IF(B173="","",AQ173*INDEX(PRECIOS!$I$6:$I$55,K173))</f>
      </c>
      <c r="AS173" s="37">
        <f>IF(B173="","",AO173+AR173)</f>
      </c>
      <c r="AT173" s="71">
        <f>IF(B173="","",IF(I173=0,0,ROUNDUP(I173/Cap_Camion_ORI,0)))</f>
      </c>
      <c r="AU173" s="71">
        <f>IF(B173="","",AT173*L_Tras_ORI)</f>
      </c>
      <c r="AV173" s="71">
        <f>IF(B173="","",IF(ENTRADA!$S173="",AU173,ENTRADA!$S173))</f>
      </c>
      <c r="AW173" s="71">
        <f>IF(B173="","",AT173*L_Dist_ORI)</f>
      </c>
      <c r="AX173" s="71">
        <f>IF(B173="","",IF(ENTRADA!$T173="",AW173,ENTRADA!$T173))</f>
      </c>
      <c r="AY173" s="37">
        <f>IF(B173="","",(AV173+AX173)*INDEX(PRECIOS!$E$6:$E$55,K173))</f>
      </c>
      <c r="AZ173" s="71">
        <f>IF(B173="","",IF(I173=0,0,ROUNDUP(I173/Rend_Desagrupe_CT,0)))</f>
      </c>
      <c r="BA173" s="71">
        <f>IF(B173="","",IF(ENTRADA!$U173="",AZ173,ENTRADA!$U173))</f>
      </c>
      <c r="BB173" s="37">
        <f>IF(B173="","",BA173*INDEX(PRECIOS!$I$6:$I$55,K173))</f>
      </c>
      <c r="BC173" s="37">
        <f>IF(B173="","",AY173+BB173)</f>
      </c>
      <c r="BD173" s="70">
        <f>IF(B173="","",AI173+AS173+BC173)</f>
      </c>
      <c r="BE173" s="37">
        <f>IF(B173="","",IF(Base_Comision="% DEL INGRESO",M173*INDEX(PRECIOS!$L$6:$L$55,K173),G173*INDEX(PRECIOS!$M$6:$M$55,K173)))</f>
      </c>
      <c r="BF173" s="37">
        <f>IF(B173="","",IF(Base_Comision="% DEL INGRESO",N173*INDEX(PRECIOS!$L$6:$L$55,K173),H173*INDEX(PRECIOS!$M$6:$M$55,K173)))</f>
      </c>
      <c r="BG173" s="37">
        <f>IF(B173="","",IF(Base_Comision="% DEL INGRESO",O173*INDEX(PRECIOS!$L$6:$L$55,K173),I173*INDEX(PRECIOS!$M$6:$M$55,K173)))</f>
      </c>
      <c r="BH173" s="70">
        <f>IF(B173="","",BE173+BF173+BG173)</f>
      </c>
      <c r="BI173" s="37">
        <f>IF(B173="","",Q173*Pct_Reclamaciones)</f>
      </c>
      <c r="BJ173" s="37">
        <f>IF(B173="","",Q173*Pct_Banco)</f>
      </c>
      <c r="BK173" s="37">
        <f>IF(B173="","",N(ENTRADA!$V173))</f>
      </c>
      <c r="BL173" s="70">
        <f>IF(B173="","",Y173+AE173+BD173+BH173+BI173+BJ173+BK173)</f>
      </c>
      <c r="BM173" s="70">
        <f>IF(B173="","",Q173-BL173)</f>
      </c>
      <c r="BN173" s="72">
        <f>IF(B173="","",IF(Q173=0,0,BM173/Q173))</f>
      </c>
      <c r="BO173" s="73">
        <f>IF(B173="","",IF(J173=0,0,BM173/J173))</f>
      </c>
      <c r="BP173" s="60">
        <f>IF(B173="","",IFERROR(MATCH(D173,COSTOS_FIJOS!$G$5:$AD$5,0),0))</f>
      </c>
      <c r="BQ173" s="60">
        <f>IF(B173="","",COUNTIFS($D$6:$D$305,D173))</f>
      </c>
      <c r="BR173" s="67">
        <f>IF(B173="","",SUMIFS($J$6:$J$305,$D$6:$D$305,D173))</f>
      </c>
      <c r="BS173" s="72">
        <f>IF(B173="","",IF(Metodo_Prorrateo="KG",IF(BR173=0,0,J173/BR173),1/BQ173))</f>
      </c>
      <c r="BT173" s="37">
        <f>IF(B173="","",IF(BP173=0,0,INDEX(COSTOS_FIJOS!$G$38:$AD$38,BP173))*BS173)</f>
      </c>
      <c r="BU173" s="72">
        <f>IF(B173="","",IF(Metodo_Prorrateo="KG",IF(SUMIFS($G$6:$G$305,$D$6:$D$305,D173)=0,0,G173/SUMIFS($G$6:$G$305,$D$6:$D$305,D173)),IF(G173&gt;0,1/COUNTIFS($D$6:$D$305,D173,$G$6:$G$305,"&gt;0"),0)))</f>
      </c>
      <c r="BV173" s="37">
        <f>IF(B173="","",IF(BP173=0,0,INDEX(COSTOS_FIJOS!$G$39:$AD$39,BP173))*BU173)</f>
      </c>
      <c r="BW173" s="72">
        <f>IF(B173="","",IF(Metodo_Prorrateo="KG",IF(SUMIFS($H$6:$H$305,$D$6:$D$305,D173)=0,0,H173/SUMIFS($H$6:$H$305,$D$6:$D$305,D173)),IF(H173&gt;0,1/COUNTIFS($D$6:$D$305,D173,$H$6:$H$305,"&gt;0"),0)))</f>
      </c>
      <c r="BX173" s="37">
        <f>IF(B173="","",IF(BP173=0,0,INDEX(COSTOS_FIJOS!$G$40:$AD$40,BP173))*BW173)</f>
      </c>
      <c r="BY173" s="72">
        <f>IF(B173="","",IF(Metodo_Prorrateo="KG",IF(SUMIFS($I$6:$I$305,$D$6:$D$305,D173)=0,0,I173/SUMIFS($I$6:$I$305,$D$6:$D$305,D173)),IF(I173&gt;0,1/COUNTIFS($D$6:$D$305,D173,$I$6:$I$305,"&gt;0"),0)))</f>
      </c>
      <c r="BZ173" s="37">
        <f>IF(B173="","",IF(BP173=0,0,INDEX(COSTOS_FIJOS!$G$41:$AD$41,BP173))*BY173)</f>
      </c>
      <c r="CA173" s="70">
        <f>IF(B173="","",BT173+BV173+BX173+BZ173)</f>
      </c>
      <c r="CB173" s="37">
        <f>IF(B173="","",Q173*Imp_Ventas_Serv)</f>
      </c>
      <c r="CC173" s="37">
        <f>IF(B173="","",Q173*Contrib_Territorial)</f>
      </c>
      <c r="CD173" s="70">
        <f>IF(B173="","",BM173-CA173-CB173-CC173)</f>
      </c>
      <c r="CE173" s="37">
        <f>IF(B173="","",MAX(0,CD173)*Imp_Utilidades)</f>
      </c>
      <c r="CF173" s="70">
        <f>IF(B173="","",CD173-CE173)</f>
      </c>
      <c r="CG173" s="72">
        <f>IF(B173="","",IF(Q173=0,0,CF173/Q173))</f>
      </c>
      <c r="CH173" s="73">
        <f>IF(B173="","",IF(J173=0,0,(BL173+CA173+CB173+CC173)/J173))</f>
      </c>
      <c r="CI173" s="73">
        <f>IF(B173="","",IF(J173=0,0,Q173/J173))</f>
      </c>
      <c r="CJ173" s="73">
        <f>IF(B173="","",IF(J173=0,0,CD173/J173))</f>
      </c>
      <c r="CK173" s="37">
        <f>IF(B173="","",Y173+AE173+BK173+BT173)</f>
      </c>
      <c r="CL173" s="37">
        <f>IF(B173="","",IF(J173=0,0,(M173+P173*G173/J173)*(1-Pct_Reclamaciones-Pct_Banco-Imp_Ventas_Serv-Contrib_Territorial)-AI173-BE173-BV173-CK173*G173/J173))</f>
      </c>
      <c r="CM173" s="37">
        <f>IF(B173="","",IF(J173=0,0,(N173+P173*H173/J173)*(1-Pct_Reclamaciones-Pct_Banco-Imp_Ventas_Serv-Contrib_Territorial)-AS173-BF173-BX173-CK173*H173/J173))</f>
      </c>
      <c r="CN173" s="37">
        <f>IF(B173="","",IF(J173=0,0,(O173+P173*I173/J173)*(1-Pct_Reclamaciones-Pct_Banco-Imp_Ventas_Serv-Contrib_Territorial)-BC173-BG173-BZ173-CK173*I173/J173))</f>
      </c>
      <c r="CO173" s="37">
        <f>IF(B173="","",IF(J173=0,0,ROUND(CD173-CL173-CM173-CN173,4)))</f>
      </c>
      <c r="CP173" s="71">
        <f>IF(B173="","",T173+AG173+AK173+AM173+AU173+AW173)</f>
      </c>
      <c r="CQ173" s="71">
        <f>IF(B173="","",U173+AH173+AL173+AN173+AV173+AX173)</f>
      </c>
      <c r="CR173" s="72">
        <f>IF(B173="","",IF(CP173=0,0,CQ173/CP173-1))</f>
      </c>
      <c r="CS173" s="60">
        <f>IF(B173="","",IF(ENTRADA!$Y173="","",ENTRADA!$Y173-C173))</f>
      </c>
      <c r="CT173" s="66">
        <f>IF(B173="","",IF(ENTRADA!$C173="","Falta fecha. ","")&amp;IF(BP173=0,"Mes fuera del rango de COSTOS_FIJOS. ","")&amp;IF(J173=0,"Sin kg. ","")&amp;IF(E173="","Falta transitaria. ","")&amp;IF(AND(T173&gt;0,U173/T173-1&gt;Tolerancia_Comb),"Combustible al puerto "&amp;TEXT(U173/T173-1,"+0%")&amp;" sobre norma. ","")&amp;IF(AND(AG173&gt;0,AH173/AG173-1&gt;Tolerancia_Comb),"Combustible distribución Occidente "&amp;TEXT(AH173/AG173-1,"+0%")&amp;" sobre norma. ","")&amp;IF(AND(AK173&gt;0,AL173/AK173-1&gt;Tolerancia_Comb),"Combustible traslado Centro "&amp;TEXT(AL173/AK173-1,"+0%")&amp;" sobre norma. ","")&amp;IF(AND(AM173&gt;0,AN173/AM173-1&gt;Tolerancia_Comb),"Combustible distribución Centro "&amp;TEXT(AN173/AM173-1,"+0%")&amp;" sobre norma. ","")&amp;IF(AND(AU173&gt;0,AV173/AU173-1&gt;Tolerancia_Comb),"Combustible traslado Oriente "&amp;TEXT(AV173/AU173-1,"+0%")&amp;" sobre norma. ","")&amp;IF(AND(AW173&gt;0,AX173/AW173-1&gt;Tolerancia_Comb),"Combustible distribución Oriente "&amp;TEXT(AX173/AW173-1,"+0%")&amp;" sobre norma. ","")&amp;IF(AND(ENTRADA!$C173&lt;&gt;"",C173&lt;PRECIOS!$A$6),"Fecha anterior a la 1ª vigencia de precios. ","")&amp;IF(CD173&lt;0,"Contenedor con pérdida. ",""))</f>
      </c>
    </row>
    <row r="174">
      <c r="A174" s="60">
        <f>IF(B174="","",ROW()-5)</f>
      </c>
      <c r="B174" s="63">
        <f>IF(ENTRADA!$B174="","",ENTRADA!$B174)</f>
      </c>
      <c r="C174" s="64">
        <f>IF(B174="","",ENTRADA!$C174)</f>
      </c>
      <c r="D174" s="65">
        <f>IF(B174="","",DATE(YEAR(C174),MONTH(C174),1))</f>
      </c>
      <c r="E174" s="66">
        <f>IF(B174="","",ENTRADA!$D174&amp;"")</f>
      </c>
      <c r="F174" s="66">
        <f>IF(B174="","",ENTRADA!$Z174&amp;"")</f>
      </c>
      <c r="G174" s="67">
        <f>IF(B174="","",N(ENTRADA!$G174))</f>
      </c>
      <c r="H174" s="67">
        <f>IF(B174="","",N(ENTRADA!$H174))</f>
      </c>
      <c r="I174" s="67">
        <f>IF(B174="","",N(ENTRADA!$I174))</f>
      </c>
      <c r="J174" s="68">
        <f>IF(B174="","",G174+H174+I174)</f>
      </c>
      <c r="K174" s="60">
        <f>IF(B174="","",IFERROR(MATCH(SUMPRODUCT(MAX((PRECIOS!$A$6:$A$55&lt;=C174)*PRECIOS!$A$6:$A$55)),PRECIOS!$A$6:$A$55,0),1))</f>
      </c>
      <c r="L174" s="69">
        <f>IF(B174="","",INDEX(PRECIOS!$A$6:$A$55,K174))</f>
      </c>
      <c r="M174" s="37">
        <f>IF(B174="","",G174*INDEX(PRECIOS!$B$6:$B$55,K174))</f>
      </c>
      <c r="N174" s="37">
        <f>IF(B174="","",H174*INDEX(PRECIOS!$C$6:$C$55,K174))</f>
      </c>
      <c r="O174" s="37">
        <f>IF(B174="","",I174*INDEX(PRECIOS!$D$6:$D$55,K174))</f>
      </c>
      <c r="P174" s="37">
        <f>IF(B174="","",N(ENTRADA!$X174))</f>
      </c>
      <c r="Q174" s="70">
        <f>IF(B174="","",M174+N174+O174+P174)</f>
      </c>
      <c r="R174" s="71">
        <f>IF(B174="","",IF(ENTRADA!$J174="",Std_Viajes_Puerto,ENTRADA!$J174))</f>
      </c>
      <c r="S174" s="37">
        <f>IF(B174="","",R174*INDEX(PRECIOS!$F$6:$F$55,K174))</f>
      </c>
      <c r="T174" s="71">
        <f>IF(B174="","",R174*Litros_Puerto_Viaje)</f>
      </c>
      <c r="U174" s="71">
        <f>IF(B174="","",IF(ENTRADA!$K174="",T174,ENTRADA!$K174))</f>
      </c>
      <c r="V174" s="37">
        <f>IF(B174="","",U174*INDEX(PRECIOS!$E$6:$E$55,K174))</f>
      </c>
      <c r="W174" s="37">
        <f>IF(B174="","",IF(ENTRADA!$L174="",R174*INDEX(PRECIOS!$G$6:$G$55,K174),ENTRADA!$L174))</f>
      </c>
      <c r="X174" s="37">
        <f>IF(B174="","",R174*Km_Puerto_Viaje*INDEX(PRECIOS!$N$6:$N$55,K174))</f>
      </c>
      <c r="Y174" s="70">
        <f>IF(B174="","",S174+V174+W174+X174)</f>
      </c>
      <c r="Z174" s="71">
        <f>IF(B174="","",IF(J174=0,0,ROUNDUP(J174/Rend_Desagrupe,0)))</f>
      </c>
      <c r="AA174" s="71">
        <f>IF(B174="","",IF(ENTRADA!$M174="",Z174,ENTRADA!$M174))</f>
      </c>
      <c r="AB174" s="37">
        <f>IF(B174="","",AA174*INDEX(PRECIOS!$H$6:$H$55,K174))</f>
      </c>
      <c r="AC174" s="37">
        <f>IF(B174="","",IF(E174="ENCI",INDEX(PRECIOS!$J$6:$J$55,K174),IF(E174="A.V",INDEX(PRECIOS!$K$6:$K$55,K174),0)))</f>
      </c>
      <c r="AD174" s="37">
        <f>IF(B174="","",N(ENTRADA!$N174))</f>
      </c>
      <c r="AE174" s="70">
        <f>IF(B174="","",AB174+AC174+AD174)</f>
      </c>
      <c r="AF174" s="71">
        <f>IF(B174="","",IF(G174=0,0,ROUNDUP(G174/Cap_Camion_OCC,0)))</f>
      </c>
      <c r="AG174" s="71">
        <f>IF(B174="","",AF174*L_Dist_OCC)</f>
      </c>
      <c r="AH174" s="71">
        <f>IF(B174="","",IF(ENTRADA!$O174="",AG174,ENTRADA!$O174))</f>
      </c>
      <c r="AI174" s="37">
        <f>IF(B174="","",AH174*INDEX(PRECIOS!$E$6:$E$55,K174))</f>
      </c>
      <c r="AJ174" s="71">
        <f>IF(B174="","",IF(H174=0,0,ROUNDUP(H174/Cap_Camion_CEN,0)))</f>
      </c>
      <c r="AK174" s="71">
        <f>IF(B174="","",AJ174*L_Tras_CEN)</f>
      </c>
      <c r="AL174" s="71">
        <f>IF(B174="","",IF(ENTRADA!$P174="",AK174,ENTRADA!$P174))</f>
      </c>
      <c r="AM174" s="71">
        <f>IF(B174="","",AJ174*L_Dist_CEN)</f>
      </c>
      <c r="AN174" s="71">
        <f>IF(B174="","",IF(ENTRADA!$Q174="",AM174,ENTRADA!$Q174))</f>
      </c>
      <c r="AO174" s="37">
        <f>IF(B174="","",(AL174+AN174)*INDEX(PRECIOS!$E$6:$E$55,K174))</f>
      </c>
      <c r="AP174" s="71">
        <f>IF(B174="","",IF(H174=0,0,ROUNDUP(H174/Rend_Desagrupe_CT,0)))</f>
      </c>
      <c r="AQ174" s="71">
        <f>IF(B174="","",IF(ENTRADA!$R174="",AP174,ENTRADA!$R174))</f>
      </c>
      <c r="AR174" s="37">
        <f>IF(B174="","",AQ174*INDEX(PRECIOS!$I$6:$I$55,K174))</f>
      </c>
      <c r="AS174" s="37">
        <f>IF(B174="","",AO174+AR174)</f>
      </c>
      <c r="AT174" s="71">
        <f>IF(B174="","",IF(I174=0,0,ROUNDUP(I174/Cap_Camion_ORI,0)))</f>
      </c>
      <c r="AU174" s="71">
        <f>IF(B174="","",AT174*L_Tras_ORI)</f>
      </c>
      <c r="AV174" s="71">
        <f>IF(B174="","",IF(ENTRADA!$S174="",AU174,ENTRADA!$S174))</f>
      </c>
      <c r="AW174" s="71">
        <f>IF(B174="","",AT174*L_Dist_ORI)</f>
      </c>
      <c r="AX174" s="71">
        <f>IF(B174="","",IF(ENTRADA!$T174="",AW174,ENTRADA!$T174))</f>
      </c>
      <c r="AY174" s="37">
        <f>IF(B174="","",(AV174+AX174)*INDEX(PRECIOS!$E$6:$E$55,K174))</f>
      </c>
      <c r="AZ174" s="71">
        <f>IF(B174="","",IF(I174=0,0,ROUNDUP(I174/Rend_Desagrupe_CT,0)))</f>
      </c>
      <c r="BA174" s="71">
        <f>IF(B174="","",IF(ENTRADA!$U174="",AZ174,ENTRADA!$U174))</f>
      </c>
      <c r="BB174" s="37">
        <f>IF(B174="","",BA174*INDEX(PRECIOS!$I$6:$I$55,K174))</f>
      </c>
      <c r="BC174" s="37">
        <f>IF(B174="","",AY174+BB174)</f>
      </c>
      <c r="BD174" s="70">
        <f>IF(B174="","",AI174+AS174+BC174)</f>
      </c>
      <c r="BE174" s="37">
        <f>IF(B174="","",IF(Base_Comision="% DEL INGRESO",M174*INDEX(PRECIOS!$L$6:$L$55,K174),G174*INDEX(PRECIOS!$M$6:$M$55,K174)))</f>
      </c>
      <c r="BF174" s="37">
        <f>IF(B174="","",IF(Base_Comision="% DEL INGRESO",N174*INDEX(PRECIOS!$L$6:$L$55,K174),H174*INDEX(PRECIOS!$M$6:$M$55,K174)))</f>
      </c>
      <c r="BG174" s="37">
        <f>IF(B174="","",IF(Base_Comision="% DEL INGRESO",O174*INDEX(PRECIOS!$L$6:$L$55,K174),I174*INDEX(PRECIOS!$M$6:$M$55,K174)))</f>
      </c>
      <c r="BH174" s="70">
        <f>IF(B174="","",BE174+BF174+BG174)</f>
      </c>
      <c r="BI174" s="37">
        <f>IF(B174="","",Q174*Pct_Reclamaciones)</f>
      </c>
      <c r="BJ174" s="37">
        <f>IF(B174="","",Q174*Pct_Banco)</f>
      </c>
      <c r="BK174" s="37">
        <f>IF(B174="","",N(ENTRADA!$V174))</f>
      </c>
      <c r="BL174" s="70">
        <f>IF(B174="","",Y174+AE174+BD174+BH174+BI174+BJ174+BK174)</f>
      </c>
      <c r="BM174" s="70">
        <f>IF(B174="","",Q174-BL174)</f>
      </c>
      <c r="BN174" s="72">
        <f>IF(B174="","",IF(Q174=0,0,BM174/Q174))</f>
      </c>
      <c r="BO174" s="73">
        <f>IF(B174="","",IF(J174=0,0,BM174/J174))</f>
      </c>
      <c r="BP174" s="60">
        <f>IF(B174="","",IFERROR(MATCH(D174,COSTOS_FIJOS!$G$5:$AD$5,0),0))</f>
      </c>
      <c r="BQ174" s="60">
        <f>IF(B174="","",COUNTIFS($D$6:$D$305,D174))</f>
      </c>
      <c r="BR174" s="67">
        <f>IF(B174="","",SUMIFS($J$6:$J$305,$D$6:$D$305,D174))</f>
      </c>
      <c r="BS174" s="72">
        <f>IF(B174="","",IF(Metodo_Prorrateo="KG",IF(BR174=0,0,J174/BR174),1/BQ174))</f>
      </c>
      <c r="BT174" s="37">
        <f>IF(B174="","",IF(BP174=0,0,INDEX(COSTOS_FIJOS!$G$38:$AD$38,BP174))*BS174)</f>
      </c>
      <c r="BU174" s="72">
        <f>IF(B174="","",IF(Metodo_Prorrateo="KG",IF(SUMIFS($G$6:$G$305,$D$6:$D$305,D174)=0,0,G174/SUMIFS($G$6:$G$305,$D$6:$D$305,D174)),IF(G174&gt;0,1/COUNTIFS($D$6:$D$305,D174,$G$6:$G$305,"&gt;0"),0)))</f>
      </c>
      <c r="BV174" s="37">
        <f>IF(B174="","",IF(BP174=0,0,INDEX(COSTOS_FIJOS!$G$39:$AD$39,BP174))*BU174)</f>
      </c>
      <c r="BW174" s="72">
        <f>IF(B174="","",IF(Metodo_Prorrateo="KG",IF(SUMIFS($H$6:$H$305,$D$6:$D$305,D174)=0,0,H174/SUMIFS($H$6:$H$305,$D$6:$D$305,D174)),IF(H174&gt;0,1/COUNTIFS($D$6:$D$305,D174,$H$6:$H$305,"&gt;0"),0)))</f>
      </c>
      <c r="BX174" s="37">
        <f>IF(B174="","",IF(BP174=0,0,INDEX(COSTOS_FIJOS!$G$40:$AD$40,BP174))*BW174)</f>
      </c>
      <c r="BY174" s="72">
        <f>IF(B174="","",IF(Metodo_Prorrateo="KG",IF(SUMIFS($I$6:$I$305,$D$6:$D$305,D174)=0,0,I174/SUMIFS($I$6:$I$305,$D$6:$D$305,D174)),IF(I174&gt;0,1/COUNTIFS($D$6:$D$305,D174,$I$6:$I$305,"&gt;0"),0)))</f>
      </c>
      <c r="BZ174" s="37">
        <f>IF(B174="","",IF(BP174=0,0,INDEX(COSTOS_FIJOS!$G$41:$AD$41,BP174))*BY174)</f>
      </c>
      <c r="CA174" s="70">
        <f>IF(B174="","",BT174+BV174+BX174+BZ174)</f>
      </c>
      <c r="CB174" s="37">
        <f>IF(B174="","",Q174*Imp_Ventas_Serv)</f>
      </c>
      <c r="CC174" s="37">
        <f>IF(B174="","",Q174*Contrib_Territorial)</f>
      </c>
      <c r="CD174" s="70">
        <f>IF(B174="","",BM174-CA174-CB174-CC174)</f>
      </c>
      <c r="CE174" s="37">
        <f>IF(B174="","",MAX(0,CD174)*Imp_Utilidades)</f>
      </c>
      <c r="CF174" s="70">
        <f>IF(B174="","",CD174-CE174)</f>
      </c>
      <c r="CG174" s="72">
        <f>IF(B174="","",IF(Q174=0,0,CF174/Q174))</f>
      </c>
      <c r="CH174" s="73">
        <f>IF(B174="","",IF(J174=0,0,(BL174+CA174+CB174+CC174)/J174))</f>
      </c>
      <c r="CI174" s="73">
        <f>IF(B174="","",IF(J174=0,0,Q174/J174))</f>
      </c>
      <c r="CJ174" s="73">
        <f>IF(B174="","",IF(J174=0,0,CD174/J174))</f>
      </c>
      <c r="CK174" s="37">
        <f>IF(B174="","",Y174+AE174+BK174+BT174)</f>
      </c>
      <c r="CL174" s="37">
        <f>IF(B174="","",IF(J174=0,0,(M174+P174*G174/J174)*(1-Pct_Reclamaciones-Pct_Banco-Imp_Ventas_Serv-Contrib_Territorial)-AI174-BE174-BV174-CK174*G174/J174))</f>
      </c>
      <c r="CM174" s="37">
        <f>IF(B174="","",IF(J174=0,0,(N174+P174*H174/J174)*(1-Pct_Reclamaciones-Pct_Banco-Imp_Ventas_Serv-Contrib_Territorial)-AS174-BF174-BX174-CK174*H174/J174))</f>
      </c>
      <c r="CN174" s="37">
        <f>IF(B174="","",IF(J174=0,0,(O174+P174*I174/J174)*(1-Pct_Reclamaciones-Pct_Banco-Imp_Ventas_Serv-Contrib_Territorial)-BC174-BG174-BZ174-CK174*I174/J174))</f>
      </c>
      <c r="CO174" s="37">
        <f>IF(B174="","",IF(J174=0,0,ROUND(CD174-CL174-CM174-CN174,4)))</f>
      </c>
      <c r="CP174" s="71">
        <f>IF(B174="","",T174+AG174+AK174+AM174+AU174+AW174)</f>
      </c>
      <c r="CQ174" s="71">
        <f>IF(B174="","",U174+AH174+AL174+AN174+AV174+AX174)</f>
      </c>
      <c r="CR174" s="72">
        <f>IF(B174="","",IF(CP174=0,0,CQ174/CP174-1))</f>
      </c>
      <c r="CS174" s="60">
        <f>IF(B174="","",IF(ENTRADA!$Y174="","",ENTRADA!$Y174-C174))</f>
      </c>
      <c r="CT174" s="66">
        <f>IF(B174="","",IF(ENTRADA!$C174="","Falta fecha. ","")&amp;IF(BP174=0,"Mes fuera del rango de COSTOS_FIJOS. ","")&amp;IF(J174=0,"Sin kg. ","")&amp;IF(E174="","Falta transitaria. ","")&amp;IF(AND(T174&gt;0,U174/T174-1&gt;Tolerancia_Comb),"Combustible al puerto "&amp;TEXT(U174/T174-1,"+0%")&amp;" sobre norma. ","")&amp;IF(AND(AG174&gt;0,AH174/AG174-1&gt;Tolerancia_Comb),"Combustible distribución Occidente "&amp;TEXT(AH174/AG174-1,"+0%")&amp;" sobre norma. ","")&amp;IF(AND(AK174&gt;0,AL174/AK174-1&gt;Tolerancia_Comb),"Combustible traslado Centro "&amp;TEXT(AL174/AK174-1,"+0%")&amp;" sobre norma. ","")&amp;IF(AND(AM174&gt;0,AN174/AM174-1&gt;Tolerancia_Comb),"Combustible distribución Centro "&amp;TEXT(AN174/AM174-1,"+0%")&amp;" sobre norma. ","")&amp;IF(AND(AU174&gt;0,AV174/AU174-1&gt;Tolerancia_Comb),"Combustible traslado Oriente "&amp;TEXT(AV174/AU174-1,"+0%")&amp;" sobre norma. ","")&amp;IF(AND(AW174&gt;0,AX174/AW174-1&gt;Tolerancia_Comb),"Combustible distribución Oriente "&amp;TEXT(AX174/AW174-1,"+0%")&amp;" sobre norma. ","")&amp;IF(AND(ENTRADA!$C174&lt;&gt;"",C174&lt;PRECIOS!$A$6),"Fecha anterior a la 1ª vigencia de precios. ","")&amp;IF(CD174&lt;0,"Contenedor con pérdida. ",""))</f>
      </c>
    </row>
    <row r="175">
      <c r="A175" s="60">
        <f>IF(B175="","",ROW()-5)</f>
      </c>
      <c r="B175" s="63">
        <f>IF(ENTRADA!$B175="","",ENTRADA!$B175)</f>
      </c>
      <c r="C175" s="64">
        <f>IF(B175="","",ENTRADA!$C175)</f>
      </c>
      <c r="D175" s="65">
        <f>IF(B175="","",DATE(YEAR(C175),MONTH(C175),1))</f>
      </c>
      <c r="E175" s="66">
        <f>IF(B175="","",ENTRADA!$D175&amp;"")</f>
      </c>
      <c r="F175" s="66">
        <f>IF(B175="","",ENTRADA!$Z175&amp;"")</f>
      </c>
      <c r="G175" s="67">
        <f>IF(B175="","",N(ENTRADA!$G175))</f>
      </c>
      <c r="H175" s="67">
        <f>IF(B175="","",N(ENTRADA!$H175))</f>
      </c>
      <c r="I175" s="67">
        <f>IF(B175="","",N(ENTRADA!$I175))</f>
      </c>
      <c r="J175" s="68">
        <f>IF(B175="","",G175+H175+I175)</f>
      </c>
      <c r="K175" s="60">
        <f>IF(B175="","",IFERROR(MATCH(SUMPRODUCT(MAX((PRECIOS!$A$6:$A$55&lt;=C175)*PRECIOS!$A$6:$A$55)),PRECIOS!$A$6:$A$55,0),1))</f>
      </c>
      <c r="L175" s="69">
        <f>IF(B175="","",INDEX(PRECIOS!$A$6:$A$55,K175))</f>
      </c>
      <c r="M175" s="37">
        <f>IF(B175="","",G175*INDEX(PRECIOS!$B$6:$B$55,K175))</f>
      </c>
      <c r="N175" s="37">
        <f>IF(B175="","",H175*INDEX(PRECIOS!$C$6:$C$55,K175))</f>
      </c>
      <c r="O175" s="37">
        <f>IF(B175="","",I175*INDEX(PRECIOS!$D$6:$D$55,K175))</f>
      </c>
      <c r="P175" s="37">
        <f>IF(B175="","",N(ENTRADA!$X175))</f>
      </c>
      <c r="Q175" s="70">
        <f>IF(B175="","",M175+N175+O175+P175)</f>
      </c>
      <c r="R175" s="71">
        <f>IF(B175="","",IF(ENTRADA!$J175="",Std_Viajes_Puerto,ENTRADA!$J175))</f>
      </c>
      <c r="S175" s="37">
        <f>IF(B175="","",R175*INDEX(PRECIOS!$F$6:$F$55,K175))</f>
      </c>
      <c r="T175" s="71">
        <f>IF(B175="","",R175*Litros_Puerto_Viaje)</f>
      </c>
      <c r="U175" s="71">
        <f>IF(B175="","",IF(ENTRADA!$K175="",T175,ENTRADA!$K175))</f>
      </c>
      <c r="V175" s="37">
        <f>IF(B175="","",U175*INDEX(PRECIOS!$E$6:$E$55,K175))</f>
      </c>
      <c r="W175" s="37">
        <f>IF(B175="","",IF(ENTRADA!$L175="",R175*INDEX(PRECIOS!$G$6:$G$55,K175),ENTRADA!$L175))</f>
      </c>
      <c r="X175" s="37">
        <f>IF(B175="","",R175*Km_Puerto_Viaje*INDEX(PRECIOS!$N$6:$N$55,K175))</f>
      </c>
      <c r="Y175" s="70">
        <f>IF(B175="","",S175+V175+W175+X175)</f>
      </c>
      <c r="Z175" s="71">
        <f>IF(B175="","",IF(J175=0,0,ROUNDUP(J175/Rend_Desagrupe,0)))</f>
      </c>
      <c r="AA175" s="71">
        <f>IF(B175="","",IF(ENTRADA!$M175="",Z175,ENTRADA!$M175))</f>
      </c>
      <c r="AB175" s="37">
        <f>IF(B175="","",AA175*INDEX(PRECIOS!$H$6:$H$55,K175))</f>
      </c>
      <c r="AC175" s="37">
        <f>IF(B175="","",IF(E175="ENCI",INDEX(PRECIOS!$J$6:$J$55,K175),IF(E175="A.V",INDEX(PRECIOS!$K$6:$K$55,K175),0)))</f>
      </c>
      <c r="AD175" s="37">
        <f>IF(B175="","",N(ENTRADA!$N175))</f>
      </c>
      <c r="AE175" s="70">
        <f>IF(B175="","",AB175+AC175+AD175)</f>
      </c>
      <c r="AF175" s="71">
        <f>IF(B175="","",IF(G175=0,0,ROUNDUP(G175/Cap_Camion_OCC,0)))</f>
      </c>
      <c r="AG175" s="71">
        <f>IF(B175="","",AF175*L_Dist_OCC)</f>
      </c>
      <c r="AH175" s="71">
        <f>IF(B175="","",IF(ENTRADA!$O175="",AG175,ENTRADA!$O175))</f>
      </c>
      <c r="AI175" s="37">
        <f>IF(B175="","",AH175*INDEX(PRECIOS!$E$6:$E$55,K175))</f>
      </c>
      <c r="AJ175" s="71">
        <f>IF(B175="","",IF(H175=0,0,ROUNDUP(H175/Cap_Camion_CEN,0)))</f>
      </c>
      <c r="AK175" s="71">
        <f>IF(B175="","",AJ175*L_Tras_CEN)</f>
      </c>
      <c r="AL175" s="71">
        <f>IF(B175="","",IF(ENTRADA!$P175="",AK175,ENTRADA!$P175))</f>
      </c>
      <c r="AM175" s="71">
        <f>IF(B175="","",AJ175*L_Dist_CEN)</f>
      </c>
      <c r="AN175" s="71">
        <f>IF(B175="","",IF(ENTRADA!$Q175="",AM175,ENTRADA!$Q175))</f>
      </c>
      <c r="AO175" s="37">
        <f>IF(B175="","",(AL175+AN175)*INDEX(PRECIOS!$E$6:$E$55,K175))</f>
      </c>
      <c r="AP175" s="71">
        <f>IF(B175="","",IF(H175=0,0,ROUNDUP(H175/Rend_Desagrupe_CT,0)))</f>
      </c>
      <c r="AQ175" s="71">
        <f>IF(B175="","",IF(ENTRADA!$R175="",AP175,ENTRADA!$R175))</f>
      </c>
      <c r="AR175" s="37">
        <f>IF(B175="","",AQ175*INDEX(PRECIOS!$I$6:$I$55,K175))</f>
      </c>
      <c r="AS175" s="37">
        <f>IF(B175="","",AO175+AR175)</f>
      </c>
      <c r="AT175" s="71">
        <f>IF(B175="","",IF(I175=0,0,ROUNDUP(I175/Cap_Camion_ORI,0)))</f>
      </c>
      <c r="AU175" s="71">
        <f>IF(B175="","",AT175*L_Tras_ORI)</f>
      </c>
      <c r="AV175" s="71">
        <f>IF(B175="","",IF(ENTRADA!$S175="",AU175,ENTRADA!$S175))</f>
      </c>
      <c r="AW175" s="71">
        <f>IF(B175="","",AT175*L_Dist_ORI)</f>
      </c>
      <c r="AX175" s="71">
        <f>IF(B175="","",IF(ENTRADA!$T175="",AW175,ENTRADA!$T175))</f>
      </c>
      <c r="AY175" s="37">
        <f>IF(B175="","",(AV175+AX175)*INDEX(PRECIOS!$E$6:$E$55,K175))</f>
      </c>
      <c r="AZ175" s="71">
        <f>IF(B175="","",IF(I175=0,0,ROUNDUP(I175/Rend_Desagrupe_CT,0)))</f>
      </c>
      <c r="BA175" s="71">
        <f>IF(B175="","",IF(ENTRADA!$U175="",AZ175,ENTRADA!$U175))</f>
      </c>
      <c r="BB175" s="37">
        <f>IF(B175="","",BA175*INDEX(PRECIOS!$I$6:$I$55,K175))</f>
      </c>
      <c r="BC175" s="37">
        <f>IF(B175="","",AY175+BB175)</f>
      </c>
      <c r="BD175" s="70">
        <f>IF(B175="","",AI175+AS175+BC175)</f>
      </c>
      <c r="BE175" s="37">
        <f>IF(B175="","",IF(Base_Comision="% DEL INGRESO",M175*INDEX(PRECIOS!$L$6:$L$55,K175),G175*INDEX(PRECIOS!$M$6:$M$55,K175)))</f>
      </c>
      <c r="BF175" s="37">
        <f>IF(B175="","",IF(Base_Comision="% DEL INGRESO",N175*INDEX(PRECIOS!$L$6:$L$55,K175),H175*INDEX(PRECIOS!$M$6:$M$55,K175)))</f>
      </c>
      <c r="BG175" s="37">
        <f>IF(B175="","",IF(Base_Comision="% DEL INGRESO",O175*INDEX(PRECIOS!$L$6:$L$55,K175),I175*INDEX(PRECIOS!$M$6:$M$55,K175)))</f>
      </c>
      <c r="BH175" s="70">
        <f>IF(B175="","",BE175+BF175+BG175)</f>
      </c>
      <c r="BI175" s="37">
        <f>IF(B175="","",Q175*Pct_Reclamaciones)</f>
      </c>
      <c r="BJ175" s="37">
        <f>IF(B175="","",Q175*Pct_Banco)</f>
      </c>
      <c r="BK175" s="37">
        <f>IF(B175="","",N(ENTRADA!$V175))</f>
      </c>
      <c r="BL175" s="70">
        <f>IF(B175="","",Y175+AE175+BD175+BH175+BI175+BJ175+BK175)</f>
      </c>
      <c r="BM175" s="70">
        <f>IF(B175="","",Q175-BL175)</f>
      </c>
      <c r="BN175" s="72">
        <f>IF(B175="","",IF(Q175=0,0,BM175/Q175))</f>
      </c>
      <c r="BO175" s="73">
        <f>IF(B175="","",IF(J175=0,0,BM175/J175))</f>
      </c>
      <c r="BP175" s="60">
        <f>IF(B175="","",IFERROR(MATCH(D175,COSTOS_FIJOS!$G$5:$AD$5,0),0))</f>
      </c>
      <c r="BQ175" s="60">
        <f>IF(B175="","",COUNTIFS($D$6:$D$305,D175))</f>
      </c>
      <c r="BR175" s="67">
        <f>IF(B175="","",SUMIFS($J$6:$J$305,$D$6:$D$305,D175))</f>
      </c>
      <c r="BS175" s="72">
        <f>IF(B175="","",IF(Metodo_Prorrateo="KG",IF(BR175=0,0,J175/BR175),1/BQ175))</f>
      </c>
      <c r="BT175" s="37">
        <f>IF(B175="","",IF(BP175=0,0,INDEX(COSTOS_FIJOS!$G$38:$AD$38,BP175))*BS175)</f>
      </c>
      <c r="BU175" s="72">
        <f>IF(B175="","",IF(Metodo_Prorrateo="KG",IF(SUMIFS($G$6:$G$305,$D$6:$D$305,D175)=0,0,G175/SUMIFS($G$6:$G$305,$D$6:$D$305,D175)),IF(G175&gt;0,1/COUNTIFS($D$6:$D$305,D175,$G$6:$G$305,"&gt;0"),0)))</f>
      </c>
      <c r="BV175" s="37">
        <f>IF(B175="","",IF(BP175=0,0,INDEX(COSTOS_FIJOS!$G$39:$AD$39,BP175))*BU175)</f>
      </c>
      <c r="BW175" s="72">
        <f>IF(B175="","",IF(Metodo_Prorrateo="KG",IF(SUMIFS($H$6:$H$305,$D$6:$D$305,D175)=0,0,H175/SUMIFS($H$6:$H$305,$D$6:$D$305,D175)),IF(H175&gt;0,1/COUNTIFS($D$6:$D$305,D175,$H$6:$H$305,"&gt;0"),0)))</f>
      </c>
      <c r="BX175" s="37">
        <f>IF(B175="","",IF(BP175=0,0,INDEX(COSTOS_FIJOS!$G$40:$AD$40,BP175))*BW175)</f>
      </c>
      <c r="BY175" s="72">
        <f>IF(B175="","",IF(Metodo_Prorrateo="KG",IF(SUMIFS($I$6:$I$305,$D$6:$D$305,D175)=0,0,I175/SUMIFS($I$6:$I$305,$D$6:$D$305,D175)),IF(I175&gt;0,1/COUNTIFS($D$6:$D$305,D175,$I$6:$I$305,"&gt;0"),0)))</f>
      </c>
      <c r="BZ175" s="37">
        <f>IF(B175="","",IF(BP175=0,0,INDEX(COSTOS_FIJOS!$G$41:$AD$41,BP175))*BY175)</f>
      </c>
      <c r="CA175" s="70">
        <f>IF(B175="","",BT175+BV175+BX175+BZ175)</f>
      </c>
      <c r="CB175" s="37">
        <f>IF(B175="","",Q175*Imp_Ventas_Serv)</f>
      </c>
      <c r="CC175" s="37">
        <f>IF(B175="","",Q175*Contrib_Territorial)</f>
      </c>
      <c r="CD175" s="70">
        <f>IF(B175="","",BM175-CA175-CB175-CC175)</f>
      </c>
      <c r="CE175" s="37">
        <f>IF(B175="","",MAX(0,CD175)*Imp_Utilidades)</f>
      </c>
      <c r="CF175" s="70">
        <f>IF(B175="","",CD175-CE175)</f>
      </c>
      <c r="CG175" s="72">
        <f>IF(B175="","",IF(Q175=0,0,CF175/Q175))</f>
      </c>
      <c r="CH175" s="73">
        <f>IF(B175="","",IF(J175=0,0,(BL175+CA175+CB175+CC175)/J175))</f>
      </c>
      <c r="CI175" s="73">
        <f>IF(B175="","",IF(J175=0,0,Q175/J175))</f>
      </c>
      <c r="CJ175" s="73">
        <f>IF(B175="","",IF(J175=0,0,CD175/J175))</f>
      </c>
      <c r="CK175" s="37">
        <f>IF(B175="","",Y175+AE175+BK175+BT175)</f>
      </c>
      <c r="CL175" s="37">
        <f>IF(B175="","",IF(J175=0,0,(M175+P175*G175/J175)*(1-Pct_Reclamaciones-Pct_Banco-Imp_Ventas_Serv-Contrib_Territorial)-AI175-BE175-BV175-CK175*G175/J175))</f>
      </c>
      <c r="CM175" s="37">
        <f>IF(B175="","",IF(J175=0,0,(N175+P175*H175/J175)*(1-Pct_Reclamaciones-Pct_Banco-Imp_Ventas_Serv-Contrib_Territorial)-AS175-BF175-BX175-CK175*H175/J175))</f>
      </c>
      <c r="CN175" s="37">
        <f>IF(B175="","",IF(J175=0,0,(O175+P175*I175/J175)*(1-Pct_Reclamaciones-Pct_Banco-Imp_Ventas_Serv-Contrib_Territorial)-BC175-BG175-BZ175-CK175*I175/J175))</f>
      </c>
      <c r="CO175" s="37">
        <f>IF(B175="","",IF(J175=0,0,ROUND(CD175-CL175-CM175-CN175,4)))</f>
      </c>
      <c r="CP175" s="71">
        <f>IF(B175="","",T175+AG175+AK175+AM175+AU175+AW175)</f>
      </c>
      <c r="CQ175" s="71">
        <f>IF(B175="","",U175+AH175+AL175+AN175+AV175+AX175)</f>
      </c>
      <c r="CR175" s="72">
        <f>IF(B175="","",IF(CP175=0,0,CQ175/CP175-1))</f>
      </c>
      <c r="CS175" s="60">
        <f>IF(B175="","",IF(ENTRADA!$Y175="","",ENTRADA!$Y175-C175))</f>
      </c>
      <c r="CT175" s="66">
        <f>IF(B175="","",IF(ENTRADA!$C175="","Falta fecha. ","")&amp;IF(BP175=0,"Mes fuera del rango de COSTOS_FIJOS. ","")&amp;IF(J175=0,"Sin kg. ","")&amp;IF(E175="","Falta transitaria. ","")&amp;IF(AND(T175&gt;0,U175/T175-1&gt;Tolerancia_Comb),"Combustible al puerto "&amp;TEXT(U175/T175-1,"+0%")&amp;" sobre norma. ","")&amp;IF(AND(AG175&gt;0,AH175/AG175-1&gt;Tolerancia_Comb),"Combustible distribución Occidente "&amp;TEXT(AH175/AG175-1,"+0%")&amp;" sobre norma. ","")&amp;IF(AND(AK175&gt;0,AL175/AK175-1&gt;Tolerancia_Comb),"Combustible traslado Centro "&amp;TEXT(AL175/AK175-1,"+0%")&amp;" sobre norma. ","")&amp;IF(AND(AM175&gt;0,AN175/AM175-1&gt;Tolerancia_Comb),"Combustible distribución Centro "&amp;TEXT(AN175/AM175-1,"+0%")&amp;" sobre norma. ","")&amp;IF(AND(AU175&gt;0,AV175/AU175-1&gt;Tolerancia_Comb),"Combustible traslado Oriente "&amp;TEXT(AV175/AU175-1,"+0%")&amp;" sobre norma. ","")&amp;IF(AND(AW175&gt;0,AX175/AW175-1&gt;Tolerancia_Comb),"Combustible distribución Oriente "&amp;TEXT(AX175/AW175-1,"+0%")&amp;" sobre norma. ","")&amp;IF(AND(ENTRADA!$C175&lt;&gt;"",C175&lt;PRECIOS!$A$6),"Fecha anterior a la 1ª vigencia de precios. ","")&amp;IF(CD175&lt;0,"Contenedor con pérdida. ",""))</f>
      </c>
    </row>
    <row r="176">
      <c r="A176" s="60">
        <f>IF(B176="","",ROW()-5)</f>
      </c>
      <c r="B176" s="63">
        <f>IF(ENTRADA!$B176="","",ENTRADA!$B176)</f>
      </c>
      <c r="C176" s="64">
        <f>IF(B176="","",ENTRADA!$C176)</f>
      </c>
      <c r="D176" s="65">
        <f>IF(B176="","",DATE(YEAR(C176),MONTH(C176),1))</f>
      </c>
      <c r="E176" s="66">
        <f>IF(B176="","",ENTRADA!$D176&amp;"")</f>
      </c>
      <c r="F176" s="66">
        <f>IF(B176="","",ENTRADA!$Z176&amp;"")</f>
      </c>
      <c r="G176" s="67">
        <f>IF(B176="","",N(ENTRADA!$G176))</f>
      </c>
      <c r="H176" s="67">
        <f>IF(B176="","",N(ENTRADA!$H176))</f>
      </c>
      <c r="I176" s="67">
        <f>IF(B176="","",N(ENTRADA!$I176))</f>
      </c>
      <c r="J176" s="68">
        <f>IF(B176="","",G176+H176+I176)</f>
      </c>
      <c r="K176" s="60">
        <f>IF(B176="","",IFERROR(MATCH(SUMPRODUCT(MAX((PRECIOS!$A$6:$A$55&lt;=C176)*PRECIOS!$A$6:$A$55)),PRECIOS!$A$6:$A$55,0),1))</f>
      </c>
      <c r="L176" s="69">
        <f>IF(B176="","",INDEX(PRECIOS!$A$6:$A$55,K176))</f>
      </c>
      <c r="M176" s="37">
        <f>IF(B176="","",G176*INDEX(PRECIOS!$B$6:$B$55,K176))</f>
      </c>
      <c r="N176" s="37">
        <f>IF(B176="","",H176*INDEX(PRECIOS!$C$6:$C$55,K176))</f>
      </c>
      <c r="O176" s="37">
        <f>IF(B176="","",I176*INDEX(PRECIOS!$D$6:$D$55,K176))</f>
      </c>
      <c r="P176" s="37">
        <f>IF(B176="","",N(ENTRADA!$X176))</f>
      </c>
      <c r="Q176" s="70">
        <f>IF(B176="","",M176+N176+O176+P176)</f>
      </c>
      <c r="R176" s="71">
        <f>IF(B176="","",IF(ENTRADA!$J176="",Std_Viajes_Puerto,ENTRADA!$J176))</f>
      </c>
      <c r="S176" s="37">
        <f>IF(B176="","",R176*INDEX(PRECIOS!$F$6:$F$55,K176))</f>
      </c>
      <c r="T176" s="71">
        <f>IF(B176="","",R176*Litros_Puerto_Viaje)</f>
      </c>
      <c r="U176" s="71">
        <f>IF(B176="","",IF(ENTRADA!$K176="",T176,ENTRADA!$K176))</f>
      </c>
      <c r="V176" s="37">
        <f>IF(B176="","",U176*INDEX(PRECIOS!$E$6:$E$55,K176))</f>
      </c>
      <c r="W176" s="37">
        <f>IF(B176="","",IF(ENTRADA!$L176="",R176*INDEX(PRECIOS!$G$6:$G$55,K176),ENTRADA!$L176))</f>
      </c>
      <c r="X176" s="37">
        <f>IF(B176="","",R176*Km_Puerto_Viaje*INDEX(PRECIOS!$N$6:$N$55,K176))</f>
      </c>
      <c r="Y176" s="70">
        <f>IF(B176="","",S176+V176+W176+X176)</f>
      </c>
      <c r="Z176" s="71">
        <f>IF(B176="","",IF(J176=0,0,ROUNDUP(J176/Rend_Desagrupe,0)))</f>
      </c>
      <c r="AA176" s="71">
        <f>IF(B176="","",IF(ENTRADA!$M176="",Z176,ENTRADA!$M176))</f>
      </c>
      <c r="AB176" s="37">
        <f>IF(B176="","",AA176*INDEX(PRECIOS!$H$6:$H$55,K176))</f>
      </c>
      <c r="AC176" s="37">
        <f>IF(B176="","",IF(E176="ENCI",INDEX(PRECIOS!$J$6:$J$55,K176),IF(E176="A.V",INDEX(PRECIOS!$K$6:$K$55,K176),0)))</f>
      </c>
      <c r="AD176" s="37">
        <f>IF(B176="","",N(ENTRADA!$N176))</f>
      </c>
      <c r="AE176" s="70">
        <f>IF(B176="","",AB176+AC176+AD176)</f>
      </c>
      <c r="AF176" s="71">
        <f>IF(B176="","",IF(G176=0,0,ROUNDUP(G176/Cap_Camion_OCC,0)))</f>
      </c>
      <c r="AG176" s="71">
        <f>IF(B176="","",AF176*L_Dist_OCC)</f>
      </c>
      <c r="AH176" s="71">
        <f>IF(B176="","",IF(ENTRADA!$O176="",AG176,ENTRADA!$O176))</f>
      </c>
      <c r="AI176" s="37">
        <f>IF(B176="","",AH176*INDEX(PRECIOS!$E$6:$E$55,K176))</f>
      </c>
      <c r="AJ176" s="71">
        <f>IF(B176="","",IF(H176=0,0,ROUNDUP(H176/Cap_Camion_CEN,0)))</f>
      </c>
      <c r="AK176" s="71">
        <f>IF(B176="","",AJ176*L_Tras_CEN)</f>
      </c>
      <c r="AL176" s="71">
        <f>IF(B176="","",IF(ENTRADA!$P176="",AK176,ENTRADA!$P176))</f>
      </c>
      <c r="AM176" s="71">
        <f>IF(B176="","",AJ176*L_Dist_CEN)</f>
      </c>
      <c r="AN176" s="71">
        <f>IF(B176="","",IF(ENTRADA!$Q176="",AM176,ENTRADA!$Q176))</f>
      </c>
      <c r="AO176" s="37">
        <f>IF(B176="","",(AL176+AN176)*INDEX(PRECIOS!$E$6:$E$55,K176))</f>
      </c>
      <c r="AP176" s="71">
        <f>IF(B176="","",IF(H176=0,0,ROUNDUP(H176/Rend_Desagrupe_CT,0)))</f>
      </c>
      <c r="AQ176" s="71">
        <f>IF(B176="","",IF(ENTRADA!$R176="",AP176,ENTRADA!$R176))</f>
      </c>
      <c r="AR176" s="37">
        <f>IF(B176="","",AQ176*INDEX(PRECIOS!$I$6:$I$55,K176))</f>
      </c>
      <c r="AS176" s="37">
        <f>IF(B176="","",AO176+AR176)</f>
      </c>
      <c r="AT176" s="71">
        <f>IF(B176="","",IF(I176=0,0,ROUNDUP(I176/Cap_Camion_ORI,0)))</f>
      </c>
      <c r="AU176" s="71">
        <f>IF(B176="","",AT176*L_Tras_ORI)</f>
      </c>
      <c r="AV176" s="71">
        <f>IF(B176="","",IF(ENTRADA!$S176="",AU176,ENTRADA!$S176))</f>
      </c>
      <c r="AW176" s="71">
        <f>IF(B176="","",AT176*L_Dist_ORI)</f>
      </c>
      <c r="AX176" s="71">
        <f>IF(B176="","",IF(ENTRADA!$T176="",AW176,ENTRADA!$T176))</f>
      </c>
      <c r="AY176" s="37">
        <f>IF(B176="","",(AV176+AX176)*INDEX(PRECIOS!$E$6:$E$55,K176))</f>
      </c>
      <c r="AZ176" s="71">
        <f>IF(B176="","",IF(I176=0,0,ROUNDUP(I176/Rend_Desagrupe_CT,0)))</f>
      </c>
      <c r="BA176" s="71">
        <f>IF(B176="","",IF(ENTRADA!$U176="",AZ176,ENTRADA!$U176))</f>
      </c>
      <c r="BB176" s="37">
        <f>IF(B176="","",BA176*INDEX(PRECIOS!$I$6:$I$55,K176))</f>
      </c>
      <c r="BC176" s="37">
        <f>IF(B176="","",AY176+BB176)</f>
      </c>
      <c r="BD176" s="70">
        <f>IF(B176="","",AI176+AS176+BC176)</f>
      </c>
      <c r="BE176" s="37">
        <f>IF(B176="","",IF(Base_Comision="% DEL INGRESO",M176*INDEX(PRECIOS!$L$6:$L$55,K176),G176*INDEX(PRECIOS!$M$6:$M$55,K176)))</f>
      </c>
      <c r="BF176" s="37">
        <f>IF(B176="","",IF(Base_Comision="% DEL INGRESO",N176*INDEX(PRECIOS!$L$6:$L$55,K176),H176*INDEX(PRECIOS!$M$6:$M$55,K176)))</f>
      </c>
      <c r="BG176" s="37">
        <f>IF(B176="","",IF(Base_Comision="% DEL INGRESO",O176*INDEX(PRECIOS!$L$6:$L$55,K176),I176*INDEX(PRECIOS!$M$6:$M$55,K176)))</f>
      </c>
      <c r="BH176" s="70">
        <f>IF(B176="","",BE176+BF176+BG176)</f>
      </c>
      <c r="BI176" s="37">
        <f>IF(B176="","",Q176*Pct_Reclamaciones)</f>
      </c>
      <c r="BJ176" s="37">
        <f>IF(B176="","",Q176*Pct_Banco)</f>
      </c>
      <c r="BK176" s="37">
        <f>IF(B176="","",N(ENTRADA!$V176))</f>
      </c>
      <c r="BL176" s="70">
        <f>IF(B176="","",Y176+AE176+BD176+BH176+BI176+BJ176+BK176)</f>
      </c>
      <c r="BM176" s="70">
        <f>IF(B176="","",Q176-BL176)</f>
      </c>
      <c r="BN176" s="72">
        <f>IF(B176="","",IF(Q176=0,0,BM176/Q176))</f>
      </c>
      <c r="BO176" s="73">
        <f>IF(B176="","",IF(J176=0,0,BM176/J176))</f>
      </c>
      <c r="BP176" s="60">
        <f>IF(B176="","",IFERROR(MATCH(D176,COSTOS_FIJOS!$G$5:$AD$5,0),0))</f>
      </c>
      <c r="BQ176" s="60">
        <f>IF(B176="","",COUNTIFS($D$6:$D$305,D176))</f>
      </c>
      <c r="BR176" s="67">
        <f>IF(B176="","",SUMIFS($J$6:$J$305,$D$6:$D$305,D176))</f>
      </c>
      <c r="BS176" s="72">
        <f>IF(B176="","",IF(Metodo_Prorrateo="KG",IF(BR176=0,0,J176/BR176),1/BQ176))</f>
      </c>
      <c r="BT176" s="37">
        <f>IF(B176="","",IF(BP176=0,0,INDEX(COSTOS_FIJOS!$G$38:$AD$38,BP176))*BS176)</f>
      </c>
      <c r="BU176" s="72">
        <f>IF(B176="","",IF(Metodo_Prorrateo="KG",IF(SUMIFS($G$6:$G$305,$D$6:$D$305,D176)=0,0,G176/SUMIFS($G$6:$G$305,$D$6:$D$305,D176)),IF(G176&gt;0,1/COUNTIFS($D$6:$D$305,D176,$G$6:$G$305,"&gt;0"),0)))</f>
      </c>
      <c r="BV176" s="37">
        <f>IF(B176="","",IF(BP176=0,0,INDEX(COSTOS_FIJOS!$G$39:$AD$39,BP176))*BU176)</f>
      </c>
      <c r="BW176" s="72">
        <f>IF(B176="","",IF(Metodo_Prorrateo="KG",IF(SUMIFS($H$6:$H$305,$D$6:$D$305,D176)=0,0,H176/SUMIFS($H$6:$H$305,$D$6:$D$305,D176)),IF(H176&gt;0,1/COUNTIFS($D$6:$D$305,D176,$H$6:$H$305,"&gt;0"),0)))</f>
      </c>
      <c r="BX176" s="37">
        <f>IF(B176="","",IF(BP176=0,0,INDEX(COSTOS_FIJOS!$G$40:$AD$40,BP176))*BW176)</f>
      </c>
      <c r="BY176" s="72">
        <f>IF(B176="","",IF(Metodo_Prorrateo="KG",IF(SUMIFS($I$6:$I$305,$D$6:$D$305,D176)=0,0,I176/SUMIFS($I$6:$I$305,$D$6:$D$305,D176)),IF(I176&gt;0,1/COUNTIFS($D$6:$D$305,D176,$I$6:$I$305,"&gt;0"),0)))</f>
      </c>
      <c r="BZ176" s="37">
        <f>IF(B176="","",IF(BP176=0,0,INDEX(COSTOS_FIJOS!$G$41:$AD$41,BP176))*BY176)</f>
      </c>
      <c r="CA176" s="70">
        <f>IF(B176="","",BT176+BV176+BX176+BZ176)</f>
      </c>
      <c r="CB176" s="37">
        <f>IF(B176="","",Q176*Imp_Ventas_Serv)</f>
      </c>
      <c r="CC176" s="37">
        <f>IF(B176="","",Q176*Contrib_Territorial)</f>
      </c>
      <c r="CD176" s="70">
        <f>IF(B176="","",BM176-CA176-CB176-CC176)</f>
      </c>
      <c r="CE176" s="37">
        <f>IF(B176="","",MAX(0,CD176)*Imp_Utilidades)</f>
      </c>
      <c r="CF176" s="70">
        <f>IF(B176="","",CD176-CE176)</f>
      </c>
      <c r="CG176" s="72">
        <f>IF(B176="","",IF(Q176=0,0,CF176/Q176))</f>
      </c>
      <c r="CH176" s="73">
        <f>IF(B176="","",IF(J176=0,0,(BL176+CA176+CB176+CC176)/J176))</f>
      </c>
      <c r="CI176" s="73">
        <f>IF(B176="","",IF(J176=0,0,Q176/J176))</f>
      </c>
      <c r="CJ176" s="73">
        <f>IF(B176="","",IF(J176=0,0,CD176/J176))</f>
      </c>
      <c r="CK176" s="37">
        <f>IF(B176="","",Y176+AE176+BK176+BT176)</f>
      </c>
      <c r="CL176" s="37">
        <f>IF(B176="","",IF(J176=0,0,(M176+P176*G176/J176)*(1-Pct_Reclamaciones-Pct_Banco-Imp_Ventas_Serv-Contrib_Territorial)-AI176-BE176-BV176-CK176*G176/J176))</f>
      </c>
      <c r="CM176" s="37">
        <f>IF(B176="","",IF(J176=0,0,(N176+P176*H176/J176)*(1-Pct_Reclamaciones-Pct_Banco-Imp_Ventas_Serv-Contrib_Territorial)-AS176-BF176-BX176-CK176*H176/J176))</f>
      </c>
      <c r="CN176" s="37">
        <f>IF(B176="","",IF(J176=0,0,(O176+P176*I176/J176)*(1-Pct_Reclamaciones-Pct_Banco-Imp_Ventas_Serv-Contrib_Territorial)-BC176-BG176-BZ176-CK176*I176/J176))</f>
      </c>
      <c r="CO176" s="37">
        <f>IF(B176="","",IF(J176=0,0,ROUND(CD176-CL176-CM176-CN176,4)))</f>
      </c>
      <c r="CP176" s="71">
        <f>IF(B176="","",T176+AG176+AK176+AM176+AU176+AW176)</f>
      </c>
      <c r="CQ176" s="71">
        <f>IF(B176="","",U176+AH176+AL176+AN176+AV176+AX176)</f>
      </c>
      <c r="CR176" s="72">
        <f>IF(B176="","",IF(CP176=0,0,CQ176/CP176-1))</f>
      </c>
      <c r="CS176" s="60">
        <f>IF(B176="","",IF(ENTRADA!$Y176="","",ENTRADA!$Y176-C176))</f>
      </c>
      <c r="CT176" s="66">
        <f>IF(B176="","",IF(ENTRADA!$C176="","Falta fecha. ","")&amp;IF(BP176=0,"Mes fuera del rango de COSTOS_FIJOS. ","")&amp;IF(J176=0,"Sin kg. ","")&amp;IF(E176="","Falta transitaria. ","")&amp;IF(AND(T176&gt;0,U176/T176-1&gt;Tolerancia_Comb),"Combustible al puerto "&amp;TEXT(U176/T176-1,"+0%")&amp;" sobre norma. ","")&amp;IF(AND(AG176&gt;0,AH176/AG176-1&gt;Tolerancia_Comb),"Combustible distribución Occidente "&amp;TEXT(AH176/AG176-1,"+0%")&amp;" sobre norma. ","")&amp;IF(AND(AK176&gt;0,AL176/AK176-1&gt;Tolerancia_Comb),"Combustible traslado Centro "&amp;TEXT(AL176/AK176-1,"+0%")&amp;" sobre norma. ","")&amp;IF(AND(AM176&gt;0,AN176/AM176-1&gt;Tolerancia_Comb),"Combustible distribución Centro "&amp;TEXT(AN176/AM176-1,"+0%")&amp;" sobre norma. ","")&amp;IF(AND(AU176&gt;0,AV176/AU176-1&gt;Tolerancia_Comb),"Combustible traslado Oriente "&amp;TEXT(AV176/AU176-1,"+0%")&amp;" sobre norma. ","")&amp;IF(AND(AW176&gt;0,AX176/AW176-1&gt;Tolerancia_Comb),"Combustible distribución Oriente "&amp;TEXT(AX176/AW176-1,"+0%")&amp;" sobre norma. ","")&amp;IF(AND(ENTRADA!$C176&lt;&gt;"",C176&lt;PRECIOS!$A$6),"Fecha anterior a la 1ª vigencia de precios. ","")&amp;IF(CD176&lt;0,"Contenedor con pérdida. ",""))</f>
      </c>
    </row>
    <row r="177">
      <c r="A177" s="60">
        <f>IF(B177="","",ROW()-5)</f>
      </c>
      <c r="B177" s="63">
        <f>IF(ENTRADA!$B177="","",ENTRADA!$B177)</f>
      </c>
      <c r="C177" s="64">
        <f>IF(B177="","",ENTRADA!$C177)</f>
      </c>
      <c r="D177" s="65">
        <f>IF(B177="","",DATE(YEAR(C177),MONTH(C177),1))</f>
      </c>
      <c r="E177" s="66">
        <f>IF(B177="","",ENTRADA!$D177&amp;"")</f>
      </c>
      <c r="F177" s="66">
        <f>IF(B177="","",ENTRADA!$Z177&amp;"")</f>
      </c>
      <c r="G177" s="67">
        <f>IF(B177="","",N(ENTRADA!$G177))</f>
      </c>
      <c r="H177" s="67">
        <f>IF(B177="","",N(ENTRADA!$H177))</f>
      </c>
      <c r="I177" s="67">
        <f>IF(B177="","",N(ENTRADA!$I177))</f>
      </c>
      <c r="J177" s="68">
        <f>IF(B177="","",G177+H177+I177)</f>
      </c>
      <c r="K177" s="60">
        <f>IF(B177="","",IFERROR(MATCH(SUMPRODUCT(MAX((PRECIOS!$A$6:$A$55&lt;=C177)*PRECIOS!$A$6:$A$55)),PRECIOS!$A$6:$A$55,0),1))</f>
      </c>
      <c r="L177" s="69">
        <f>IF(B177="","",INDEX(PRECIOS!$A$6:$A$55,K177))</f>
      </c>
      <c r="M177" s="37">
        <f>IF(B177="","",G177*INDEX(PRECIOS!$B$6:$B$55,K177))</f>
      </c>
      <c r="N177" s="37">
        <f>IF(B177="","",H177*INDEX(PRECIOS!$C$6:$C$55,K177))</f>
      </c>
      <c r="O177" s="37">
        <f>IF(B177="","",I177*INDEX(PRECIOS!$D$6:$D$55,K177))</f>
      </c>
      <c r="P177" s="37">
        <f>IF(B177="","",N(ENTRADA!$X177))</f>
      </c>
      <c r="Q177" s="70">
        <f>IF(B177="","",M177+N177+O177+P177)</f>
      </c>
      <c r="R177" s="71">
        <f>IF(B177="","",IF(ENTRADA!$J177="",Std_Viajes_Puerto,ENTRADA!$J177))</f>
      </c>
      <c r="S177" s="37">
        <f>IF(B177="","",R177*INDEX(PRECIOS!$F$6:$F$55,K177))</f>
      </c>
      <c r="T177" s="71">
        <f>IF(B177="","",R177*Litros_Puerto_Viaje)</f>
      </c>
      <c r="U177" s="71">
        <f>IF(B177="","",IF(ENTRADA!$K177="",T177,ENTRADA!$K177))</f>
      </c>
      <c r="V177" s="37">
        <f>IF(B177="","",U177*INDEX(PRECIOS!$E$6:$E$55,K177))</f>
      </c>
      <c r="W177" s="37">
        <f>IF(B177="","",IF(ENTRADA!$L177="",R177*INDEX(PRECIOS!$G$6:$G$55,K177),ENTRADA!$L177))</f>
      </c>
      <c r="X177" s="37">
        <f>IF(B177="","",R177*Km_Puerto_Viaje*INDEX(PRECIOS!$N$6:$N$55,K177))</f>
      </c>
      <c r="Y177" s="70">
        <f>IF(B177="","",S177+V177+W177+X177)</f>
      </c>
      <c r="Z177" s="71">
        <f>IF(B177="","",IF(J177=0,0,ROUNDUP(J177/Rend_Desagrupe,0)))</f>
      </c>
      <c r="AA177" s="71">
        <f>IF(B177="","",IF(ENTRADA!$M177="",Z177,ENTRADA!$M177))</f>
      </c>
      <c r="AB177" s="37">
        <f>IF(B177="","",AA177*INDEX(PRECIOS!$H$6:$H$55,K177))</f>
      </c>
      <c r="AC177" s="37">
        <f>IF(B177="","",IF(E177="ENCI",INDEX(PRECIOS!$J$6:$J$55,K177),IF(E177="A.V",INDEX(PRECIOS!$K$6:$K$55,K177),0)))</f>
      </c>
      <c r="AD177" s="37">
        <f>IF(B177="","",N(ENTRADA!$N177))</f>
      </c>
      <c r="AE177" s="70">
        <f>IF(B177="","",AB177+AC177+AD177)</f>
      </c>
      <c r="AF177" s="71">
        <f>IF(B177="","",IF(G177=0,0,ROUNDUP(G177/Cap_Camion_OCC,0)))</f>
      </c>
      <c r="AG177" s="71">
        <f>IF(B177="","",AF177*L_Dist_OCC)</f>
      </c>
      <c r="AH177" s="71">
        <f>IF(B177="","",IF(ENTRADA!$O177="",AG177,ENTRADA!$O177))</f>
      </c>
      <c r="AI177" s="37">
        <f>IF(B177="","",AH177*INDEX(PRECIOS!$E$6:$E$55,K177))</f>
      </c>
      <c r="AJ177" s="71">
        <f>IF(B177="","",IF(H177=0,0,ROUNDUP(H177/Cap_Camion_CEN,0)))</f>
      </c>
      <c r="AK177" s="71">
        <f>IF(B177="","",AJ177*L_Tras_CEN)</f>
      </c>
      <c r="AL177" s="71">
        <f>IF(B177="","",IF(ENTRADA!$P177="",AK177,ENTRADA!$P177))</f>
      </c>
      <c r="AM177" s="71">
        <f>IF(B177="","",AJ177*L_Dist_CEN)</f>
      </c>
      <c r="AN177" s="71">
        <f>IF(B177="","",IF(ENTRADA!$Q177="",AM177,ENTRADA!$Q177))</f>
      </c>
      <c r="AO177" s="37">
        <f>IF(B177="","",(AL177+AN177)*INDEX(PRECIOS!$E$6:$E$55,K177))</f>
      </c>
      <c r="AP177" s="71">
        <f>IF(B177="","",IF(H177=0,0,ROUNDUP(H177/Rend_Desagrupe_CT,0)))</f>
      </c>
      <c r="AQ177" s="71">
        <f>IF(B177="","",IF(ENTRADA!$R177="",AP177,ENTRADA!$R177))</f>
      </c>
      <c r="AR177" s="37">
        <f>IF(B177="","",AQ177*INDEX(PRECIOS!$I$6:$I$55,K177))</f>
      </c>
      <c r="AS177" s="37">
        <f>IF(B177="","",AO177+AR177)</f>
      </c>
      <c r="AT177" s="71">
        <f>IF(B177="","",IF(I177=0,0,ROUNDUP(I177/Cap_Camion_ORI,0)))</f>
      </c>
      <c r="AU177" s="71">
        <f>IF(B177="","",AT177*L_Tras_ORI)</f>
      </c>
      <c r="AV177" s="71">
        <f>IF(B177="","",IF(ENTRADA!$S177="",AU177,ENTRADA!$S177))</f>
      </c>
      <c r="AW177" s="71">
        <f>IF(B177="","",AT177*L_Dist_ORI)</f>
      </c>
      <c r="AX177" s="71">
        <f>IF(B177="","",IF(ENTRADA!$T177="",AW177,ENTRADA!$T177))</f>
      </c>
      <c r="AY177" s="37">
        <f>IF(B177="","",(AV177+AX177)*INDEX(PRECIOS!$E$6:$E$55,K177))</f>
      </c>
      <c r="AZ177" s="71">
        <f>IF(B177="","",IF(I177=0,0,ROUNDUP(I177/Rend_Desagrupe_CT,0)))</f>
      </c>
      <c r="BA177" s="71">
        <f>IF(B177="","",IF(ENTRADA!$U177="",AZ177,ENTRADA!$U177))</f>
      </c>
      <c r="BB177" s="37">
        <f>IF(B177="","",BA177*INDEX(PRECIOS!$I$6:$I$55,K177))</f>
      </c>
      <c r="BC177" s="37">
        <f>IF(B177="","",AY177+BB177)</f>
      </c>
      <c r="BD177" s="70">
        <f>IF(B177="","",AI177+AS177+BC177)</f>
      </c>
      <c r="BE177" s="37">
        <f>IF(B177="","",IF(Base_Comision="% DEL INGRESO",M177*INDEX(PRECIOS!$L$6:$L$55,K177),G177*INDEX(PRECIOS!$M$6:$M$55,K177)))</f>
      </c>
      <c r="BF177" s="37">
        <f>IF(B177="","",IF(Base_Comision="% DEL INGRESO",N177*INDEX(PRECIOS!$L$6:$L$55,K177),H177*INDEX(PRECIOS!$M$6:$M$55,K177)))</f>
      </c>
      <c r="BG177" s="37">
        <f>IF(B177="","",IF(Base_Comision="% DEL INGRESO",O177*INDEX(PRECIOS!$L$6:$L$55,K177),I177*INDEX(PRECIOS!$M$6:$M$55,K177)))</f>
      </c>
      <c r="BH177" s="70">
        <f>IF(B177="","",BE177+BF177+BG177)</f>
      </c>
      <c r="BI177" s="37">
        <f>IF(B177="","",Q177*Pct_Reclamaciones)</f>
      </c>
      <c r="BJ177" s="37">
        <f>IF(B177="","",Q177*Pct_Banco)</f>
      </c>
      <c r="BK177" s="37">
        <f>IF(B177="","",N(ENTRADA!$V177))</f>
      </c>
      <c r="BL177" s="70">
        <f>IF(B177="","",Y177+AE177+BD177+BH177+BI177+BJ177+BK177)</f>
      </c>
      <c r="BM177" s="70">
        <f>IF(B177="","",Q177-BL177)</f>
      </c>
      <c r="BN177" s="72">
        <f>IF(B177="","",IF(Q177=0,0,BM177/Q177))</f>
      </c>
      <c r="BO177" s="73">
        <f>IF(B177="","",IF(J177=0,0,BM177/J177))</f>
      </c>
      <c r="BP177" s="60">
        <f>IF(B177="","",IFERROR(MATCH(D177,COSTOS_FIJOS!$G$5:$AD$5,0),0))</f>
      </c>
      <c r="BQ177" s="60">
        <f>IF(B177="","",COUNTIFS($D$6:$D$305,D177))</f>
      </c>
      <c r="BR177" s="67">
        <f>IF(B177="","",SUMIFS($J$6:$J$305,$D$6:$D$305,D177))</f>
      </c>
      <c r="BS177" s="72">
        <f>IF(B177="","",IF(Metodo_Prorrateo="KG",IF(BR177=0,0,J177/BR177),1/BQ177))</f>
      </c>
      <c r="BT177" s="37">
        <f>IF(B177="","",IF(BP177=0,0,INDEX(COSTOS_FIJOS!$G$38:$AD$38,BP177))*BS177)</f>
      </c>
      <c r="BU177" s="72">
        <f>IF(B177="","",IF(Metodo_Prorrateo="KG",IF(SUMIFS($G$6:$G$305,$D$6:$D$305,D177)=0,0,G177/SUMIFS($G$6:$G$305,$D$6:$D$305,D177)),IF(G177&gt;0,1/COUNTIFS($D$6:$D$305,D177,$G$6:$G$305,"&gt;0"),0)))</f>
      </c>
      <c r="BV177" s="37">
        <f>IF(B177="","",IF(BP177=0,0,INDEX(COSTOS_FIJOS!$G$39:$AD$39,BP177))*BU177)</f>
      </c>
      <c r="BW177" s="72">
        <f>IF(B177="","",IF(Metodo_Prorrateo="KG",IF(SUMIFS($H$6:$H$305,$D$6:$D$305,D177)=0,0,H177/SUMIFS($H$6:$H$305,$D$6:$D$305,D177)),IF(H177&gt;0,1/COUNTIFS($D$6:$D$305,D177,$H$6:$H$305,"&gt;0"),0)))</f>
      </c>
      <c r="BX177" s="37">
        <f>IF(B177="","",IF(BP177=0,0,INDEX(COSTOS_FIJOS!$G$40:$AD$40,BP177))*BW177)</f>
      </c>
      <c r="BY177" s="72">
        <f>IF(B177="","",IF(Metodo_Prorrateo="KG",IF(SUMIFS($I$6:$I$305,$D$6:$D$305,D177)=0,0,I177/SUMIFS($I$6:$I$305,$D$6:$D$305,D177)),IF(I177&gt;0,1/COUNTIFS($D$6:$D$305,D177,$I$6:$I$305,"&gt;0"),0)))</f>
      </c>
      <c r="BZ177" s="37">
        <f>IF(B177="","",IF(BP177=0,0,INDEX(COSTOS_FIJOS!$G$41:$AD$41,BP177))*BY177)</f>
      </c>
      <c r="CA177" s="70">
        <f>IF(B177="","",BT177+BV177+BX177+BZ177)</f>
      </c>
      <c r="CB177" s="37">
        <f>IF(B177="","",Q177*Imp_Ventas_Serv)</f>
      </c>
      <c r="CC177" s="37">
        <f>IF(B177="","",Q177*Contrib_Territorial)</f>
      </c>
      <c r="CD177" s="70">
        <f>IF(B177="","",BM177-CA177-CB177-CC177)</f>
      </c>
      <c r="CE177" s="37">
        <f>IF(B177="","",MAX(0,CD177)*Imp_Utilidades)</f>
      </c>
      <c r="CF177" s="70">
        <f>IF(B177="","",CD177-CE177)</f>
      </c>
      <c r="CG177" s="72">
        <f>IF(B177="","",IF(Q177=0,0,CF177/Q177))</f>
      </c>
      <c r="CH177" s="73">
        <f>IF(B177="","",IF(J177=0,0,(BL177+CA177+CB177+CC177)/J177))</f>
      </c>
      <c r="CI177" s="73">
        <f>IF(B177="","",IF(J177=0,0,Q177/J177))</f>
      </c>
      <c r="CJ177" s="73">
        <f>IF(B177="","",IF(J177=0,0,CD177/J177))</f>
      </c>
      <c r="CK177" s="37">
        <f>IF(B177="","",Y177+AE177+BK177+BT177)</f>
      </c>
      <c r="CL177" s="37">
        <f>IF(B177="","",IF(J177=0,0,(M177+P177*G177/J177)*(1-Pct_Reclamaciones-Pct_Banco-Imp_Ventas_Serv-Contrib_Territorial)-AI177-BE177-BV177-CK177*G177/J177))</f>
      </c>
      <c r="CM177" s="37">
        <f>IF(B177="","",IF(J177=0,0,(N177+P177*H177/J177)*(1-Pct_Reclamaciones-Pct_Banco-Imp_Ventas_Serv-Contrib_Territorial)-AS177-BF177-BX177-CK177*H177/J177))</f>
      </c>
      <c r="CN177" s="37">
        <f>IF(B177="","",IF(J177=0,0,(O177+P177*I177/J177)*(1-Pct_Reclamaciones-Pct_Banco-Imp_Ventas_Serv-Contrib_Territorial)-BC177-BG177-BZ177-CK177*I177/J177))</f>
      </c>
      <c r="CO177" s="37">
        <f>IF(B177="","",IF(J177=0,0,ROUND(CD177-CL177-CM177-CN177,4)))</f>
      </c>
      <c r="CP177" s="71">
        <f>IF(B177="","",T177+AG177+AK177+AM177+AU177+AW177)</f>
      </c>
      <c r="CQ177" s="71">
        <f>IF(B177="","",U177+AH177+AL177+AN177+AV177+AX177)</f>
      </c>
      <c r="CR177" s="72">
        <f>IF(B177="","",IF(CP177=0,0,CQ177/CP177-1))</f>
      </c>
      <c r="CS177" s="60">
        <f>IF(B177="","",IF(ENTRADA!$Y177="","",ENTRADA!$Y177-C177))</f>
      </c>
      <c r="CT177" s="66">
        <f>IF(B177="","",IF(ENTRADA!$C177="","Falta fecha. ","")&amp;IF(BP177=0,"Mes fuera del rango de COSTOS_FIJOS. ","")&amp;IF(J177=0,"Sin kg. ","")&amp;IF(E177="","Falta transitaria. ","")&amp;IF(AND(T177&gt;0,U177/T177-1&gt;Tolerancia_Comb),"Combustible al puerto "&amp;TEXT(U177/T177-1,"+0%")&amp;" sobre norma. ","")&amp;IF(AND(AG177&gt;0,AH177/AG177-1&gt;Tolerancia_Comb),"Combustible distribución Occidente "&amp;TEXT(AH177/AG177-1,"+0%")&amp;" sobre norma. ","")&amp;IF(AND(AK177&gt;0,AL177/AK177-1&gt;Tolerancia_Comb),"Combustible traslado Centro "&amp;TEXT(AL177/AK177-1,"+0%")&amp;" sobre norma. ","")&amp;IF(AND(AM177&gt;0,AN177/AM177-1&gt;Tolerancia_Comb),"Combustible distribución Centro "&amp;TEXT(AN177/AM177-1,"+0%")&amp;" sobre norma. ","")&amp;IF(AND(AU177&gt;0,AV177/AU177-1&gt;Tolerancia_Comb),"Combustible traslado Oriente "&amp;TEXT(AV177/AU177-1,"+0%")&amp;" sobre norma. ","")&amp;IF(AND(AW177&gt;0,AX177/AW177-1&gt;Tolerancia_Comb),"Combustible distribución Oriente "&amp;TEXT(AX177/AW177-1,"+0%")&amp;" sobre norma. ","")&amp;IF(AND(ENTRADA!$C177&lt;&gt;"",C177&lt;PRECIOS!$A$6),"Fecha anterior a la 1ª vigencia de precios. ","")&amp;IF(CD177&lt;0,"Contenedor con pérdida. ",""))</f>
      </c>
    </row>
    <row r="178">
      <c r="A178" s="60">
        <f>IF(B178="","",ROW()-5)</f>
      </c>
      <c r="B178" s="63">
        <f>IF(ENTRADA!$B178="","",ENTRADA!$B178)</f>
      </c>
      <c r="C178" s="64">
        <f>IF(B178="","",ENTRADA!$C178)</f>
      </c>
      <c r="D178" s="65">
        <f>IF(B178="","",DATE(YEAR(C178),MONTH(C178),1))</f>
      </c>
      <c r="E178" s="66">
        <f>IF(B178="","",ENTRADA!$D178&amp;"")</f>
      </c>
      <c r="F178" s="66">
        <f>IF(B178="","",ENTRADA!$Z178&amp;"")</f>
      </c>
      <c r="G178" s="67">
        <f>IF(B178="","",N(ENTRADA!$G178))</f>
      </c>
      <c r="H178" s="67">
        <f>IF(B178="","",N(ENTRADA!$H178))</f>
      </c>
      <c r="I178" s="67">
        <f>IF(B178="","",N(ENTRADA!$I178))</f>
      </c>
      <c r="J178" s="68">
        <f>IF(B178="","",G178+H178+I178)</f>
      </c>
      <c r="K178" s="60">
        <f>IF(B178="","",IFERROR(MATCH(SUMPRODUCT(MAX((PRECIOS!$A$6:$A$55&lt;=C178)*PRECIOS!$A$6:$A$55)),PRECIOS!$A$6:$A$55,0),1))</f>
      </c>
      <c r="L178" s="69">
        <f>IF(B178="","",INDEX(PRECIOS!$A$6:$A$55,K178))</f>
      </c>
      <c r="M178" s="37">
        <f>IF(B178="","",G178*INDEX(PRECIOS!$B$6:$B$55,K178))</f>
      </c>
      <c r="N178" s="37">
        <f>IF(B178="","",H178*INDEX(PRECIOS!$C$6:$C$55,K178))</f>
      </c>
      <c r="O178" s="37">
        <f>IF(B178="","",I178*INDEX(PRECIOS!$D$6:$D$55,K178))</f>
      </c>
      <c r="P178" s="37">
        <f>IF(B178="","",N(ENTRADA!$X178))</f>
      </c>
      <c r="Q178" s="70">
        <f>IF(B178="","",M178+N178+O178+P178)</f>
      </c>
      <c r="R178" s="71">
        <f>IF(B178="","",IF(ENTRADA!$J178="",Std_Viajes_Puerto,ENTRADA!$J178))</f>
      </c>
      <c r="S178" s="37">
        <f>IF(B178="","",R178*INDEX(PRECIOS!$F$6:$F$55,K178))</f>
      </c>
      <c r="T178" s="71">
        <f>IF(B178="","",R178*Litros_Puerto_Viaje)</f>
      </c>
      <c r="U178" s="71">
        <f>IF(B178="","",IF(ENTRADA!$K178="",T178,ENTRADA!$K178))</f>
      </c>
      <c r="V178" s="37">
        <f>IF(B178="","",U178*INDEX(PRECIOS!$E$6:$E$55,K178))</f>
      </c>
      <c r="W178" s="37">
        <f>IF(B178="","",IF(ENTRADA!$L178="",R178*INDEX(PRECIOS!$G$6:$G$55,K178),ENTRADA!$L178))</f>
      </c>
      <c r="X178" s="37">
        <f>IF(B178="","",R178*Km_Puerto_Viaje*INDEX(PRECIOS!$N$6:$N$55,K178))</f>
      </c>
      <c r="Y178" s="70">
        <f>IF(B178="","",S178+V178+W178+X178)</f>
      </c>
      <c r="Z178" s="71">
        <f>IF(B178="","",IF(J178=0,0,ROUNDUP(J178/Rend_Desagrupe,0)))</f>
      </c>
      <c r="AA178" s="71">
        <f>IF(B178="","",IF(ENTRADA!$M178="",Z178,ENTRADA!$M178))</f>
      </c>
      <c r="AB178" s="37">
        <f>IF(B178="","",AA178*INDEX(PRECIOS!$H$6:$H$55,K178))</f>
      </c>
      <c r="AC178" s="37">
        <f>IF(B178="","",IF(E178="ENCI",INDEX(PRECIOS!$J$6:$J$55,K178),IF(E178="A.V",INDEX(PRECIOS!$K$6:$K$55,K178),0)))</f>
      </c>
      <c r="AD178" s="37">
        <f>IF(B178="","",N(ENTRADA!$N178))</f>
      </c>
      <c r="AE178" s="70">
        <f>IF(B178="","",AB178+AC178+AD178)</f>
      </c>
      <c r="AF178" s="71">
        <f>IF(B178="","",IF(G178=0,0,ROUNDUP(G178/Cap_Camion_OCC,0)))</f>
      </c>
      <c r="AG178" s="71">
        <f>IF(B178="","",AF178*L_Dist_OCC)</f>
      </c>
      <c r="AH178" s="71">
        <f>IF(B178="","",IF(ENTRADA!$O178="",AG178,ENTRADA!$O178))</f>
      </c>
      <c r="AI178" s="37">
        <f>IF(B178="","",AH178*INDEX(PRECIOS!$E$6:$E$55,K178))</f>
      </c>
      <c r="AJ178" s="71">
        <f>IF(B178="","",IF(H178=0,0,ROUNDUP(H178/Cap_Camion_CEN,0)))</f>
      </c>
      <c r="AK178" s="71">
        <f>IF(B178="","",AJ178*L_Tras_CEN)</f>
      </c>
      <c r="AL178" s="71">
        <f>IF(B178="","",IF(ENTRADA!$P178="",AK178,ENTRADA!$P178))</f>
      </c>
      <c r="AM178" s="71">
        <f>IF(B178="","",AJ178*L_Dist_CEN)</f>
      </c>
      <c r="AN178" s="71">
        <f>IF(B178="","",IF(ENTRADA!$Q178="",AM178,ENTRADA!$Q178))</f>
      </c>
      <c r="AO178" s="37">
        <f>IF(B178="","",(AL178+AN178)*INDEX(PRECIOS!$E$6:$E$55,K178))</f>
      </c>
      <c r="AP178" s="71">
        <f>IF(B178="","",IF(H178=0,0,ROUNDUP(H178/Rend_Desagrupe_CT,0)))</f>
      </c>
      <c r="AQ178" s="71">
        <f>IF(B178="","",IF(ENTRADA!$R178="",AP178,ENTRADA!$R178))</f>
      </c>
      <c r="AR178" s="37">
        <f>IF(B178="","",AQ178*INDEX(PRECIOS!$I$6:$I$55,K178))</f>
      </c>
      <c r="AS178" s="37">
        <f>IF(B178="","",AO178+AR178)</f>
      </c>
      <c r="AT178" s="71">
        <f>IF(B178="","",IF(I178=0,0,ROUNDUP(I178/Cap_Camion_ORI,0)))</f>
      </c>
      <c r="AU178" s="71">
        <f>IF(B178="","",AT178*L_Tras_ORI)</f>
      </c>
      <c r="AV178" s="71">
        <f>IF(B178="","",IF(ENTRADA!$S178="",AU178,ENTRADA!$S178))</f>
      </c>
      <c r="AW178" s="71">
        <f>IF(B178="","",AT178*L_Dist_ORI)</f>
      </c>
      <c r="AX178" s="71">
        <f>IF(B178="","",IF(ENTRADA!$T178="",AW178,ENTRADA!$T178))</f>
      </c>
      <c r="AY178" s="37">
        <f>IF(B178="","",(AV178+AX178)*INDEX(PRECIOS!$E$6:$E$55,K178))</f>
      </c>
      <c r="AZ178" s="71">
        <f>IF(B178="","",IF(I178=0,0,ROUNDUP(I178/Rend_Desagrupe_CT,0)))</f>
      </c>
      <c r="BA178" s="71">
        <f>IF(B178="","",IF(ENTRADA!$U178="",AZ178,ENTRADA!$U178))</f>
      </c>
      <c r="BB178" s="37">
        <f>IF(B178="","",BA178*INDEX(PRECIOS!$I$6:$I$55,K178))</f>
      </c>
      <c r="BC178" s="37">
        <f>IF(B178="","",AY178+BB178)</f>
      </c>
      <c r="BD178" s="70">
        <f>IF(B178="","",AI178+AS178+BC178)</f>
      </c>
      <c r="BE178" s="37">
        <f>IF(B178="","",IF(Base_Comision="% DEL INGRESO",M178*INDEX(PRECIOS!$L$6:$L$55,K178),G178*INDEX(PRECIOS!$M$6:$M$55,K178)))</f>
      </c>
      <c r="BF178" s="37">
        <f>IF(B178="","",IF(Base_Comision="% DEL INGRESO",N178*INDEX(PRECIOS!$L$6:$L$55,K178),H178*INDEX(PRECIOS!$M$6:$M$55,K178)))</f>
      </c>
      <c r="BG178" s="37">
        <f>IF(B178="","",IF(Base_Comision="% DEL INGRESO",O178*INDEX(PRECIOS!$L$6:$L$55,K178),I178*INDEX(PRECIOS!$M$6:$M$55,K178)))</f>
      </c>
      <c r="BH178" s="70">
        <f>IF(B178="","",BE178+BF178+BG178)</f>
      </c>
      <c r="BI178" s="37">
        <f>IF(B178="","",Q178*Pct_Reclamaciones)</f>
      </c>
      <c r="BJ178" s="37">
        <f>IF(B178="","",Q178*Pct_Banco)</f>
      </c>
      <c r="BK178" s="37">
        <f>IF(B178="","",N(ENTRADA!$V178))</f>
      </c>
      <c r="BL178" s="70">
        <f>IF(B178="","",Y178+AE178+BD178+BH178+BI178+BJ178+BK178)</f>
      </c>
      <c r="BM178" s="70">
        <f>IF(B178="","",Q178-BL178)</f>
      </c>
      <c r="BN178" s="72">
        <f>IF(B178="","",IF(Q178=0,0,BM178/Q178))</f>
      </c>
      <c r="BO178" s="73">
        <f>IF(B178="","",IF(J178=0,0,BM178/J178))</f>
      </c>
      <c r="BP178" s="60">
        <f>IF(B178="","",IFERROR(MATCH(D178,COSTOS_FIJOS!$G$5:$AD$5,0),0))</f>
      </c>
      <c r="BQ178" s="60">
        <f>IF(B178="","",COUNTIFS($D$6:$D$305,D178))</f>
      </c>
      <c r="BR178" s="67">
        <f>IF(B178="","",SUMIFS($J$6:$J$305,$D$6:$D$305,D178))</f>
      </c>
      <c r="BS178" s="72">
        <f>IF(B178="","",IF(Metodo_Prorrateo="KG",IF(BR178=0,0,J178/BR178),1/BQ178))</f>
      </c>
      <c r="BT178" s="37">
        <f>IF(B178="","",IF(BP178=0,0,INDEX(COSTOS_FIJOS!$G$38:$AD$38,BP178))*BS178)</f>
      </c>
      <c r="BU178" s="72">
        <f>IF(B178="","",IF(Metodo_Prorrateo="KG",IF(SUMIFS($G$6:$G$305,$D$6:$D$305,D178)=0,0,G178/SUMIFS($G$6:$G$305,$D$6:$D$305,D178)),IF(G178&gt;0,1/COUNTIFS($D$6:$D$305,D178,$G$6:$G$305,"&gt;0"),0)))</f>
      </c>
      <c r="BV178" s="37">
        <f>IF(B178="","",IF(BP178=0,0,INDEX(COSTOS_FIJOS!$G$39:$AD$39,BP178))*BU178)</f>
      </c>
      <c r="BW178" s="72">
        <f>IF(B178="","",IF(Metodo_Prorrateo="KG",IF(SUMIFS($H$6:$H$305,$D$6:$D$305,D178)=0,0,H178/SUMIFS($H$6:$H$305,$D$6:$D$305,D178)),IF(H178&gt;0,1/COUNTIFS($D$6:$D$305,D178,$H$6:$H$305,"&gt;0"),0)))</f>
      </c>
      <c r="BX178" s="37">
        <f>IF(B178="","",IF(BP178=0,0,INDEX(COSTOS_FIJOS!$G$40:$AD$40,BP178))*BW178)</f>
      </c>
      <c r="BY178" s="72">
        <f>IF(B178="","",IF(Metodo_Prorrateo="KG",IF(SUMIFS($I$6:$I$305,$D$6:$D$305,D178)=0,0,I178/SUMIFS($I$6:$I$305,$D$6:$D$305,D178)),IF(I178&gt;0,1/COUNTIFS($D$6:$D$305,D178,$I$6:$I$305,"&gt;0"),0)))</f>
      </c>
      <c r="BZ178" s="37">
        <f>IF(B178="","",IF(BP178=0,0,INDEX(COSTOS_FIJOS!$G$41:$AD$41,BP178))*BY178)</f>
      </c>
      <c r="CA178" s="70">
        <f>IF(B178="","",BT178+BV178+BX178+BZ178)</f>
      </c>
      <c r="CB178" s="37">
        <f>IF(B178="","",Q178*Imp_Ventas_Serv)</f>
      </c>
      <c r="CC178" s="37">
        <f>IF(B178="","",Q178*Contrib_Territorial)</f>
      </c>
      <c r="CD178" s="70">
        <f>IF(B178="","",BM178-CA178-CB178-CC178)</f>
      </c>
      <c r="CE178" s="37">
        <f>IF(B178="","",MAX(0,CD178)*Imp_Utilidades)</f>
      </c>
      <c r="CF178" s="70">
        <f>IF(B178="","",CD178-CE178)</f>
      </c>
      <c r="CG178" s="72">
        <f>IF(B178="","",IF(Q178=0,0,CF178/Q178))</f>
      </c>
      <c r="CH178" s="73">
        <f>IF(B178="","",IF(J178=0,0,(BL178+CA178+CB178+CC178)/J178))</f>
      </c>
      <c r="CI178" s="73">
        <f>IF(B178="","",IF(J178=0,0,Q178/J178))</f>
      </c>
      <c r="CJ178" s="73">
        <f>IF(B178="","",IF(J178=0,0,CD178/J178))</f>
      </c>
      <c r="CK178" s="37">
        <f>IF(B178="","",Y178+AE178+BK178+BT178)</f>
      </c>
      <c r="CL178" s="37">
        <f>IF(B178="","",IF(J178=0,0,(M178+P178*G178/J178)*(1-Pct_Reclamaciones-Pct_Banco-Imp_Ventas_Serv-Contrib_Territorial)-AI178-BE178-BV178-CK178*G178/J178))</f>
      </c>
      <c r="CM178" s="37">
        <f>IF(B178="","",IF(J178=0,0,(N178+P178*H178/J178)*(1-Pct_Reclamaciones-Pct_Banco-Imp_Ventas_Serv-Contrib_Territorial)-AS178-BF178-BX178-CK178*H178/J178))</f>
      </c>
      <c r="CN178" s="37">
        <f>IF(B178="","",IF(J178=0,0,(O178+P178*I178/J178)*(1-Pct_Reclamaciones-Pct_Banco-Imp_Ventas_Serv-Contrib_Territorial)-BC178-BG178-BZ178-CK178*I178/J178))</f>
      </c>
      <c r="CO178" s="37">
        <f>IF(B178="","",IF(J178=0,0,ROUND(CD178-CL178-CM178-CN178,4)))</f>
      </c>
      <c r="CP178" s="71">
        <f>IF(B178="","",T178+AG178+AK178+AM178+AU178+AW178)</f>
      </c>
      <c r="CQ178" s="71">
        <f>IF(B178="","",U178+AH178+AL178+AN178+AV178+AX178)</f>
      </c>
      <c r="CR178" s="72">
        <f>IF(B178="","",IF(CP178=0,0,CQ178/CP178-1))</f>
      </c>
      <c r="CS178" s="60">
        <f>IF(B178="","",IF(ENTRADA!$Y178="","",ENTRADA!$Y178-C178))</f>
      </c>
      <c r="CT178" s="66">
        <f>IF(B178="","",IF(ENTRADA!$C178="","Falta fecha. ","")&amp;IF(BP178=0,"Mes fuera del rango de COSTOS_FIJOS. ","")&amp;IF(J178=0,"Sin kg. ","")&amp;IF(E178="","Falta transitaria. ","")&amp;IF(AND(T178&gt;0,U178/T178-1&gt;Tolerancia_Comb),"Combustible al puerto "&amp;TEXT(U178/T178-1,"+0%")&amp;" sobre norma. ","")&amp;IF(AND(AG178&gt;0,AH178/AG178-1&gt;Tolerancia_Comb),"Combustible distribución Occidente "&amp;TEXT(AH178/AG178-1,"+0%")&amp;" sobre norma. ","")&amp;IF(AND(AK178&gt;0,AL178/AK178-1&gt;Tolerancia_Comb),"Combustible traslado Centro "&amp;TEXT(AL178/AK178-1,"+0%")&amp;" sobre norma. ","")&amp;IF(AND(AM178&gt;0,AN178/AM178-1&gt;Tolerancia_Comb),"Combustible distribución Centro "&amp;TEXT(AN178/AM178-1,"+0%")&amp;" sobre norma. ","")&amp;IF(AND(AU178&gt;0,AV178/AU178-1&gt;Tolerancia_Comb),"Combustible traslado Oriente "&amp;TEXT(AV178/AU178-1,"+0%")&amp;" sobre norma. ","")&amp;IF(AND(AW178&gt;0,AX178/AW178-1&gt;Tolerancia_Comb),"Combustible distribución Oriente "&amp;TEXT(AX178/AW178-1,"+0%")&amp;" sobre norma. ","")&amp;IF(AND(ENTRADA!$C178&lt;&gt;"",C178&lt;PRECIOS!$A$6),"Fecha anterior a la 1ª vigencia de precios. ","")&amp;IF(CD178&lt;0,"Contenedor con pérdida. ",""))</f>
      </c>
    </row>
    <row r="179">
      <c r="A179" s="60">
        <f>IF(B179="","",ROW()-5)</f>
      </c>
      <c r="B179" s="63">
        <f>IF(ENTRADA!$B179="","",ENTRADA!$B179)</f>
      </c>
      <c r="C179" s="64">
        <f>IF(B179="","",ENTRADA!$C179)</f>
      </c>
      <c r="D179" s="65">
        <f>IF(B179="","",DATE(YEAR(C179),MONTH(C179),1))</f>
      </c>
      <c r="E179" s="66">
        <f>IF(B179="","",ENTRADA!$D179&amp;"")</f>
      </c>
      <c r="F179" s="66">
        <f>IF(B179="","",ENTRADA!$Z179&amp;"")</f>
      </c>
      <c r="G179" s="67">
        <f>IF(B179="","",N(ENTRADA!$G179))</f>
      </c>
      <c r="H179" s="67">
        <f>IF(B179="","",N(ENTRADA!$H179))</f>
      </c>
      <c r="I179" s="67">
        <f>IF(B179="","",N(ENTRADA!$I179))</f>
      </c>
      <c r="J179" s="68">
        <f>IF(B179="","",G179+H179+I179)</f>
      </c>
      <c r="K179" s="60">
        <f>IF(B179="","",IFERROR(MATCH(SUMPRODUCT(MAX((PRECIOS!$A$6:$A$55&lt;=C179)*PRECIOS!$A$6:$A$55)),PRECIOS!$A$6:$A$55,0),1))</f>
      </c>
      <c r="L179" s="69">
        <f>IF(B179="","",INDEX(PRECIOS!$A$6:$A$55,K179))</f>
      </c>
      <c r="M179" s="37">
        <f>IF(B179="","",G179*INDEX(PRECIOS!$B$6:$B$55,K179))</f>
      </c>
      <c r="N179" s="37">
        <f>IF(B179="","",H179*INDEX(PRECIOS!$C$6:$C$55,K179))</f>
      </c>
      <c r="O179" s="37">
        <f>IF(B179="","",I179*INDEX(PRECIOS!$D$6:$D$55,K179))</f>
      </c>
      <c r="P179" s="37">
        <f>IF(B179="","",N(ENTRADA!$X179))</f>
      </c>
      <c r="Q179" s="70">
        <f>IF(B179="","",M179+N179+O179+P179)</f>
      </c>
      <c r="R179" s="71">
        <f>IF(B179="","",IF(ENTRADA!$J179="",Std_Viajes_Puerto,ENTRADA!$J179))</f>
      </c>
      <c r="S179" s="37">
        <f>IF(B179="","",R179*INDEX(PRECIOS!$F$6:$F$55,K179))</f>
      </c>
      <c r="T179" s="71">
        <f>IF(B179="","",R179*Litros_Puerto_Viaje)</f>
      </c>
      <c r="U179" s="71">
        <f>IF(B179="","",IF(ENTRADA!$K179="",T179,ENTRADA!$K179))</f>
      </c>
      <c r="V179" s="37">
        <f>IF(B179="","",U179*INDEX(PRECIOS!$E$6:$E$55,K179))</f>
      </c>
      <c r="W179" s="37">
        <f>IF(B179="","",IF(ENTRADA!$L179="",R179*INDEX(PRECIOS!$G$6:$G$55,K179),ENTRADA!$L179))</f>
      </c>
      <c r="X179" s="37">
        <f>IF(B179="","",R179*Km_Puerto_Viaje*INDEX(PRECIOS!$N$6:$N$55,K179))</f>
      </c>
      <c r="Y179" s="70">
        <f>IF(B179="","",S179+V179+W179+X179)</f>
      </c>
      <c r="Z179" s="71">
        <f>IF(B179="","",IF(J179=0,0,ROUNDUP(J179/Rend_Desagrupe,0)))</f>
      </c>
      <c r="AA179" s="71">
        <f>IF(B179="","",IF(ENTRADA!$M179="",Z179,ENTRADA!$M179))</f>
      </c>
      <c r="AB179" s="37">
        <f>IF(B179="","",AA179*INDEX(PRECIOS!$H$6:$H$55,K179))</f>
      </c>
      <c r="AC179" s="37">
        <f>IF(B179="","",IF(E179="ENCI",INDEX(PRECIOS!$J$6:$J$55,K179),IF(E179="A.V",INDEX(PRECIOS!$K$6:$K$55,K179),0)))</f>
      </c>
      <c r="AD179" s="37">
        <f>IF(B179="","",N(ENTRADA!$N179))</f>
      </c>
      <c r="AE179" s="70">
        <f>IF(B179="","",AB179+AC179+AD179)</f>
      </c>
      <c r="AF179" s="71">
        <f>IF(B179="","",IF(G179=0,0,ROUNDUP(G179/Cap_Camion_OCC,0)))</f>
      </c>
      <c r="AG179" s="71">
        <f>IF(B179="","",AF179*L_Dist_OCC)</f>
      </c>
      <c r="AH179" s="71">
        <f>IF(B179="","",IF(ENTRADA!$O179="",AG179,ENTRADA!$O179))</f>
      </c>
      <c r="AI179" s="37">
        <f>IF(B179="","",AH179*INDEX(PRECIOS!$E$6:$E$55,K179))</f>
      </c>
      <c r="AJ179" s="71">
        <f>IF(B179="","",IF(H179=0,0,ROUNDUP(H179/Cap_Camion_CEN,0)))</f>
      </c>
      <c r="AK179" s="71">
        <f>IF(B179="","",AJ179*L_Tras_CEN)</f>
      </c>
      <c r="AL179" s="71">
        <f>IF(B179="","",IF(ENTRADA!$P179="",AK179,ENTRADA!$P179))</f>
      </c>
      <c r="AM179" s="71">
        <f>IF(B179="","",AJ179*L_Dist_CEN)</f>
      </c>
      <c r="AN179" s="71">
        <f>IF(B179="","",IF(ENTRADA!$Q179="",AM179,ENTRADA!$Q179))</f>
      </c>
      <c r="AO179" s="37">
        <f>IF(B179="","",(AL179+AN179)*INDEX(PRECIOS!$E$6:$E$55,K179))</f>
      </c>
      <c r="AP179" s="71">
        <f>IF(B179="","",IF(H179=0,0,ROUNDUP(H179/Rend_Desagrupe_CT,0)))</f>
      </c>
      <c r="AQ179" s="71">
        <f>IF(B179="","",IF(ENTRADA!$R179="",AP179,ENTRADA!$R179))</f>
      </c>
      <c r="AR179" s="37">
        <f>IF(B179="","",AQ179*INDEX(PRECIOS!$I$6:$I$55,K179))</f>
      </c>
      <c r="AS179" s="37">
        <f>IF(B179="","",AO179+AR179)</f>
      </c>
      <c r="AT179" s="71">
        <f>IF(B179="","",IF(I179=0,0,ROUNDUP(I179/Cap_Camion_ORI,0)))</f>
      </c>
      <c r="AU179" s="71">
        <f>IF(B179="","",AT179*L_Tras_ORI)</f>
      </c>
      <c r="AV179" s="71">
        <f>IF(B179="","",IF(ENTRADA!$S179="",AU179,ENTRADA!$S179))</f>
      </c>
      <c r="AW179" s="71">
        <f>IF(B179="","",AT179*L_Dist_ORI)</f>
      </c>
      <c r="AX179" s="71">
        <f>IF(B179="","",IF(ENTRADA!$T179="",AW179,ENTRADA!$T179))</f>
      </c>
      <c r="AY179" s="37">
        <f>IF(B179="","",(AV179+AX179)*INDEX(PRECIOS!$E$6:$E$55,K179))</f>
      </c>
      <c r="AZ179" s="71">
        <f>IF(B179="","",IF(I179=0,0,ROUNDUP(I179/Rend_Desagrupe_CT,0)))</f>
      </c>
      <c r="BA179" s="71">
        <f>IF(B179="","",IF(ENTRADA!$U179="",AZ179,ENTRADA!$U179))</f>
      </c>
      <c r="BB179" s="37">
        <f>IF(B179="","",BA179*INDEX(PRECIOS!$I$6:$I$55,K179))</f>
      </c>
      <c r="BC179" s="37">
        <f>IF(B179="","",AY179+BB179)</f>
      </c>
      <c r="BD179" s="70">
        <f>IF(B179="","",AI179+AS179+BC179)</f>
      </c>
      <c r="BE179" s="37">
        <f>IF(B179="","",IF(Base_Comision="% DEL INGRESO",M179*INDEX(PRECIOS!$L$6:$L$55,K179),G179*INDEX(PRECIOS!$M$6:$M$55,K179)))</f>
      </c>
      <c r="BF179" s="37">
        <f>IF(B179="","",IF(Base_Comision="% DEL INGRESO",N179*INDEX(PRECIOS!$L$6:$L$55,K179),H179*INDEX(PRECIOS!$M$6:$M$55,K179)))</f>
      </c>
      <c r="BG179" s="37">
        <f>IF(B179="","",IF(Base_Comision="% DEL INGRESO",O179*INDEX(PRECIOS!$L$6:$L$55,K179),I179*INDEX(PRECIOS!$M$6:$M$55,K179)))</f>
      </c>
      <c r="BH179" s="70">
        <f>IF(B179="","",BE179+BF179+BG179)</f>
      </c>
      <c r="BI179" s="37">
        <f>IF(B179="","",Q179*Pct_Reclamaciones)</f>
      </c>
      <c r="BJ179" s="37">
        <f>IF(B179="","",Q179*Pct_Banco)</f>
      </c>
      <c r="BK179" s="37">
        <f>IF(B179="","",N(ENTRADA!$V179))</f>
      </c>
      <c r="BL179" s="70">
        <f>IF(B179="","",Y179+AE179+BD179+BH179+BI179+BJ179+BK179)</f>
      </c>
      <c r="BM179" s="70">
        <f>IF(B179="","",Q179-BL179)</f>
      </c>
      <c r="BN179" s="72">
        <f>IF(B179="","",IF(Q179=0,0,BM179/Q179))</f>
      </c>
      <c r="BO179" s="73">
        <f>IF(B179="","",IF(J179=0,0,BM179/J179))</f>
      </c>
      <c r="BP179" s="60">
        <f>IF(B179="","",IFERROR(MATCH(D179,COSTOS_FIJOS!$G$5:$AD$5,0),0))</f>
      </c>
      <c r="BQ179" s="60">
        <f>IF(B179="","",COUNTIFS($D$6:$D$305,D179))</f>
      </c>
      <c r="BR179" s="67">
        <f>IF(B179="","",SUMIFS($J$6:$J$305,$D$6:$D$305,D179))</f>
      </c>
      <c r="BS179" s="72">
        <f>IF(B179="","",IF(Metodo_Prorrateo="KG",IF(BR179=0,0,J179/BR179),1/BQ179))</f>
      </c>
      <c r="BT179" s="37">
        <f>IF(B179="","",IF(BP179=0,0,INDEX(COSTOS_FIJOS!$G$38:$AD$38,BP179))*BS179)</f>
      </c>
      <c r="BU179" s="72">
        <f>IF(B179="","",IF(Metodo_Prorrateo="KG",IF(SUMIFS($G$6:$G$305,$D$6:$D$305,D179)=0,0,G179/SUMIFS($G$6:$G$305,$D$6:$D$305,D179)),IF(G179&gt;0,1/COUNTIFS($D$6:$D$305,D179,$G$6:$G$305,"&gt;0"),0)))</f>
      </c>
      <c r="BV179" s="37">
        <f>IF(B179="","",IF(BP179=0,0,INDEX(COSTOS_FIJOS!$G$39:$AD$39,BP179))*BU179)</f>
      </c>
      <c r="BW179" s="72">
        <f>IF(B179="","",IF(Metodo_Prorrateo="KG",IF(SUMIFS($H$6:$H$305,$D$6:$D$305,D179)=0,0,H179/SUMIFS($H$6:$H$305,$D$6:$D$305,D179)),IF(H179&gt;0,1/COUNTIFS($D$6:$D$305,D179,$H$6:$H$305,"&gt;0"),0)))</f>
      </c>
      <c r="BX179" s="37">
        <f>IF(B179="","",IF(BP179=0,0,INDEX(COSTOS_FIJOS!$G$40:$AD$40,BP179))*BW179)</f>
      </c>
      <c r="BY179" s="72">
        <f>IF(B179="","",IF(Metodo_Prorrateo="KG",IF(SUMIFS($I$6:$I$305,$D$6:$D$305,D179)=0,0,I179/SUMIFS($I$6:$I$305,$D$6:$D$305,D179)),IF(I179&gt;0,1/COUNTIFS($D$6:$D$305,D179,$I$6:$I$305,"&gt;0"),0)))</f>
      </c>
      <c r="BZ179" s="37">
        <f>IF(B179="","",IF(BP179=0,0,INDEX(COSTOS_FIJOS!$G$41:$AD$41,BP179))*BY179)</f>
      </c>
      <c r="CA179" s="70">
        <f>IF(B179="","",BT179+BV179+BX179+BZ179)</f>
      </c>
      <c r="CB179" s="37">
        <f>IF(B179="","",Q179*Imp_Ventas_Serv)</f>
      </c>
      <c r="CC179" s="37">
        <f>IF(B179="","",Q179*Contrib_Territorial)</f>
      </c>
      <c r="CD179" s="70">
        <f>IF(B179="","",BM179-CA179-CB179-CC179)</f>
      </c>
      <c r="CE179" s="37">
        <f>IF(B179="","",MAX(0,CD179)*Imp_Utilidades)</f>
      </c>
      <c r="CF179" s="70">
        <f>IF(B179="","",CD179-CE179)</f>
      </c>
      <c r="CG179" s="72">
        <f>IF(B179="","",IF(Q179=0,0,CF179/Q179))</f>
      </c>
      <c r="CH179" s="73">
        <f>IF(B179="","",IF(J179=0,0,(BL179+CA179+CB179+CC179)/J179))</f>
      </c>
      <c r="CI179" s="73">
        <f>IF(B179="","",IF(J179=0,0,Q179/J179))</f>
      </c>
      <c r="CJ179" s="73">
        <f>IF(B179="","",IF(J179=0,0,CD179/J179))</f>
      </c>
      <c r="CK179" s="37">
        <f>IF(B179="","",Y179+AE179+BK179+BT179)</f>
      </c>
      <c r="CL179" s="37">
        <f>IF(B179="","",IF(J179=0,0,(M179+P179*G179/J179)*(1-Pct_Reclamaciones-Pct_Banco-Imp_Ventas_Serv-Contrib_Territorial)-AI179-BE179-BV179-CK179*G179/J179))</f>
      </c>
      <c r="CM179" s="37">
        <f>IF(B179="","",IF(J179=0,0,(N179+P179*H179/J179)*(1-Pct_Reclamaciones-Pct_Banco-Imp_Ventas_Serv-Contrib_Territorial)-AS179-BF179-BX179-CK179*H179/J179))</f>
      </c>
      <c r="CN179" s="37">
        <f>IF(B179="","",IF(J179=0,0,(O179+P179*I179/J179)*(1-Pct_Reclamaciones-Pct_Banco-Imp_Ventas_Serv-Contrib_Territorial)-BC179-BG179-BZ179-CK179*I179/J179))</f>
      </c>
      <c r="CO179" s="37">
        <f>IF(B179="","",IF(J179=0,0,ROUND(CD179-CL179-CM179-CN179,4)))</f>
      </c>
      <c r="CP179" s="71">
        <f>IF(B179="","",T179+AG179+AK179+AM179+AU179+AW179)</f>
      </c>
      <c r="CQ179" s="71">
        <f>IF(B179="","",U179+AH179+AL179+AN179+AV179+AX179)</f>
      </c>
      <c r="CR179" s="72">
        <f>IF(B179="","",IF(CP179=0,0,CQ179/CP179-1))</f>
      </c>
      <c r="CS179" s="60">
        <f>IF(B179="","",IF(ENTRADA!$Y179="","",ENTRADA!$Y179-C179))</f>
      </c>
      <c r="CT179" s="66">
        <f>IF(B179="","",IF(ENTRADA!$C179="","Falta fecha. ","")&amp;IF(BP179=0,"Mes fuera del rango de COSTOS_FIJOS. ","")&amp;IF(J179=0,"Sin kg. ","")&amp;IF(E179="","Falta transitaria. ","")&amp;IF(AND(T179&gt;0,U179/T179-1&gt;Tolerancia_Comb),"Combustible al puerto "&amp;TEXT(U179/T179-1,"+0%")&amp;" sobre norma. ","")&amp;IF(AND(AG179&gt;0,AH179/AG179-1&gt;Tolerancia_Comb),"Combustible distribución Occidente "&amp;TEXT(AH179/AG179-1,"+0%")&amp;" sobre norma. ","")&amp;IF(AND(AK179&gt;0,AL179/AK179-1&gt;Tolerancia_Comb),"Combustible traslado Centro "&amp;TEXT(AL179/AK179-1,"+0%")&amp;" sobre norma. ","")&amp;IF(AND(AM179&gt;0,AN179/AM179-1&gt;Tolerancia_Comb),"Combustible distribución Centro "&amp;TEXT(AN179/AM179-1,"+0%")&amp;" sobre norma. ","")&amp;IF(AND(AU179&gt;0,AV179/AU179-1&gt;Tolerancia_Comb),"Combustible traslado Oriente "&amp;TEXT(AV179/AU179-1,"+0%")&amp;" sobre norma. ","")&amp;IF(AND(AW179&gt;0,AX179/AW179-1&gt;Tolerancia_Comb),"Combustible distribución Oriente "&amp;TEXT(AX179/AW179-1,"+0%")&amp;" sobre norma. ","")&amp;IF(AND(ENTRADA!$C179&lt;&gt;"",C179&lt;PRECIOS!$A$6),"Fecha anterior a la 1ª vigencia de precios. ","")&amp;IF(CD179&lt;0,"Contenedor con pérdida. ",""))</f>
      </c>
    </row>
    <row r="180">
      <c r="A180" s="60">
        <f>IF(B180="","",ROW()-5)</f>
      </c>
      <c r="B180" s="63">
        <f>IF(ENTRADA!$B180="","",ENTRADA!$B180)</f>
      </c>
      <c r="C180" s="64">
        <f>IF(B180="","",ENTRADA!$C180)</f>
      </c>
      <c r="D180" s="65">
        <f>IF(B180="","",DATE(YEAR(C180),MONTH(C180),1))</f>
      </c>
      <c r="E180" s="66">
        <f>IF(B180="","",ENTRADA!$D180&amp;"")</f>
      </c>
      <c r="F180" s="66">
        <f>IF(B180="","",ENTRADA!$Z180&amp;"")</f>
      </c>
      <c r="G180" s="67">
        <f>IF(B180="","",N(ENTRADA!$G180))</f>
      </c>
      <c r="H180" s="67">
        <f>IF(B180="","",N(ENTRADA!$H180))</f>
      </c>
      <c r="I180" s="67">
        <f>IF(B180="","",N(ENTRADA!$I180))</f>
      </c>
      <c r="J180" s="68">
        <f>IF(B180="","",G180+H180+I180)</f>
      </c>
      <c r="K180" s="60">
        <f>IF(B180="","",IFERROR(MATCH(SUMPRODUCT(MAX((PRECIOS!$A$6:$A$55&lt;=C180)*PRECIOS!$A$6:$A$55)),PRECIOS!$A$6:$A$55,0),1))</f>
      </c>
      <c r="L180" s="69">
        <f>IF(B180="","",INDEX(PRECIOS!$A$6:$A$55,K180))</f>
      </c>
      <c r="M180" s="37">
        <f>IF(B180="","",G180*INDEX(PRECIOS!$B$6:$B$55,K180))</f>
      </c>
      <c r="N180" s="37">
        <f>IF(B180="","",H180*INDEX(PRECIOS!$C$6:$C$55,K180))</f>
      </c>
      <c r="O180" s="37">
        <f>IF(B180="","",I180*INDEX(PRECIOS!$D$6:$D$55,K180))</f>
      </c>
      <c r="P180" s="37">
        <f>IF(B180="","",N(ENTRADA!$X180))</f>
      </c>
      <c r="Q180" s="70">
        <f>IF(B180="","",M180+N180+O180+P180)</f>
      </c>
      <c r="R180" s="71">
        <f>IF(B180="","",IF(ENTRADA!$J180="",Std_Viajes_Puerto,ENTRADA!$J180))</f>
      </c>
      <c r="S180" s="37">
        <f>IF(B180="","",R180*INDEX(PRECIOS!$F$6:$F$55,K180))</f>
      </c>
      <c r="T180" s="71">
        <f>IF(B180="","",R180*Litros_Puerto_Viaje)</f>
      </c>
      <c r="U180" s="71">
        <f>IF(B180="","",IF(ENTRADA!$K180="",T180,ENTRADA!$K180))</f>
      </c>
      <c r="V180" s="37">
        <f>IF(B180="","",U180*INDEX(PRECIOS!$E$6:$E$55,K180))</f>
      </c>
      <c r="W180" s="37">
        <f>IF(B180="","",IF(ENTRADA!$L180="",R180*INDEX(PRECIOS!$G$6:$G$55,K180),ENTRADA!$L180))</f>
      </c>
      <c r="X180" s="37">
        <f>IF(B180="","",R180*Km_Puerto_Viaje*INDEX(PRECIOS!$N$6:$N$55,K180))</f>
      </c>
      <c r="Y180" s="70">
        <f>IF(B180="","",S180+V180+W180+X180)</f>
      </c>
      <c r="Z180" s="71">
        <f>IF(B180="","",IF(J180=0,0,ROUNDUP(J180/Rend_Desagrupe,0)))</f>
      </c>
      <c r="AA180" s="71">
        <f>IF(B180="","",IF(ENTRADA!$M180="",Z180,ENTRADA!$M180))</f>
      </c>
      <c r="AB180" s="37">
        <f>IF(B180="","",AA180*INDEX(PRECIOS!$H$6:$H$55,K180))</f>
      </c>
      <c r="AC180" s="37">
        <f>IF(B180="","",IF(E180="ENCI",INDEX(PRECIOS!$J$6:$J$55,K180),IF(E180="A.V",INDEX(PRECIOS!$K$6:$K$55,K180),0)))</f>
      </c>
      <c r="AD180" s="37">
        <f>IF(B180="","",N(ENTRADA!$N180))</f>
      </c>
      <c r="AE180" s="70">
        <f>IF(B180="","",AB180+AC180+AD180)</f>
      </c>
      <c r="AF180" s="71">
        <f>IF(B180="","",IF(G180=0,0,ROUNDUP(G180/Cap_Camion_OCC,0)))</f>
      </c>
      <c r="AG180" s="71">
        <f>IF(B180="","",AF180*L_Dist_OCC)</f>
      </c>
      <c r="AH180" s="71">
        <f>IF(B180="","",IF(ENTRADA!$O180="",AG180,ENTRADA!$O180))</f>
      </c>
      <c r="AI180" s="37">
        <f>IF(B180="","",AH180*INDEX(PRECIOS!$E$6:$E$55,K180))</f>
      </c>
      <c r="AJ180" s="71">
        <f>IF(B180="","",IF(H180=0,0,ROUNDUP(H180/Cap_Camion_CEN,0)))</f>
      </c>
      <c r="AK180" s="71">
        <f>IF(B180="","",AJ180*L_Tras_CEN)</f>
      </c>
      <c r="AL180" s="71">
        <f>IF(B180="","",IF(ENTRADA!$P180="",AK180,ENTRADA!$P180))</f>
      </c>
      <c r="AM180" s="71">
        <f>IF(B180="","",AJ180*L_Dist_CEN)</f>
      </c>
      <c r="AN180" s="71">
        <f>IF(B180="","",IF(ENTRADA!$Q180="",AM180,ENTRADA!$Q180))</f>
      </c>
      <c r="AO180" s="37">
        <f>IF(B180="","",(AL180+AN180)*INDEX(PRECIOS!$E$6:$E$55,K180))</f>
      </c>
      <c r="AP180" s="71">
        <f>IF(B180="","",IF(H180=0,0,ROUNDUP(H180/Rend_Desagrupe_CT,0)))</f>
      </c>
      <c r="AQ180" s="71">
        <f>IF(B180="","",IF(ENTRADA!$R180="",AP180,ENTRADA!$R180))</f>
      </c>
      <c r="AR180" s="37">
        <f>IF(B180="","",AQ180*INDEX(PRECIOS!$I$6:$I$55,K180))</f>
      </c>
      <c r="AS180" s="37">
        <f>IF(B180="","",AO180+AR180)</f>
      </c>
      <c r="AT180" s="71">
        <f>IF(B180="","",IF(I180=0,0,ROUNDUP(I180/Cap_Camion_ORI,0)))</f>
      </c>
      <c r="AU180" s="71">
        <f>IF(B180="","",AT180*L_Tras_ORI)</f>
      </c>
      <c r="AV180" s="71">
        <f>IF(B180="","",IF(ENTRADA!$S180="",AU180,ENTRADA!$S180))</f>
      </c>
      <c r="AW180" s="71">
        <f>IF(B180="","",AT180*L_Dist_ORI)</f>
      </c>
      <c r="AX180" s="71">
        <f>IF(B180="","",IF(ENTRADA!$T180="",AW180,ENTRADA!$T180))</f>
      </c>
      <c r="AY180" s="37">
        <f>IF(B180="","",(AV180+AX180)*INDEX(PRECIOS!$E$6:$E$55,K180))</f>
      </c>
      <c r="AZ180" s="71">
        <f>IF(B180="","",IF(I180=0,0,ROUNDUP(I180/Rend_Desagrupe_CT,0)))</f>
      </c>
      <c r="BA180" s="71">
        <f>IF(B180="","",IF(ENTRADA!$U180="",AZ180,ENTRADA!$U180))</f>
      </c>
      <c r="BB180" s="37">
        <f>IF(B180="","",BA180*INDEX(PRECIOS!$I$6:$I$55,K180))</f>
      </c>
      <c r="BC180" s="37">
        <f>IF(B180="","",AY180+BB180)</f>
      </c>
      <c r="BD180" s="70">
        <f>IF(B180="","",AI180+AS180+BC180)</f>
      </c>
      <c r="BE180" s="37">
        <f>IF(B180="","",IF(Base_Comision="% DEL INGRESO",M180*INDEX(PRECIOS!$L$6:$L$55,K180),G180*INDEX(PRECIOS!$M$6:$M$55,K180)))</f>
      </c>
      <c r="BF180" s="37">
        <f>IF(B180="","",IF(Base_Comision="% DEL INGRESO",N180*INDEX(PRECIOS!$L$6:$L$55,K180),H180*INDEX(PRECIOS!$M$6:$M$55,K180)))</f>
      </c>
      <c r="BG180" s="37">
        <f>IF(B180="","",IF(Base_Comision="% DEL INGRESO",O180*INDEX(PRECIOS!$L$6:$L$55,K180),I180*INDEX(PRECIOS!$M$6:$M$55,K180)))</f>
      </c>
      <c r="BH180" s="70">
        <f>IF(B180="","",BE180+BF180+BG180)</f>
      </c>
      <c r="BI180" s="37">
        <f>IF(B180="","",Q180*Pct_Reclamaciones)</f>
      </c>
      <c r="BJ180" s="37">
        <f>IF(B180="","",Q180*Pct_Banco)</f>
      </c>
      <c r="BK180" s="37">
        <f>IF(B180="","",N(ENTRADA!$V180))</f>
      </c>
      <c r="BL180" s="70">
        <f>IF(B180="","",Y180+AE180+BD180+BH180+BI180+BJ180+BK180)</f>
      </c>
      <c r="BM180" s="70">
        <f>IF(B180="","",Q180-BL180)</f>
      </c>
      <c r="BN180" s="72">
        <f>IF(B180="","",IF(Q180=0,0,BM180/Q180))</f>
      </c>
      <c r="BO180" s="73">
        <f>IF(B180="","",IF(J180=0,0,BM180/J180))</f>
      </c>
      <c r="BP180" s="60">
        <f>IF(B180="","",IFERROR(MATCH(D180,COSTOS_FIJOS!$G$5:$AD$5,0),0))</f>
      </c>
      <c r="BQ180" s="60">
        <f>IF(B180="","",COUNTIFS($D$6:$D$305,D180))</f>
      </c>
      <c r="BR180" s="67">
        <f>IF(B180="","",SUMIFS($J$6:$J$305,$D$6:$D$305,D180))</f>
      </c>
      <c r="BS180" s="72">
        <f>IF(B180="","",IF(Metodo_Prorrateo="KG",IF(BR180=0,0,J180/BR180),1/BQ180))</f>
      </c>
      <c r="BT180" s="37">
        <f>IF(B180="","",IF(BP180=0,0,INDEX(COSTOS_FIJOS!$G$38:$AD$38,BP180))*BS180)</f>
      </c>
      <c r="BU180" s="72">
        <f>IF(B180="","",IF(Metodo_Prorrateo="KG",IF(SUMIFS($G$6:$G$305,$D$6:$D$305,D180)=0,0,G180/SUMIFS($G$6:$G$305,$D$6:$D$305,D180)),IF(G180&gt;0,1/COUNTIFS($D$6:$D$305,D180,$G$6:$G$305,"&gt;0"),0)))</f>
      </c>
      <c r="BV180" s="37">
        <f>IF(B180="","",IF(BP180=0,0,INDEX(COSTOS_FIJOS!$G$39:$AD$39,BP180))*BU180)</f>
      </c>
      <c r="BW180" s="72">
        <f>IF(B180="","",IF(Metodo_Prorrateo="KG",IF(SUMIFS($H$6:$H$305,$D$6:$D$305,D180)=0,0,H180/SUMIFS($H$6:$H$305,$D$6:$D$305,D180)),IF(H180&gt;0,1/COUNTIFS($D$6:$D$305,D180,$H$6:$H$305,"&gt;0"),0)))</f>
      </c>
      <c r="BX180" s="37">
        <f>IF(B180="","",IF(BP180=0,0,INDEX(COSTOS_FIJOS!$G$40:$AD$40,BP180))*BW180)</f>
      </c>
      <c r="BY180" s="72">
        <f>IF(B180="","",IF(Metodo_Prorrateo="KG",IF(SUMIFS($I$6:$I$305,$D$6:$D$305,D180)=0,0,I180/SUMIFS($I$6:$I$305,$D$6:$D$305,D180)),IF(I180&gt;0,1/COUNTIFS($D$6:$D$305,D180,$I$6:$I$305,"&gt;0"),0)))</f>
      </c>
      <c r="BZ180" s="37">
        <f>IF(B180="","",IF(BP180=0,0,INDEX(COSTOS_FIJOS!$G$41:$AD$41,BP180))*BY180)</f>
      </c>
      <c r="CA180" s="70">
        <f>IF(B180="","",BT180+BV180+BX180+BZ180)</f>
      </c>
      <c r="CB180" s="37">
        <f>IF(B180="","",Q180*Imp_Ventas_Serv)</f>
      </c>
      <c r="CC180" s="37">
        <f>IF(B180="","",Q180*Contrib_Territorial)</f>
      </c>
      <c r="CD180" s="70">
        <f>IF(B180="","",BM180-CA180-CB180-CC180)</f>
      </c>
      <c r="CE180" s="37">
        <f>IF(B180="","",MAX(0,CD180)*Imp_Utilidades)</f>
      </c>
      <c r="CF180" s="70">
        <f>IF(B180="","",CD180-CE180)</f>
      </c>
      <c r="CG180" s="72">
        <f>IF(B180="","",IF(Q180=0,0,CF180/Q180))</f>
      </c>
      <c r="CH180" s="73">
        <f>IF(B180="","",IF(J180=0,0,(BL180+CA180+CB180+CC180)/J180))</f>
      </c>
      <c r="CI180" s="73">
        <f>IF(B180="","",IF(J180=0,0,Q180/J180))</f>
      </c>
      <c r="CJ180" s="73">
        <f>IF(B180="","",IF(J180=0,0,CD180/J180))</f>
      </c>
      <c r="CK180" s="37">
        <f>IF(B180="","",Y180+AE180+BK180+BT180)</f>
      </c>
      <c r="CL180" s="37">
        <f>IF(B180="","",IF(J180=0,0,(M180+P180*G180/J180)*(1-Pct_Reclamaciones-Pct_Banco-Imp_Ventas_Serv-Contrib_Territorial)-AI180-BE180-BV180-CK180*G180/J180))</f>
      </c>
      <c r="CM180" s="37">
        <f>IF(B180="","",IF(J180=0,0,(N180+P180*H180/J180)*(1-Pct_Reclamaciones-Pct_Banco-Imp_Ventas_Serv-Contrib_Territorial)-AS180-BF180-BX180-CK180*H180/J180))</f>
      </c>
      <c r="CN180" s="37">
        <f>IF(B180="","",IF(J180=0,0,(O180+P180*I180/J180)*(1-Pct_Reclamaciones-Pct_Banco-Imp_Ventas_Serv-Contrib_Territorial)-BC180-BG180-BZ180-CK180*I180/J180))</f>
      </c>
      <c r="CO180" s="37">
        <f>IF(B180="","",IF(J180=0,0,ROUND(CD180-CL180-CM180-CN180,4)))</f>
      </c>
      <c r="CP180" s="71">
        <f>IF(B180="","",T180+AG180+AK180+AM180+AU180+AW180)</f>
      </c>
      <c r="CQ180" s="71">
        <f>IF(B180="","",U180+AH180+AL180+AN180+AV180+AX180)</f>
      </c>
      <c r="CR180" s="72">
        <f>IF(B180="","",IF(CP180=0,0,CQ180/CP180-1))</f>
      </c>
      <c r="CS180" s="60">
        <f>IF(B180="","",IF(ENTRADA!$Y180="","",ENTRADA!$Y180-C180))</f>
      </c>
      <c r="CT180" s="66">
        <f>IF(B180="","",IF(ENTRADA!$C180="","Falta fecha. ","")&amp;IF(BP180=0,"Mes fuera del rango de COSTOS_FIJOS. ","")&amp;IF(J180=0,"Sin kg. ","")&amp;IF(E180="","Falta transitaria. ","")&amp;IF(AND(T180&gt;0,U180/T180-1&gt;Tolerancia_Comb),"Combustible al puerto "&amp;TEXT(U180/T180-1,"+0%")&amp;" sobre norma. ","")&amp;IF(AND(AG180&gt;0,AH180/AG180-1&gt;Tolerancia_Comb),"Combustible distribución Occidente "&amp;TEXT(AH180/AG180-1,"+0%")&amp;" sobre norma. ","")&amp;IF(AND(AK180&gt;0,AL180/AK180-1&gt;Tolerancia_Comb),"Combustible traslado Centro "&amp;TEXT(AL180/AK180-1,"+0%")&amp;" sobre norma. ","")&amp;IF(AND(AM180&gt;0,AN180/AM180-1&gt;Tolerancia_Comb),"Combustible distribución Centro "&amp;TEXT(AN180/AM180-1,"+0%")&amp;" sobre norma. ","")&amp;IF(AND(AU180&gt;0,AV180/AU180-1&gt;Tolerancia_Comb),"Combustible traslado Oriente "&amp;TEXT(AV180/AU180-1,"+0%")&amp;" sobre norma. ","")&amp;IF(AND(AW180&gt;0,AX180/AW180-1&gt;Tolerancia_Comb),"Combustible distribución Oriente "&amp;TEXT(AX180/AW180-1,"+0%")&amp;" sobre norma. ","")&amp;IF(AND(ENTRADA!$C180&lt;&gt;"",C180&lt;PRECIOS!$A$6),"Fecha anterior a la 1ª vigencia de precios. ","")&amp;IF(CD180&lt;0,"Contenedor con pérdida. ",""))</f>
      </c>
    </row>
    <row r="181">
      <c r="A181" s="60">
        <f>IF(B181="","",ROW()-5)</f>
      </c>
      <c r="B181" s="63">
        <f>IF(ENTRADA!$B181="","",ENTRADA!$B181)</f>
      </c>
      <c r="C181" s="64">
        <f>IF(B181="","",ENTRADA!$C181)</f>
      </c>
      <c r="D181" s="65">
        <f>IF(B181="","",DATE(YEAR(C181),MONTH(C181),1))</f>
      </c>
      <c r="E181" s="66">
        <f>IF(B181="","",ENTRADA!$D181&amp;"")</f>
      </c>
      <c r="F181" s="66">
        <f>IF(B181="","",ENTRADA!$Z181&amp;"")</f>
      </c>
      <c r="G181" s="67">
        <f>IF(B181="","",N(ENTRADA!$G181))</f>
      </c>
      <c r="H181" s="67">
        <f>IF(B181="","",N(ENTRADA!$H181))</f>
      </c>
      <c r="I181" s="67">
        <f>IF(B181="","",N(ENTRADA!$I181))</f>
      </c>
      <c r="J181" s="68">
        <f>IF(B181="","",G181+H181+I181)</f>
      </c>
      <c r="K181" s="60">
        <f>IF(B181="","",IFERROR(MATCH(SUMPRODUCT(MAX((PRECIOS!$A$6:$A$55&lt;=C181)*PRECIOS!$A$6:$A$55)),PRECIOS!$A$6:$A$55,0),1))</f>
      </c>
      <c r="L181" s="69">
        <f>IF(B181="","",INDEX(PRECIOS!$A$6:$A$55,K181))</f>
      </c>
      <c r="M181" s="37">
        <f>IF(B181="","",G181*INDEX(PRECIOS!$B$6:$B$55,K181))</f>
      </c>
      <c r="N181" s="37">
        <f>IF(B181="","",H181*INDEX(PRECIOS!$C$6:$C$55,K181))</f>
      </c>
      <c r="O181" s="37">
        <f>IF(B181="","",I181*INDEX(PRECIOS!$D$6:$D$55,K181))</f>
      </c>
      <c r="P181" s="37">
        <f>IF(B181="","",N(ENTRADA!$X181))</f>
      </c>
      <c r="Q181" s="70">
        <f>IF(B181="","",M181+N181+O181+P181)</f>
      </c>
      <c r="R181" s="71">
        <f>IF(B181="","",IF(ENTRADA!$J181="",Std_Viajes_Puerto,ENTRADA!$J181))</f>
      </c>
      <c r="S181" s="37">
        <f>IF(B181="","",R181*INDEX(PRECIOS!$F$6:$F$55,K181))</f>
      </c>
      <c r="T181" s="71">
        <f>IF(B181="","",R181*Litros_Puerto_Viaje)</f>
      </c>
      <c r="U181" s="71">
        <f>IF(B181="","",IF(ENTRADA!$K181="",T181,ENTRADA!$K181))</f>
      </c>
      <c r="V181" s="37">
        <f>IF(B181="","",U181*INDEX(PRECIOS!$E$6:$E$55,K181))</f>
      </c>
      <c r="W181" s="37">
        <f>IF(B181="","",IF(ENTRADA!$L181="",R181*INDEX(PRECIOS!$G$6:$G$55,K181),ENTRADA!$L181))</f>
      </c>
      <c r="X181" s="37">
        <f>IF(B181="","",R181*Km_Puerto_Viaje*INDEX(PRECIOS!$N$6:$N$55,K181))</f>
      </c>
      <c r="Y181" s="70">
        <f>IF(B181="","",S181+V181+W181+X181)</f>
      </c>
      <c r="Z181" s="71">
        <f>IF(B181="","",IF(J181=0,0,ROUNDUP(J181/Rend_Desagrupe,0)))</f>
      </c>
      <c r="AA181" s="71">
        <f>IF(B181="","",IF(ENTRADA!$M181="",Z181,ENTRADA!$M181))</f>
      </c>
      <c r="AB181" s="37">
        <f>IF(B181="","",AA181*INDEX(PRECIOS!$H$6:$H$55,K181))</f>
      </c>
      <c r="AC181" s="37">
        <f>IF(B181="","",IF(E181="ENCI",INDEX(PRECIOS!$J$6:$J$55,K181),IF(E181="A.V",INDEX(PRECIOS!$K$6:$K$55,K181),0)))</f>
      </c>
      <c r="AD181" s="37">
        <f>IF(B181="","",N(ENTRADA!$N181))</f>
      </c>
      <c r="AE181" s="70">
        <f>IF(B181="","",AB181+AC181+AD181)</f>
      </c>
      <c r="AF181" s="71">
        <f>IF(B181="","",IF(G181=0,0,ROUNDUP(G181/Cap_Camion_OCC,0)))</f>
      </c>
      <c r="AG181" s="71">
        <f>IF(B181="","",AF181*L_Dist_OCC)</f>
      </c>
      <c r="AH181" s="71">
        <f>IF(B181="","",IF(ENTRADA!$O181="",AG181,ENTRADA!$O181))</f>
      </c>
      <c r="AI181" s="37">
        <f>IF(B181="","",AH181*INDEX(PRECIOS!$E$6:$E$55,K181))</f>
      </c>
      <c r="AJ181" s="71">
        <f>IF(B181="","",IF(H181=0,0,ROUNDUP(H181/Cap_Camion_CEN,0)))</f>
      </c>
      <c r="AK181" s="71">
        <f>IF(B181="","",AJ181*L_Tras_CEN)</f>
      </c>
      <c r="AL181" s="71">
        <f>IF(B181="","",IF(ENTRADA!$P181="",AK181,ENTRADA!$P181))</f>
      </c>
      <c r="AM181" s="71">
        <f>IF(B181="","",AJ181*L_Dist_CEN)</f>
      </c>
      <c r="AN181" s="71">
        <f>IF(B181="","",IF(ENTRADA!$Q181="",AM181,ENTRADA!$Q181))</f>
      </c>
      <c r="AO181" s="37">
        <f>IF(B181="","",(AL181+AN181)*INDEX(PRECIOS!$E$6:$E$55,K181))</f>
      </c>
      <c r="AP181" s="71">
        <f>IF(B181="","",IF(H181=0,0,ROUNDUP(H181/Rend_Desagrupe_CT,0)))</f>
      </c>
      <c r="AQ181" s="71">
        <f>IF(B181="","",IF(ENTRADA!$R181="",AP181,ENTRADA!$R181))</f>
      </c>
      <c r="AR181" s="37">
        <f>IF(B181="","",AQ181*INDEX(PRECIOS!$I$6:$I$55,K181))</f>
      </c>
      <c r="AS181" s="37">
        <f>IF(B181="","",AO181+AR181)</f>
      </c>
      <c r="AT181" s="71">
        <f>IF(B181="","",IF(I181=0,0,ROUNDUP(I181/Cap_Camion_ORI,0)))</f>
      </c>
      <c r="AU181" s="71">
        <f>IF(B181="","",AT181*L_Tras_ORI)</f>
      </c>
      <c r="AV181" s="71">
        <f>IF(B181="","",IF(ENTRADA!$S181="",AU181,ENTRADA!$S181))</f>
      </c>
      <c r="AW181" s="71">
        <f>IF(B181="","",AT181*L_Dist_ORI)</f>
      </c>
      <c r="AX181" s="71">
        <f>IF(B181="","",IF(ENTRADA!$T181="",AW181,ENTRADA!$T181))</f>
      </c>
      <c r="AY181" s="37">
        <f>IF(B181="","",(AV181+AX181)*INDEX(PRECIOS!$E$6:$E$55,K181))</f>
      </c>
      <c r="AZ181" s="71">
        <f>IF(B181="","",IF(I181=0,0,ROUNDUP(I181/Rend_Desagrupe_CT,0)))</f>
      </c>
      <c r="BA181" s="71">
        <f>IF(B181="","",IF(ENTRADA!$U181="",AZ181,ENTRADA!$U181))</f>
      </c>
      <c r="BB181" s="37">
        <f>IF(B181="","",BA181*INDEX(PRECIOS!$I$6:$I$55,K181))</f>
      </c>
      <c r="BC181" s="37">
        <f>IF(B181="","",AY181+BB181)</f>
      </c>
      <c r="BD181" s="70">
        <f>IF(B181="","",AI181+AS181+BC181)</f>
      </c>
      <c r="BE181" s="37">
        <f>IF(B181="","",IF(Base_Comision="% DEL INGRESO",M181*INDEX(PRECIOS!$L$6:$L$55,K181),G181*INDEX(PRECIOS!$M$6:$M$55,K181)))</f>
      </c>
      <c r="BF181" s="37">
        <f>IF(B181="","",IF(Base_Comision="% DEL INGRESO",N181*INDEX(PRECIOS!$L$6:$L$55,K181),H181*INDEX(PRECIOS!$M$6:$M$55,K181)))</f>
      </c>
      <c r="BG181" s="37">
        <f>IF(B181="","",IF(Base_Comision="% DEL INGRESO",O181*INDEX(PRECIOS!$L$6:$L$55,K181),I181*INDEX(PRECIOS!$M$6:$M$55,K181)))</f>
      </c>
      <c r="BH181" s="70">
        <f>IF(B181="","",BE181+BF181+BG181)</f>
      </c>
      <c r="BI181" s="37">
        <f>IF(B181="","",Q181*Pct_Reclamaciones)</f>
      </c>
      <c r="BJ181" s="37">
        <f>IF(B181="","",Q181*Pct_Banco)</f>
      </c>
      <c r="BK181" s="37">
        <f>IF(B181="","",N(ENTRADA!$V181))</f>
      </c>
      <c r="BL181" s="70">
        <f>IF(B181="","",Y181+AE181+BD181+BH181+BI181+BJ181+BK181)</f>
      </c>
      <c r="BM181" s="70">
        <f>IF(B181="","",Q181-BL181)</f>
      </c>
      <c r="BN181" s="72">
        <f>IF(B181="","",IF(Q181=0,0,BM181/Q181))</f>
      </c>
      <c r="BO181" s="73">
        <f>IF(B181="","",IF(J181=0,0,BM181/J181))</f>
      </c>
      <c r="BP181" s="60">
        <f>IF(B181="","",IFERROR(MATCH(D181,COSTOS_FIJOS!$G$5:$AD$5,0),0))</f>
      </c>
      <c r="BQ181" s="60">
        <f>IF(B181="","",COUNTIFS($D$6:$D$305,D181))</f>
      </c>
      <c r="BR181" s="67">
        <f>IF(B181="","",SUMIFS($J$6:$J$305,$D$6:$D$305,D181))</f>
      </c>
      <c r="BS181" s="72">
        <f>IF(B181="","",IF(Metodo_Prorrateo="KG",IF(BR181=0,0,J181/BR181),1/BQ181))</f>
      </c>
      <c r="BT181" s="37">
        <f>IF(B181="","",IF(BP181=0,0,INDEX(COSTOS_FIJOS!$G$38:$AD$38,BP181))*BS181)</f>
      </c>
      <c r="BU181" s="72">
        <f>IF(B181="","",IF(Metodo_Prorrateo="KG",IF(SUMIFS($G$6:$G$305,$D$6:$D$305,D181)=0,0,G181/SUMIFS($G$6:$G$305,$D$6:$D$305,D181)),IF(G181&gt;0,1/COUNTIFS($D$6:$D$305,D181,$G$6:$G$305,"&gt;0"),0)))</f>
      </c>
      <c r="BV181" s="37">
        <f>IF(B181="","",IF(BP181=0,0,INDEX(COSTOS_FIJOS!$G$39:$AD$39,BP181))*BU181)</f>
      </c>
      <c r="BW181" s="72">
        <f>IF(B181="","",IF(Metodo_Prorrateo="KG",IF(SUMIFS($H$6:$H$305,$D$6:$D$305,D181)=0,0,H181/SUMIFS($H$6:$H$305,$D$6:$D$305,D181)),IF(H181&gt;0,1/COUNTIFS($D$6:$D$305,D181,$H$6:$H$305,"&gt;0"),0)))</f>
      </c>
      <c r="BX181" s="37">
        <f>IF(B181="","",IF(BP181=0,0,INDEX(COSTOS_FIJOS!$G$40:$AD$40,BP181))*BW181)</f>
      </c>
      <c r="BY181" s="72">
        <f>IF(B181="","",IF(Metodo_Prorrateo="KG",IF(SUMIFS($I$6:$I$305,$D$6:$D$305,D181)=0,0,I181/SUMIFS($I$6:$I$305,$D$6:$D$305,D181)),IF(I181&gt;0,1/COUNTIFS($D$6:$D$305,D181,$I$6:$I$305,"&gt;0"),0)))</f>
      </c>
      <c r="BZ181" s="37">
        <f>IF(B181="","",IF(BP181=0,0,INDEX(COSTOS_FIJOS!$G$41:$AD$41,BP181))*BY181)</f>
      </c>
      <c r="CA181" s="70">
        <f>IF(B181="","",BT181+BV181+BX181+BZ181)</f>
      </c>
      <c r="CB181" s="37">
        <f>IF(B181="","",Q181*Imp_Ventas_Serv)</f>
      </c>
      <c r="CC181" s="37">
        <f>IF(B181="","",Q181*Contrib_Territorial)</f>
      </c>
      <c r="CD181" s="70">
        <f>IF(B181="","",BM181-CA181-CB181-CC181)</f>
      </c>
      <c r="CE181" s="37">
        <f>IF(B181="","",MAX(0,CD181)*Imp_Utilidades)</f>
      </c>
      <c r="CF181" s="70">
        <f>IF(B181="","",CD181-CE181)</f>
      </c>
      <c r="CG181" s="72">
        <f>IF(B181="","",IF(Q181=0,0,CF181/Q181))</f>
      </c>
      <c r="CH181" s="73">
        <f>IF(B181="","",IF(J181=0,0,(BL181+CA181+CB181+CC181)/J181))</f>
      </c>
      <c r="CI181" s="73">
        <f>IF(B181="","",IF(J181=0,0,Q181/J181))</f>
      </c>
      <c r="CJ181" s="73">
        <f>IF(B181="","",IF(J181=0,0,CD181/J181))</f>
      </c>
      <c r="CK181" s="37">
        <f>IF(B181="","",Y181+AE181+BK181+BT181)</f>
      </c>
      <c r="CL181" s="37">
        <f>IF(B181="","",IF(J181=0,0,(M181+P181*G181/J181)*(1-Pct_Reclamaciones-Pct_Banco-Imp_Ventas_Serv-Contrib_Territorial)-AI181-BE181-BV181-CK181*G181/J181))</f>
      </c>
      <c r="CM181" s="37">
        <f>IF(B181="","",IF(J181=0,0,(N181+P181*H181/J181)*(1-Pct_Reclamaciones-Pct_Banco-Imp_Ventas_Serv-Contrib_Territorial)-AS181-BF181-BX181-CK181*H181/J181))</f>
      </c>
      <c r="CN181" s="37">
        <f>IF(B181="","",IF(J181=0,0,(O181+P181*I181/J181)*(1-Pct_Reclamaciones-Pct_Banco-Imp_Ventas_Serv-Contrib_Territorial)-BC181-BG181-BZ181-CK181*I181/J181))</f>
      </c>
      <c r="CO181" s="37">
        <f>IF(B181="","",IF(J181=0,0,ROUND(CD181-CL181-CM181-CN181,4)))</f>
      </c>
      <c r="CP181" s="71">
        <f>IF(B181="","",T181+AG181+AK181+AM181+AU181+AW181)</f>
      </c>
      <c r="CQ181" s="71">
        <f>IF(B181="","",U181+AH181+AL181+AN181+AV181+AX181)</f>
      </c>
      <c r="CR181" s="72">
        <f>IF(B181="","",IF(CP181=0,0,CQ181/CP181-1))</f>
      </c>
      <c r="CS181" s="60">
        <f>IF(B181="","",IF(ENTRADA!$Y181="","",ENTRADA!$Y181-C181))</f>
      </c>
      <c r="CT181" s="66">
        <f>IF(B181="","",IF(ENTRADA!$C181="","Falta fecha. ","")&amp;IF(BP181=0,"Mes fuera del rango de COSTOS_FIJOS. ","")&amp;IF(J181=0,"Sin kg. ","")&amp;IF(E181="","Falta transitaria. ","")&amp;IF(AND(T181&gt;0,U181/T181-1&gt;Tolerancia_Comb),"Combustible al puerto "&amp;TEXT(U181/T181-1,"+0%")&amp;" sobre norma. ","")&amp;IF(AND(AG181&gt;0,AH181/AG181-1&gt;Tolerancia_Comb),"Combustible distribución Occidente "&amp;TEXT(AH181/AG181-1,"+0%")&amp;" sobre norma. ","")&amp;IF(AND(AK181&gt;0,AL181/AK181-1&gt;Tolerancia_Comb),"Combustible traslado Centro "&amp;TEXT(AL181/AK181-1,"+0%")&amp;" sobre norma. ","")&amp;IF(AND(AM181&gt;0,AN181/AM181-1&gt;Tolerancia_Comb),"Combustible distribución Centro "&amp;TEXT(AN181/AM181-1,"+0%")&amp;" sobre norma. ","")&amp;IF(AND(AU181&gt;0,AV181/AU181-1&gt;Tolerancia_Comb),"Combustible traslado Oriente "&amp;TEXT(AV181/AU181-1,"+0%")&amp;" sobre norma. ","")&amp;IF(AND(AW181&gt;0,AX181/AW181-1&gt;Tolerancia_Comb),"Combustible distribución Oriente "&amp;TEXT(AX181/AW181-1,"+0%")&amp;" sobre norma. ","")&amp;IF(AND(ENTRADA!$C181&lt;&gt;"",C181&lt;PRECIOS!$A$6),"Fecha anterior a la 1ª vigencia de precios. ","")&amp;IF(CD181&lt;0,"Contenedor con pérdida. ",""))</f>
      </c>
    </row>
    <row r="182">
      <c r="A182" s="60">
        <f>IF(B182="","",ROW()-5)</f>
      </c>
      <c r="B182" s="63">
        <f>IF(ENTRADA!$B182="","",ENTRADA!$B182)</f>
      </c>
      <c r="C182" s="64">
        <f>IF(B182="","",ENTRADA!$C182)</f>
      </c>
      <c r="D182" s="65">
        <f>IF(B182="","",DATE(YEAR(C182),MONTH(C182),1))</f>
      </c>
      <c r="E182" s="66">
        <f>IF(B182="","",ENTRADA!$D182&amp;"")</f>
      </c>
      <c r="F182" s="66">
        <f>IF(B182="","",ENTRADA!$Z182&amp;"")</f>
      </c>
      <c r="G182" s="67">
        <f>IF(B182="","",N(ENTRADA!$G182))</f>
      </c>
      <c r="H182" s="67">
        <f>IF(B182="","",N(ENTRADA!$H182))</f>
      </c>
      <c r="I182" s="67">
        <f>IF(B182="","",N(ENTRADA!$I182))</f>
      </c>
      <c r="J182" s="68">
        <f>IF(B182="","",G182+H182+I182)</f>
      </c>
      <c r="K182" s="60">
        <f>IF(B182="","",IFERROR(MATCH(SUMPRODUCT(MAX((PRECIOS!$A$6:$A$55&lt;=C182)*PRECIOS!$A$6:$A$55)),PRECIOS!$A$6:$A$55,0),1))</f>
      </c>
      <c r="L182" s="69">
        <f>IF(B182="","",INDEX(PRECIOS!$A$6:$A$55,K182))</f>
      </c>
      <c r="M182" s="37">
        <f>IF(B182="","",G182*INDEX(PRECIOS!$B$6:$B$55,K182))</f>
      </c>
      <c r="N182" s="37">
        <f>IF(B182="","",H182*INDEX(PRECIOS!$C$6:$C$55,K182))</f>
      </c>
      <c r="O182" s="37">
        <f>IF(B182="","",I182*INDEX(PRECIOS!$D$6:$D$55,K182))</f>
      </c>
      <c r="P182" s="37">
        <f>IF(B182="","",N(ENTRADA!$X182))</f>
      </c>
      <c r="Q182" s="70">
        <f>IF(B182="","",M182+N182+O182+P182)</f>
      </c>
      <c r="R182" s="71">
        <f>IF(B182="","",IF(ENTRADA!$J182="",Std_Viajes_Puerto,ENTRADA!$J182))</f>
      </c>
      <c r="S182" s="37">
        <f>IF(B182="","",R182*INDEX(PRECIOS!$F$6:$F$55,K182))</f>
      </c>
      <c r="T182" s="71">
        <f>IF(B182="","",R182*Litros_Puerto_Viaje)</f>
      </c>
      <c r="U182" s="71">
        <f>IF(B182="","",IF(ENTRADA!$K182="",T182,ENTRADA!$K182))</f>
      </c>
      <c r="V182" s="37">
        <f>IF(B182="","",U182*INDEX(PRECIOS!$E$6:$E$55,K182))</f>
      </c>
      <c r="W182" s="37">
        <f>IF(B182="","",IF(ENTRADA!$L182="",R182*INDEX(PRECIOS!$G$6:$G$55,K182),ENTRADA!$L182))</f>
      </c>
      <c r="X182" s="37">
        <f>IF(B182="","",R182*Km_Puerto_Viaje*INDEX(PRECIOS!$N$6:$N$55,K182))</f>
      </c>
      <c r="Y182" s="70">
        <f>IF(B182="","",S182+V182+W182+X182)</f>
      </c>
      <c r="Z182" s="71">
        <f>IF(B182="","",IF(J182=0,0,ROUNDUP(J182/Rend_Desagrupe,0)))</f>
      </c>
      <c r="AA182" s="71">
        <f>IF(B182="","",IF(ENTRADA!$M182="",Z182,ENTRADA!$M182))</f>
      </c>
      <c r="AB182" s="37">
        <f>IF(B182="","",AA182*INDEX(PRECIOS!$H$6:$H$55,K182))</f>
      </c>
      <c r="AC182" s="37">
        <f>IF(B182="","",IF(E182="ENCI",INDEX(PRECIOS!$J$6:$J$55,K182),IF(E182="A.V",INDEX(PRECIOS!$K$6:$K$55,K182),0)))</f>
      </c>
      <c r="AD182" s="37">
        <f>IF(B182="","",N(ENTRADA!$N182))</f>
      </c>
      <c r="AE182" s="70">
        <f>IF(B182="","",AB182+AC182+AD182)</f>
      </c>
      <c r="AF182" s="71">
        <f>IF(B182="","",IF(G182=0,0,ROUNDUP(G182/Cap_Camion_OCC,0)))</f>
      </c>
      <c r="AG182" s="71">
        <f>IF(B182="","",AF182*L_Dist_OCC)</f>
      </c>
      <c r="AH182" s="71">
        <f>IF(B182="","",IF(ENTRADA!$O182="",AG182,ENTRADA!$O182))</f>
      </c>
      <c r="AI182" s="37">
        <f>IF(B182="","",AH182*INDEX(PRECIOS!$E$6:$E$55,K182))</f>
      </c>
      <c r="AJ182" s="71">
        <f>IF(B182="","",IF(H182=0,0,ROUNDUP(H182/Cap_Camion_CEN,0)))</f>
      </c>
      <c r="AK182" s="71">
        <f>IF(B182="","",AJ182*L_Tras_CEN)</f>
      </c>
      <c r="AL182" s="71">
        <f>IF(B182="","",IF(ENTRADA!$P182="",AK182,ENTRADA!$P182))</f>
      </c>
      <c r="AM182" s="71">
        <f>IF(B182="","",AJ182*L_Dist_CEN)</f>
      </c>
      <c r="AN182" s="71">
        <f>IF(B182="","",IF(ENTRADA!$Q182="",AM182,ENTRADA!$Q182))</f>
      </c>
      <c r="AO182" s="37">
        <f>IF(B182="","",(AL182+AN182)*INDEX(PRECIOS!$E$6:$E$55,K182))</f>
      </c>
      <c r="AP182" s="71">
        <f>IF(B182="","",IF(H182=0,0,ROUNDUP(H182/Rend_Desagrupe_CT,0)))</f>
      </c>
      <c r="AQ182" s="71">
        <f>IF(B182="","",IF(ENTRADA!$R182="",AP182,ENTRADA!$R182))</f>
      </c>
      <c r="AR182" s="37">
        <f>IF(B182="","",AQ182*INDEX(PRECIOS!$I$6:$I$55,K182))</f>
      </c>
      <c r="AS182" s="37">
        <f>IF(B182="","",AO182+AR182)</f>
      </c>
      <c r="AT182" s="71">
        <f>IF(B182="","",IF(I182=0,0,ROUNDUP(I182/Cap_Camion_ORI,0)))</f>
      </c>
      <c r="AU182" s="71">
        <f>IF(B182="","",AT182*L_Tras_ORI)</f>
      </c>
      <c r="AV182" s="71">
        <f>IF(B182="","",IF(ENTRADA!$S182="",AU182,ENTRADA!$S182))</f>
      </c>
      <c r="AW182" s="71">
        <f>IF(B182="","",AT182*L_Dist_ORI)</f>
      </c>
      <c r="AX182" s="71">
        <f>IF(B182="","",IF(ENTRADA!$T182="",AW182,ENTRADA!$T182))</f>
      </c>
      <c r="AY182" s="37">
        <f>IF(B182="","",(AV182+AX182)*INDEX(PRECIOS!$E$6:$E$55,K182))</f>
      </c>
      <c r="AZ182" s="71">
        <f>IF(B182="","",IF(I182=0,0,ROUNDUP(I182/Rend_Desagrupe_CT,0)))</f>
      </c>
      <c r="BA182" s="71">
        <f>IF(B182="","",IF(ENTRADA!$U182="",AZ182,ENTRADA!$U182))</f>
      </c>
      <c r="BB182" s="37">
        <f>IF(B182="","",BA182*INDEX(PRECIOS!$I$6:$I$55,K182))</f>
      </c>
      <c r="BC182" s="37">
        <f>IF(B182="","",AY182+BB182)</f>
      </c>
      <c r="BD182" s="70">
        <f>IF(B182="","",AI182+AS182+BC182)</f>
      </c>
      <c r="BE182" s="37">
        <f>IF(B182="","",IF(Base_Comision="% DEL INGRESO",M182*INDEX(PRECIOS!$L$6:$L$55,K182),G182*INDEX(PRECIOS!$M$6:$M$55,K182)))</f>
      </c>
      <c r="BF182" s="37">
        <f>IF(B182="","",IF(Base_Comision="% DEL INGRESO",N182*INDEX(PRECIOS!$L$6:$L$55,K182),H182*INDEX(PRECIOS!$M$6:$M$55,K182)))</f>
      </c>
      <c r="BG182" s="37">
        <f>IF(B182="","",IF(Base_Comision="% DEL INGRESO",O182*INDEX(PRECIOS!$L$6:$L$55,K182),I182*INDEX(PRECIOS!$M$6:$M$55,K182)))</f>
      </c>
      <c r="BH182" s="70">
        <f>IF(B182="","",BE182+BF182+BG182)</f>
      </c>
      <c r="BI182" s="37">
        <f>IF(B182="","",Q182*Pct_Reclamaciones)</f>
      </c>
      <c r="BJ182" s="37">
        <f>IF(B182="","",Q182*Pct_Banco)</f>
      </c>
      <c r="BK182" s="37">
        <f>IF(B182="","",N(ENTRADA!$V182))</f>
      </c>
      <c r="BL182" s="70">
        <f>IF(B182="","",Y182+AE182+BD182+BH182+BI182+BJ182+BK182)</f>
      </c>
      <c r="BM182" s="70">
        <f>IF(B182="","",Q182-BL182)</f>
      </c>
      <c r="BN182" s="72">
        <f>IF(B182="","",IF(Q182=0,0,BM182/Q182))</f>
      </c>
      <c r="BO182" s="73">
        <f>IF(B182="","",IF(J182=0,0,BM182/J182))</f>
      </c>
      <c r="BP182" s="60">
        <f>IF(B182="","",IFERROR(MATCH(D182,COSTOS_FIJOS!$G$5:$AD$5,0),0))</f>
      </c>
      <c r="BQ182" s="60">
        <f>IF(B182="","",COUNTIFS($D$6:$D$305,D182))</f>
      </c>
      <c r="BR182" s="67">
        <f>IF(B182="","",SUMIFS($J$6:$J$305,$D$6:$D$305,D182))</f>
      </c>
      <c r="BS182" s="72">
        <f>IF(B182="","",IF(Metodo_Prorrateo="KG",IF(BR182=0,0,J182/BR182),1/BQ182))</f>
      </c>
      <c r="BT182" s="37">
        <f>IF(B182="","",IF(BP182=0,0,INDEX(COSTOS_FIJOS!$G$38:$AD$38,BP182))*BS182)</f>
      </c>
      <c r="BU182" s="72">
        <f>IF(B182="","",IF(Metodo_Prorrateo="KG",IF(SUMIFS($G$6:$G$305,$D$6:$D$305,D182)=0,0,G182/SUMIFS($G$6:$G$305,$D$6:$D$305,D182)),IF(G182&gt;0,1/COUNTIFS($D$6:$D$305,D182,$G$6:$G$305,"&gt;0"),0)))</f>
      </c>
      <c r="BV182" s="37">
        <f>IF(B182="","",IF(BP182=0,0,INDEX(COSTOS_FIJOS!$G$39:$AD$39,BP182))*BU182)</f>
      </c>
      <c r="BW182" s="72">
        <f>IF(B182="","",IF(Metodo_Prorrateo="KG",IF(SUMIFS($H$6:$H$305,$D$6:$D$305,D182)=0,0,H182/SUMIFS($H$6:$H$305,$D$6:$D$305,D182)),IF(H182&gt;0,1/COUNTIFS($D$6:$D$305,D182,$H$6:$H$305,"&gt;0"),0)))</f>
      </c>
      <c r="BX182" s="37">
        <f>IF(B182="","",IF(BP182=0,0,INDEX(COSTOS_FIJOS!$G$40:$AD$40,BP182))*BW182)</f>
      </c>
      <c r="BY182" s="72">
        <f>IF(B182="","",IF(Metodo_Prorrateo="KG",IF(SUMIFS($I$6:$I$305,$D$6:$D$305,D182)=0,0,I182/SUMIFS($I$6:$I$305,$D$6:$D$305,D182)),IF(I182&gt;0,1/COUNTIFS($D$6:$D$305,D182,$I$6:$I$305,"&gt;0"),0)))</f>
      </c>
      <c r="BZ182" s="37">
        <f>IF(B182="","",IF(BP182=0,0,INDEX(COSTOS_FIJOS!$G$41:$AD$41,BP182))*BY182)</f>
      </c>
      <c r="CA182" s="70">
        <f>IF(B182="","",BT182+BV182+BX182+BZ182)</f>
      </c>
      <c r="CB182" s="37">
        <f>IF(B182="","",Q182*Imp_Ventas_Serv)</f>
      </c>
      <c r="CC182" s="37">
        <f>IF(B182="","",Q182*Contrib_Territorial)</f>
      </c>
      <c r="CD182" s="70">
        <f>IF(B182="","",BM182-CA182-CB182-CC182)</f>
      </c>
      <c r="CE182" s="37">
        <f>IF(B182="","",MAX(0,CD182)*Imp_Utilidades)</f>
      </c>
      <c r="CF182" s="70">
        <f>IF(B182="","",CD182-CE182)</f>
      </c>
      <c r="CG182" s="72">
        <f>IF(B182="","",IF(Q182=0,0,CF182/Q182))</f>
      </c>
      <c r="CH182" s="73">
        <f>IF(B182="","",IF(J182=0,0,(BL182+CA182+CB182+CC182)/J182))</f>
      </c>
      <c r="CI182" s="73">
        <f>IF(B182="","",IF(J182=0,0,Q182/J182))</f>
      </c>
      <c r="CJ182" s="73">
        <f>IF(B182="","",IF(J182=0,0,CD182/J182))</f>
      </c>
      <c r="CK182" s="37">
        <f>IF(B182="","",Y182+AE182+BK182+BT182)</f>
      </c>
      <c r="CL182" s="37">
        <f>IF(B182="","",IF(J182=0,0,(M182+P182*G182/J182)*(1-Pct_Reclamaciones-Pct_Banco-Imp_Ventas_Serv-Contrib_Territorial)-AI182-BE182-BV182-CK182*G182/J182))</f>
      </c>
      <c r="CM182" s="37">
        <f>IF(B182="","",IF(J182=0,0,(N182+P182*H182/J182)*(1-Pct_Reclamaciones-Pct_Banco-Imp_Ventas_Serv-Contrib_Territorial)-AS182-BF182-BX182-CK182*H182/J182))</f>
      </c>
      <c r="CN182" s="37">
        <f>IF(B182="","",IF(J182=0,0,(O182+P182*I182/J182)*(1-Pct_Reclamaciones-Pct_Banco-Imp_Ventas_Serv-Contrib_Territorial)-BC182-BG182-BZ182-CK182*I182/J182))</f>
      </c>
      <c r="CO182" s="37">
        <f>IF(B182="","",IF(J182=0,0,ROUND(CD182-CL182-CM182-CN182,4)))</f>
      </c>
      <c r="CP182" s="71">
        <f>IF(B182="","",T182+AG182+AK182+AM182+AU182+AW182)</f>
      </c>
      <c r="CQ182" s="71">
        <f>IF(B182="","",U182+AH182+AL182+AN182+AV182+AX182)</f>
      </c>
      <c r="CR182" s="72">
        <f>IF(B182="","",IF(CP182=0,0,CQ182/CP182-1))</f>
      </c>
      <c r="CS182" s="60">
        <f>IF(B182="","",IF(ENTRADA!$Y182="","",ENTRADA!$Y182-C182))</f>
      </c>
      <c r="CT182" s="66">
        <f>IF(B182="","",IF(ENTRADA!$C182="","Falta fecha. ","")&amp;IF(BP182=0,"Mes fuera del rango de COSTOS_FIJOS. ","")&amp;IF(J182=0,"Sin kg. ","")&amp;IF(E182="","Falta transitaria. ","")&amp;IF(AND(T182&gt;0,U182/T182-1&gt;Tolerancia_Comb),"Combustible al puerto "&amp;TEXT(U182/T182-1,"+0%")&amp;" sobre norma. ","")&amp;IF(AND(AG182&gt;0,AH182/AG182-1&gt;Tolerancia_Comb),"Combustible distribución Occidente "&amp;TEXT(AH182/AG182-1,"+0%")&amp;" sobre norma. ","")&amp;IF(AND(AK182&gt;0,AL182/AK182-1&gt;Tolerancia_Comb),"Combustible traslado Centro "&amp;TEXT(AL182/AK182-1,"+0%")&amp;" sobre norma. ","")&amp;IF(AND(AM182&gt;0,AN182/AM182-1&gt;Tolerancia_Comb),"Combustible distribución Centro "&amp;TEXT(AN182/AM182-1,"+0%")&amp;" sobre norma. ","")&amp;IF(AND(AU182&gt;0,AV182/AU182-1&gt;Tolerancia_Comb),"Combustible traslado Oriente "&amp;TEXT(AV182/AU182-1,"+0%")&amp;" sobre norma. ","")&amp;IF(AND(AW182&gt;0,AX182/AW182-1&gt;Tolerancia_Comb),"Combustible distribución Oriente "&amp;TEXT(AX182/AW182-1,"+0%")&amp;" sobre norma. ","")&amp;IF(AND(ENTRADA!$C182&lt;&gt;"",C182&lt;PRECIOS!$A$6),"Fecha anterior a la 1ª vigencia de precios. ","")&amp;IF(CD182&lt;0,"Contenedor con pérdida. ",""))</f>
      </c>
    </row>
    <row r="183">
      <c r="A183" s="60">
        <f>IF(B183="","",ROW()-5)</f>
      </c>
      <c r="B183" s="63">
        <f>IF(ENTRADA!$B183="","",ENTRADA!$B183)</f>
      </c>
      <c r="C183" s="64">
        <f>IF(B183="","",ENTRADA!$C183)</f>
      </c>
      <c r="D183" s="65">
        <f>IF(B183="","",DATE(YEAR(C183),MONTH(C183),1))</f>
      </c>
      <c r="E183" s="66">
        <f>IF(B183="","",ENTRADA!$D183&amp;"")</f>
      </c>
      <c r="F183" s="66">
        <f>IF(B183="","",ENTRADA!$Z183&amp;"")</f>
      </c>
      <c r="G183" s="67">
        <f>IF(B183="","",N(ENTRADA!$G183))</f>
      </c>
      <c r="H183" s="67">
        <f>IF(B183="","",N(ENTRADA!$H183))</f>
      </c>
      <c r="I183" s="67">
        <f>IF(B183="","",N(ENTRADA!$I183))</f>
      </c>
      <c r="J183" s="68">
        <f>IF(B183="","",G183+H183+I183)</f>
      </c>
      <c r="K183" s="60">
        <f>IF(B183="","",IFERROR(MATCH(SUMPRODUCT(MAX((PRECIOS!$A$6:$A$55&lt;=C183)*PRECIOS!$A$6:$A$55)),PRECIOS!$A$6:$A$55,0),1))</f>
      </c>
      <c r="L183" s="69">
        <f>IF(B183="","",INDEX(PRECIOS!$A$6:$A$55,K183))</f>
      </c>
      <c r="M183" s="37">
        <f>IF(B183="","",G183*INDEX(PRECIOS!$B$6:$B$55,K183))</f>
      </c>
      <c r="N183" s="37">
        <f>IF(B183="","",H183*INDEX(PRECIOS!$C$6:$C$55,K183))</f>
      </c>
      <c r="O183" s="37">
        <f>IF(B183="","",I183*INDEX(PRECIOS!$D$6:$D$55,K183))</f>
      </c>
      <c r="P183" s="37">
        <f>IF(B183="","",N(ENTRADA!$X183))</f>
      </c>
      <c r="Q183" s="70">
        <f>IF(B183="","",M183+N183+O183+P183)</f>
      </c>
      <c r="R183" s="71">
        <f>IF(B183="","",IF(ENTRADA!$J183="",Std_Viajes_Puerto,ENTRADA!$J183))</f>
      </c>
      <c r="S183" s="37">
        <f>IF(B183="","",R183*INDEX(PRECIOS!$F$6:$F$55,K183))</f>
      </c>
      <c r="T183" s="71">
        <f>IF(B183="","",R183*Litros_Puerto_Viaje)</f>
      </c>
      <c r="U183" s="71">
        <f>IF(B183="","",IF(ENTRADA!$K183="",T183,ENTRADA!$K183))</f>
      </c>
      <c r="V183" s="37">
        <f>IF(B183="","",U183*INDEX(PRECIOS!$E$6:$E$55,K183))</f>
      </c>
      <c r="W183" s="37">
        <f>IF(B183="","",IF(ENTRADA!$L183="",R183*INDEX(PRECIOS!$G$6:$G$55,K183),ENTRADA!$L183))</f>
      </c>
      <c r="X183" s="37">
        <f>IF(B183="","",R183*Km_Puerto_Viaje*INDEX(PRECIOS!$N$6:$N$55,K183))</f>
      </c>
      <c r="Y183" s="70">
        <f>IF(B183="","",S183+V183+W183+X183)</f>
      </c>
      <c r="Z183" s="71">
        <f>IF(B183="","",IF(J183=0,0,ROUNDUP(J183/Rend_Desagrupe,0)))</f>
      </c>
      <c r="AA183" s="71">
        <f>IF(B183="","",IF(ENTRADA!$M183="",Z183,ENTRADA!$M183))</f>
      </c>
      <c r="AB183" s="37">
        <f>IF(B183="","",AA183*INDEX(PRECIOS!$H$6:$H$55,K183))</f>
      </c>
      <c r="AC183" s="37">
        <f>IF(B183="","",IF(E183="ENCI",INDEX(PRECIOS!$J$6:$J$55,K183),IF(E183="A.V",INDEX(PRECIOS!$K$6:$K$55,K183),0)))</f>
      </c>
      <c r="AD183" s="37">
        <f>IF(B183="","",N(ENTRADA!$N183))</f>
      </c>
      <c r="AE183" s="70">
        <f>IF(B183="","",AB183+AC183+AD183)</f>
      </c>
      <c r="AF183" s="71">
        <f>IF(B183="","",IF(G183=0,0,ROUNDUP(G183/Cap_Camion_OCC,0)))</f>
      </c>
      <c r="AG183" s="71">
        <f>IF(B183="","",AF183*L_Dist_OCC)</f>
      </c>
      <c r="AH183" s="71">
        <f>IF(B183="","",IF(ENTRADA!$O183="",AG183,ENTRADA!$O183))</f>
      </c>
      <c r="AI183" s="37">
        <f>IF(B183="","",AH183*INDEX(PRECIOS!$E$6:$E$55,K183))</f>
      </c>
      <c r="AJ183" s="71">
        <f>IF(B183="","",IF(H183=0,0,ROUNDUP(H183/Cap_Camion_CEN,0)))</f>
      </c>
      <c r="AK183" s="71">
        <f>IF(B183="","",AJ183*L_Tras_CEN)</f>
      </c>
      <c r="AL183" s="71">
        <f>IF(B183="","",IF(ENTRADA!$P183="",AK183,ENTRADA!$P183))</f>
      </c>
      <c r="AM183" s="71">
        <f>IF(B183="","",AJ183*L_Dist_CEN)</f>
      </c>
      <c r="AN183" s="71">
        <f>IF(B183="","",IF(ENTRADA!$Q183="",AM183,ENTRADA!$Q183))</f>
      </c>
      <c r="AO183" s="37">
        <f>IF(B183="","",(AL183+AN183)*INDEX(PRECIOS!$E$6:$E$55,K183))</f>
      </c>
      <c r="AP183" s="71">
        <f>IF(B183="","",IF(H183=0,0,ROUNDUP(H183/Rend_Desagrupe_CT,0)))</f>
      </c>
      <c r="AQ183" s="71">
        <f>IF(B183="","",IF(ENTRADA!$R183="",AP183,ENTRADA!$R183))</f>
      </c>
      <c r="AR183" s="37">
        <f>IF(B183="","",AQ183*INDEX(PRECIOS!$I$6:$I$55,K183))</f>
      </c>
      <c r="AS183" s="37">
        <f>IF(B183="","",AO183+AR183)</f>
      </c>
      <c r="AT183" s="71">
        <f>IF(B183="","",IF(I183=0,0,ROUNDUP(I183/Cap_Camion_ORI,0)))</f>
      </c>
      <c r="AU183" s="71">
        <f>IF(B183="","",AT183*L_Tras_ORI)</f>
      </c>
      <c r="AV183" s="71">
        <f>IF(B183="","",IF(ENTRADA!$S183="",AU183,ENTRADA!$S183))</f>
      </c>
      <c r="AW183" s="71">
        <f>IF(B183="","",AT183*L_Dist_ORI)</f>
      </c>
      <c r="AX183" s="71">
        <f>IF(B183="","",IF(ENTRADA!$T183="",AW183,ENTRADA!$T183))</f>
      </c>
      <c r="AY183" s="37">
        <f>IF(B183="","",(AV183+AX183)*INDEX(PRECIOS!$E$6:$E$55,K183))</f>
      </c>
      <c r="AZ183" s="71">
        <f>IF(B183="","",IF(I183=0,0,ROUNDUP(I183/Rend_Desagrupe_CT,0)))</f>
      </c>
      <c r="BA183" s="71">
        <f>IF(B183="","",IF(ENTRADA!$U183="",AZ183,ENTRADA!$U183))</f>
      </c>
      <c r="BB183" s="37">
        <f>IF(B183="","",BA183*INDEX(PRECIOS!$I$6:$I$55,K183))</f>
      </c>
      <c r="BC183" s="37">
        <f>IF(B183="","",AY183+BB183)</f>
      </c>
      <c r="BD183" s="70">
        <f>IF(B183="","",AI183+AS183+BC183)</f>
      </c>
      <c r="BE183" s="37">
        <f>IF(B183="","",IF(Base_Comision="% DEL INGRESO",M183*INDEX(PRECIOS!$L$6:$L$55,K183),G183*INDEX(PRECIOS!$M$6:$M$55,K183)))</f>
      </c>
      <c r="BF183" s="37">
        <f>IF(B183="","",IF(Base_Comision="% DEL INGRESO",N183*INDEX(PRECIOS!$L$6:$L$55,K183),H183*INDEX(PRECIOS!$M$6:$M$55,K183)))</f>
      </c>
      <c r="BG183" s="37">
        <f>IF(B183="","",IF(Base_Comision="% DEL INGRESO",O183*INDEX(PRECIOS!$L$6:$L$55,K183),I183*INDEX(PRECIOS!$M$6:$M$55,K183)))</f>
      </c>
      <c r="BH183" s="70">
        <f>IF(B183="","",BE183+BF183+BG183)</f>
      </c>
      <c r="BI183" s="37">
        <f>IF(B183="","",Q183*Pct_Reclamaciones)</f>
      </c>
      <c r="BJ183" s="37">
        <f>IF(B183="","",Q183*Pct_Banco)</f>
      </c>
      <c r="BK183" s="37">
        <f>IF(B183="","",N(ENTRADA!$V183))</f>
      </c>
      <c r="BL183" s="70">
        <f>IF(B183="","",Y183+AE183+BD183+BH183+BI183+BJ183+BK183)</f>
      </c>
      <c r="BM183" s="70">
        <f>IF(B183="","",Q183-BL183)</f>
      </c>
      <c r="BN183" s="72">
        <f>IF(B183="","",IF(Q183=0,0,BM183/Q183))</f>
      </c>
      <c r="BO183" s="73">
        <f>IF(B183="","",IF(J183=0,0,BM183/J183))</f>
      </c>
      <c r="BP183" s="60">
        <f>IF(B183="","",IFERROR(MATCH(D183,COSTOS_FIJOS!$G$5:$AD$5,0),0))</f>
      </c>
      <c r="BQ183" s="60">
        <f>IF(B183="","",COUNTIFS($D$6:$D$305,D183))</f>
      </c>
      <c r="BR183" s="67">
        <f>IF(B183="","",SUMIFS($J$6:$J$305,$D$6:$D$305,D183))</f>
      </c>
      <c r="BS183" s="72">
        <f>IF(B183="","",IF(Metodo_Prorrateo="KG",IF(BR183=0,0,J183/BR183),1/BQ183))</f>
      </c>
      <c r="BT183" s="37">
        <f>IF(B183="","",IF(BP183=0,0,INDEX(COSTOS_FIJOS!$G$38:$AD$38,BP183))*BS183)</f>
      </c>
      <c r="BU183" s="72">
        <f>IF(B183="","",IF(Metodo_Prorrateo="KG",IF(SUMIFS($G$6:$G$305,$D$6:$D$305,D183)=0,0,G183/SUMIFS($G$6:$G$305,$D$6:$D$305,D183)),IF(G183&gt;0,1/COUNTIFS($D$6:$D$305,D183,$G$6:$G$305,"&gt;0"),0)))</f>
      </c>
      <c r="BV183" s="37">
        <f>IF(B183="","",IF(BP183=0,0,INDEX(COSTOS_FIJOS!$G$39:$AD$39,BP183))*BU183)</f>
      </c>
      <c r="BW183" s="72">
        <f>IF(B183="","",IF(Metodo_Prorrateo="KG",IF(SUMIFS($H$6:$H$305,$D$6:$D$305,D183)=0,0,H183/SUMIFS($H$6:$H$305,$D$6:$D$305,D183)),IF(H183&gt;0,1/COUNTIFS($D$6:$D$305,D183,$H$6:$H$305,"&gt;0"),0)))</f>
      </c>
      <c r="BX183" s="37">
        <f>IF(B183="","",IF(BP183=0,0,INDEX(COSTOS_FIJOS!$G$40:$AD$40,BP183))*BW183)</f>
      </c>
      <c r="BY183" s="72">
        <f>IF(B183="","",IF(Metodo_Prorrateo="KG",IF(SUMIFS($I$6:$I$305,$D$6:$D$305,D183)=0,0,I183/SUMIFS($I$6:$I$305,$D$6:$D$305,D183)),IF(I183&gt;0,1/COUNTIFS($D$6:$D$305,D183,$I$6:$I$305,"&gt;0"),0)))</f>
      </c>
      <c r="BZ183" s="37">
        <f>IF(B183="","",IF(BP183=0,0,INDEX(COSTOS_FIJOS!$G$41:$AD$41,BP183))*BY183)</f>
      </c>
      <c r="CA183" s="70">
        <f>IF(B183="","",BT183+BV183+BX183+BZ183)</f>
      </c>
      <c r="CB183" s="37">
        <f>IF(B183="","",Q183*Imp_Ventas_Serv)</f>
      </c>
      <c r="CC183" s="37">
        <f>IF(B183="","",Q183*Contrib_Territorial)</f>
      </c>
      <c r="CD183" s="70">
        <f>IF(B183="","",BM183-CA183-CB183-CC183)</f>
      </c>
      <c r="CE183" s="37">
        <f>IF(B183="","",MAX(0,CD183)*Imp_Utilidades)</f>
      </c>
      <c r="CF183" s="70">
        <f>IF(B183="","",CD183-CE183)</f>
      </c>
      <c r="CG183" s="72">
        <f>IF(B183="","",IF(Q183=0,0,CF183/Q183))</f>
      </c>
      <c r="CH183" s="73">
        <f>IF(B183="","",IF(J183=0,0,(BL183+CA183+CB183+CC183)/J183))</f>
      </c>
      <c r="CI183" s="73">
        <f>IF(B183="","",IF(J183=0,0,Q183/J183))</f>
      </c>
      <c r="CJ183" s="73">
        <f>IF(B183="","",IF(J183=0,0,CD183/J183))</f>
      </c>
      <c r="CK183" s="37">
        <f>IF(B183="","",Y183+AE183+BK183+BT183)</f>
      </c>
      <c r="CL183" s="37">
        <f>IF(B183="","",IF(J183=0,0,(M183+P183*G183/J183)*(1-Pct_Reclamaciones-Pct_Banco-Imp_Ventas_Serv-Contrib_Territorial)-AI183-BE183-BV183-CK183*G183/J183))</f>
      </c>
      <c r="CM183" s="37">
        <f>IF(B183="","",IF(J183=0,0,(N183+P183*H183/J183)*(1-Pct_Reclamaciones-Pct_Banco-Imp_Ventas_Serv-Contrib_Territorial)-AS183-BF183-BX183-CK183*H183/J183))</f>
      </c>
      <c r="CN183" s="37">
        <f>IF(B183="","",IF(J183=0,0,(O183+P183*I183/J183)*(1-Pct_Reclamaciones-Pct_Banco-Imp_Ventas_Serv-Contrib_Territorial)-BC183-BG183-BZ183-CK183*I183/J183))</f>
      </c>
      <c r="CO183" s="37">
        <f>IF(B183="","",IF(J183=0,0,ROUND(CD183-CL183-CM183-CN183,4)))</f>
      </c>
      <c r="CP183" s="71">
        <f>IF(B183="","",T183+AG183+AK183+AM183+AU183+AW183)</f>
      </c>
      <c r="CQ183" s="71">
        <f>IF(B183="","",U183+AH183+AL183+AN183+AV183+AX183)</f>
      </c>
      <c r="CR183" s="72">
        <f>IF(B183="","",IF(CP183=0,0,CQ183/CP183-1))</f>
      </c>
      <c r="CS183" s="60">
        <f>IF(B183="","",IF(ENTRADA!$Y183="","",ENTRADA!$Y183-C183))</f>
      </c>
      <c r="CT183" s="66">
        <f>IF(B183="","",IF(ENTRADA!$C183="","Falta fecha. ","")&amp;IF(BP183=0,"Mes fuera del rango de COSTOS_FIJOS. ","")&amp;IF(J183=0,"Sin kg. ","")&amp;IF(E183="","Falta transitaria. ","")&amp;IF(AND(T183&gt;0,U183/T183-1&gt;Tolerancia_Comb),"Combustible al puerto "&amp;TEXT(U183/T183-1,"+0%")&amp;" sobre norma. ","")&amp;IF(AND(AG183&gt;0,AH183/AG183-1&gt;Tolerancia_Comb),"Combustible distribución Occidente "&amp;TEXT(AH183/AG183-1,"+0%")&amp;" sobre norma. ","")&amp;IF(AND(AK183&gt;0,AL183/AK183-1&gt;Tolerancia_Comb),"Combustible traslado Centro "&amp;TEXT(AL183/AK183-1,"+0%")&amp;" sobre norma. ","")&amp;IF(AND(AM183&gt;0,AN183/AM183-1&gt;Tolerancia_Comb),"Combustible distribución Centro "&amp;TEXT(AN183/AM183-1,"+0%")&amp;" sobre norma. ","")&amp;IF(AND(AU183&gt;0,AV183/AU183-1&gt;Tolerancia_Comb),"Combustible traslado Oriente "&amp;TEXT(AV183/AU183-1,"+0%")&amp;" sobre norma. ","")&amp;IF(AND(AW183&gt;0,AX183/AW183-1&gt;Tolerancia_Comb),"Combustible distribución Oriente "&amp;TEXT(AX183/AW183-1,"+0%")&amp;" sobre norma. ","")&amp;IF(AND(ENTRADA!$C183&lt;&gt;"",C183&lt;PRECIOS!$A$6),"Fecha anterior a la 1ª vigencia de precios. ","")&amp;IF(CD183&lt;0,"Contenedor con pérdida. ",""))</f>
      </c>
    </row>
    <row r="184">
      <c r="A184" s="60">
        <f>IF(B184="","",ROW()-5)</f>
      </c>
      <c r="B184" s="63">
        <f>IF(ENTRADA!$B184="","",ENTRADA!$B184)</f>
      </c>
      <c r="C184" s="64">
        <f>IF(B184="","",ENTRADA!$C184)</f>
      </c>
      <c r="D184" s="65">
        <f>IF(B184="","",DATE(YEAR(C184),MONTH(C184),1))</f>
      </c>
      <c r="E184" s="66">
        <f>IF(B184="","",ENTRADA!$D184&amp;"")</f>
      </c>
      <c r="F184" s="66">
        <f>IF(B184="","",ENTRADA!$Z184&amp;"")</f>
      </c>
      <c r="G184" s="67">
        <f>IF(B184="","",N(ENTRADA!$G184))</f>
      </c>
      <c r="H184" s="67">
        <f>IF(B184="","",N(ENTRADA!$H184))</f>
      </c>
      <c r="I184" s="67">
        <f>IF(B184="","",N(ENTRADA!$I184))</f>
      </c>
      <c r="J184" s="68">
        <f>IF(B184="","",G184+H184+I184)</f>
      </c>
      <c r="K184" s="60">
        <f>IF(B184="","",IFERROR(MATCH(SUMPRODUCT(MAX((PRECIOS!$A$6:$A$55&lt;=C184)*PRECIOS!$A$6:$A$55)),PRECIOS!$A$6:$A$55,0),1))</f>
      </c>
      <c r="L184" s="69">
        <f>IF(B184="","",INDEX(PRECIOS!$A$6:$A$55,K184))</f>
      </c>
      <c r="M184" s="37">
        <f>IF(B184="","",G184*INDEX(PRECIOS!$B$6:$B$55,K184))</f>
      </c>
      <c r="N184" s="37">
        <f>IF(B184="","",H184*INDEX(PRECIOS!$C$6:$C$55,K184))</f>
      </c>
      <c r="O184" s="37">
        <f>IF(B184="","",I184*INDEX(PRECIOS!$D$6:$D$55,K184))</f>
      </c>
      <c r="P184" s="37">
        <f>IF(B184="","",N(ENTRADA!$X184))</f>
      </c>
      <c r="Q184" s="70">
        <f>IF(B184="","",M184+N184+O184+P184)</f>
      </c>
      <c r="R184" s="71">
        <f>IF(B184="","",IF(ENTRADA!$J184="",Std_Viajes_Puerto,ENTRADA!$J184))</f>
      </c>
      <c r="S184" s="37">
        <f>IF(B184="","",R184*INDEX(PRECIOS!$F$6:$F$55,K184))</f>
      </c>
      <c r="T184" s="71">
        <f>IF(B184="","",R184*Litros_Puerto_Viaje)</f>
      </c>
      <c r="U184" s="71">
        <f>IF(B184="","",IF(ENTRADA!$K184="",T184,ENTRADA!$K184))</f>
      </c>
      <c r="V184" s="37">
        <f>IF(B184="","",U184*INDEX(PRECIOS!$E$6:$E$55,K184))</f>
      </c>
      <c r="W184" s="37">
        <f>IF(B184="","",IF(ENTRADA!$L184="",R184*INDEX(PRECIOS!$G$6:$G$55,K184),ENTRADA!$L184))</f>
      </c>
      <c r="X184" s="37">
        <f>IF(B184="","",R184*Km_Puerto_Viaje*INDEX(PRECIOS!$N$6:$N$55,K184))</f>
      </c>
      <c r="Y184" s="70">
        <f>IF(B184="","",S184+V184+W184+X184)</f>
      </c>
      <c r="Z184" s="71">
        <f>IF(B184="","",IF(J184=0,0,ROUNDUP(J184/Rend_Desagrupe,0)))</f>
      </c>
      <c r="AA184" s="71">
        <f>IF(B184="","",IF(ENTRADA!$M184="",Z184,ENTRADA!$M184))</f>
      </c>
      <c r="AB184" s="37">
        <f>IF(B184="","",AA184*INDEX(PRECIOS!$H$6:$H$55,K184))</f>
      </c>
      <c r="AC184" s="37">
        <f>IF(B184="","",IF(E184="ENCI",INDEX(PRECIOS!$J$6:$J$55,K184),IF(E184="A.V",INDEX(PRECIOS!$K$6:$K$55,K184),0)))</f>
      </c>
      <c r="AD184" s="37">
        <f>IF(B184="","",N(ENTRADA!$N184))</f>
      </c>
      <c r="AE184" s="70">
        <f>IF(B184="","",AB184+AC184+AD184)</f>
      </c>
      <c r="AF184" s="71">
        <f>IF(B184="","",IF(G184=0,0,ROUNDUP(G184/Cap_Camion_OCC,0)))</f>
      </c>
      <c r="AG184" s="71">
        <f>IF(B184="","",AF184*L_Dist_OCC)</f>
      </c>
      <c r="AH184" s="71">
        <f>IF(B184="","",IF(ENTRADA!$O184="",AG184,ENTRADA!$O184))</f>
      </c>
      <c r="AI184" s="37">
        <f>IF(B184="","",AH184*INDEX(PRECIOS!$E$6:$E$55,K184))</f>
      </c>
      <c r="AJ184" s="71">
        <f>IF(B184="","",IF(H184=0,0,ROUNDUP(H184/Cap_Camion_CEN,0)))</f>
      </c>
      <c r="AK184" s="71">
        <f>IF(B184="","",AJ184*L_Tras_CEN)</f>
      </c>
      <c r="AL184" s="71">
        <f>IF(B184="","",IF(ENTRADA!$P184="",AK184,ENTRADA!$P184))</f>
      </c>
      <c r="AM184" s="71">
        <f>IF(B184="","",AJ184*L_Dist_CEN)</f>
      </c>
      <c r="AN184" s="71">
        <f>IF(B184="","",IF(ENTRADA!$Q184="",AM184,ENTRADA!$Q184))</f>
      </c>
      <c r="AO184" s="37">
        <f>IF(B184="","",(AL184+AN184)*INDEX(PRECIOS!$E$6:$E$55,K184))</f>
      </c>
      <c r="AP184" s="71">
        <f>IF(B184="","",IF(H184=0,0,ROUNDUP(H184/Rend_Desagrupe_CT,0)))</f>
      </c>
      <c r="AQ184" s="71">
        <f>IF(B184="","",IF(ENTRADA!$R184="",AP184,ENTRADA!$R184))</f>
      </c>
      <c r="AR184" s="37">
        <f>IF(B184="","",AQ184*INDEX(PRECIOS!$I$6:$I$55,K184))</f>
      </c>
      <c r="AS184" s="37">
        <f>IF(B184="","",AO184+AR184)</f>
      </c>
      <c r="AT184" s="71">
        <f>IF(B184="","",IF(I184=0,0,ROUNDUP(I184/Cap_Camion_ORI,0)))</f>
      </c>
      <c r="AU184" s="71">
        <f>IF(B184="","",AT184*L_Tras_ORI)</f>
      </c>
      <c r="AV184" s="71">
        <f>IF(B184="","",IF(ENTRADA!$S184="",AU184,ENTRADA!$S184))</f>
      </c>
      <c r="AW184" s="71">
        <f>IF(B184="","",AT184*L_Dist_ORI)</f>
      </c>
      <c r="AX184" s="71">
        <f>IF(B184="","",IF(ENTRADA!$T184="",AW184,ENTRADA!$T184))</f>
      </c>
      <c r="AY184" s="37">
        <f>IF(B184="","",(AV184+AX184)*INDEX(PRECIOS!$E$6:$E$55,K184))</f>
      </c>
      <c r="AZ184" s="71">
        <f>IF(B184="","",IF(I184=0,0,ROUNDUP(I184/Rend_Desagrupe_CT,0)))</f>
      </c>
      <c r="BA184" s="71">
        <f>IF(B184="","",IF(ENTRADA!$U184="",AZ184,ENTRADA!$U184))</f>
      </c>
      <c r="BB184" s="37">
        <f>IF(B184="","",BA184*INDEX(PRECIOS!$I$6:$I$55,K184))</f>
      </c>
      <c r="BC184" s="37">
        <f>IF(B184="","",AY184+BB184)</f>
      </c>
      <c r="BD184" s="70">
        <f>IF(B184="","",AI184+AS184+BC184)</f>
      </c>
      <c r="BE184" s="37">
        <f>IF(B184="","",IF(Base_Comision="% DEL INGRESO",M184*INDEX(PRECIOS!$L$6:$L$55,K184),G184*INDEX(PRECIOS!$M$6:$M$55,K184)))</f>
      </c>
      <c r="BF184" s="37">
        <f>IF(B184="","",IF(Base_Comision="% DEL INGRESO",N184*INDEX(PRECIOS!$L$6:$L$55,K184),H184*INDEX(PRECIOS!$M$6:$M$55,K184)))</f>
      </c>
      <c r="BG184" s="37">
        <f>IF(B184="","",IF(Base_Comision="% DEL INGRESO",O184*INDEX(PRECIOS!$L$6:$L$55,K184),I184*INDEX(PRECIOS!$M$6:$M$55,K184)))</f>
      </c>
      <c r="BH184" s="70">
        <f>IF(B184="","",BE184+BF184+BG184)</f>
      </c>
      <c r="BI184" s="37">
        <f>IF(B184="","",Q184*Pct_Reclamaciones)</f>
      </c>
      <c r="BJ184" s="37">
        <f>IF(B184="","",Q184*Pct_Banco)</f>
      </c>
      <c r="BK184" s="37">
        <f>IF(B184="","",N(ENTRADA!$V184))</f>
      </c>
      <c r="BL184" s="70">
        <f>IF(B184="","",Y184+AE184+BD184+BH184+BI184+BJ184+BK184)</f>
      </c>
      <c r="BM184" s="70">
        <f>IF(B184="","",Q184-BL184)</f>
      </c>
      <c r="BN184" s="72">
        <f>IF(B184="","",IF(Q184=0,0,BM184/Q184))</f>
      </c>
      <c r="BO184" s="73">
        <f>IF(B184="","",IF(J184=0,0,BM184/J184))</f>
      </c>
      <c r="BP184" s="60">
        <f>IF(B184="","",IFERROR(MATCH(D184,COSTOS_FIJOS!$G$5:$AD$5,0),0))</f>
      </c>
      <c r="BQ184" s="60">
        <f>IF(B184="","",COUNTIFS($D$6:$D$305,D184))</f>
      </c>
      <c r="BR184" s="67">
        <f>IF(B184="","",SUMIFS($J$6:$J$305,$D$6:$D$305,D184))</f>
      </c>
      <c r="BS184" s="72">
        <f>IF(B184="","",IF(Metodo_Prorrateo="KG",IF(BR184=0,0,J184/BR184),1/BQ184))</f>
      </c>
      <c r="BT184" s="37">
        <f>IF(B184="","",IF(BP184=0,0,INDEX(COSTOS_FIJOS!$G$38:$AD$38,BP184))*BS184)</f>
      </c>
      <c r="BU184" s="72">
        <f>IF(B184="","",IF(Metodo_Prorrateo="KG",IF(SUMIFS($G$6:$G$305,$D$6:$D$305,D184)=0,0,G184/SUMIFS($G$6:$G$305,$D$6:$D$305,D184)),IF(G184&gt;0,1/COUNTIFS($D$6:$D$305,D184,$G$6:$G$305,"&gt;0"),0)))</f>
      </c>
      <c r="BV184" s="37">
        <f>IF(B184="","",IF(BP184=0,0,INDEX(COSTOS_FIJOS!$G$39:$AD$39,BP184))*BU184)</f>
      </c>
      <c r="BW184" s="72">
        <f>IF(B184="","",IF(Metodo_Prorrateo="KG",IF(SUMIFS($H$6:$H$305,$D$6:$D$305,D184)=0,0,H184/SUMIFS($H$6:$H$305,$D$6:$D$305,D184)),IF(H184&gt;0,1/COUNTIFS($D$6:$D$305,D184,$H$6:$H$305,"&gt;0"),0)))</f>
      </c>
      <c r="BX184" s="37">
        <f>IF(B184="","",IF(BP184=0,0,INDEX(COSTOS_FIJOS!$G$40:$AD$40,BP184))*BW184)</f>
      </c>
      <c r="BY184" s="72">
        <f>IF(B184="","",IF(Metodo_Prorrateo="KG",IF(SUMIFS($I$6:$I$305,$D$6:$D$305,D184)=0,0,I184/SUMIFS($I$6:$I$305,$D$6:$D$305,D184)),IF(I184&gt;0,1/COUNTIFS($D$6:$D$305,D184,$I$6:$I$305,"&gt;0"),0)))</f>
      </c>
      <c r="BZ184" s="37">
        <f>IF(B184="","",IF(BP184=0,0,INDEX(COSTOS_FIJOS!$G$41:$AD$41,BP184))*BY184)</f>
      </c>
      <c r="CA184" s="70">
        <f>IF(B184="","",BT184+BV184+BX184+BZ184)</f>
      </c>
      <c r="CB184" s="37">
        <f>IF(B184="","",Q184*Imp_Ventas_Serv)</f>
      </c>
      <c r="CC184" s="37">
        <f>IF(B184="","",Q184*Contrib_Territorial)</f>
      </c>
      <c r="CD184" s="70">
        <f>IF(B184="","",BM184-CA184-CB184-CC184)</f>
      </c>
      <c r="CE184" s="37">
        <f>IF(B184="","",MAX(0,CD184)*Imp_Utilidades)</f>
      </c>
      <c r="CF184" s="70">
        <f>IF(B184="","",CD184-CE184)</f>
      </c>
      <c r="CG184" s="72">
        <f>IF(B184="","",IF(Q184=0,0,CF184/Q184))</f>
      </c>
      <c r="CH184" s="73">
        <f>IF(B184="","",IF(J184=0,0,(BL184+CA184+CB184+CC184)/J184))</f>
      </c>
      <c r="CI184" s="73">
        <f>IF(B184="","",IF(J184=0,0,Q184/J184))</f>
      </c>
      <c r="CJ184" s="73">
        <f>IF(B184="","",IF(J184=0,0,CD184/J184))</f>
      </c>
      <c r="CK184" s="37">
        <f>IF(B184="","",Y184+AE184+BK184+BT184)</f>
      </c>
      <c r="CL184" s="37">
        <f>IF(B184="","",IF(J184=0,0,(M184+P184*G184/J184)*(1-Pct_Reclamaciones-Pct_Banco-Imp_Ventas_Serv-Contrib_Territorial)-AI184-BE184-BV184-CK184*G184/J184))</f>
      </c>
      <c r="CM184" s="37">
        <f>IF(B184="","",IF(J184=0,0,(N184+P184*H184/J184)*(1-Pct_Reclamaciones-Pct_Banco-Imp_Ventas_Serv-Contrib_Territorial)-AS184-BF184-BX184-CK184*H184/J184))</f>
      </c>
      <c r="CN184" s="37">
        <f>IF(B184="","",IF(J184=0,0,(O184+P184*I184/J184)*(1-Pct_Reclamaciones-Pct_Banco-Imp_Ventas_Serv-Contrib_Territorial)-BC184-BG184-BZ184-CK184*I184/J184))</f>
      </c>
      <c r="CO184" s="37">
        <f>IF(B184="","",IF(J184=0,0,ROUND(CD184-CL184-CM184-CN184,4)))</f>
      </c>
      <c r="CP184" s="71">
        <f>IF(B184="","",T184+AG184+AK184+AM184+AU184+AW184)</f>
      </c>
      <c r="CQ184" s="71">
        <f>IF(B184="","",U184+AH184+AL184+AN184+AV184+AX184)</f>
      </c>
      <c r="CR184" s="72">
        <f>IF(B184="","",IF(CP184=0,0,CQ184/CP184-1))</f>
      </c>
      <c r="CS184" s="60">
        <f>IF(B184="","",IF(ENTRADA!$Y184="","",ENTRADA!$Y184-C184))</f>
      </c>
      <c r="CT184" s="66">
        <f>IF(B184="","",IF(ENTRADA!$C184="","Falta fecha. ","")&amp;IF(BP184=0,"Mes fuera del rango de COSTOS_FIJOS. ","")&amp;IF(J184=0,"Sin kg. ","")&amp;IF(E184="","Falta transitaria. ","")&amp;IF(AND(T184&gt;0,U184/T184-1&gt;Tolerancia_Comb),"Combustible al puerto "&amp;TEXT(U184/T184-1,"+0%")&amp;" sobre norma. ","")&amp;IF(AND(AG184&gt;0,AH184/AG184-1&gt;Tolerancia_Comb),"Combustible distribución Occidente "&amp;TEXT(AH184/AG184-1,"+0%")&amp;" sobre norma. ","")&amp;IF(AND(AK184&gt;0,AL184/AK184-1&gt;Tolerancia_Comb),"Combustible traslado Centro "&amp;TEXT(AL184/AK184-1,"+0%")&amp;" sobre norma. ","")&amp;IF(AND(AM184&gt;0,AN184/AM184-1&gt;Tolerancia_Comb),"Combustible distribución Centro "&amp;TEXT(AN184/AM184-1,"+0%")&amp;" sobre norma. ","")&amp;IF(AND(AU184&gt;0,AV184/AU184-1&gt;Tolerancia_Comb),"Combustible traslado Oriente "&amp;TEXT(AV184/AU184-1,"+0%")&amp;" sobre norma. ","")&amp;IF(AND(AW184&gt;0,AX184/AW184-1&gt;Tolerancia_Comb),"Combustible distribución Oriente "&amp;TEXT(AX184/AW184-1,"+0%")&amp;" sobre norma. ","")&amp;IF(AND(ENTRADA!$C184&lt;&gt;"",C184&lt;PRECIOS!$A$6),"Fecha anterior a la 1ª vigencia de precios. ","")&amp;IF(CD184&lt;0,"Contenedor con pérdida. ",""))</f>
      </c>
    </row>
    <row r="185">
      <c r="A185" s="60">
        <f>IF(B185="","",ROW()-5)</f>
      </c>
      <c r="B185" s="63">
        <f>IF(ENTRADA!$B185="","",ENTRADA!$B185)</f>
      </c>
      <c r="C185" s="64">
        <f>IF(B185="","",ENTRADA!$C185)</f>
      </c>
      <c r="D185" s="65">
        <f>IF(B185="","",DATE(YEAR(C185),MONTH(C185),1))</f>
      </c>
      <c r="E185" s="66">
        <f>IF(B185="","",ENTRADA!$D185&amp;"")</f>
      </c>
      <c r="F185" s="66">
        <f>IF(B185="","",ENTRADA!$Z185&amp;"")</f>
      </c>
      <c r="G185" s="67">
        <f>IF(B185="","",N(ENTRADA!$G185))</f>
      </c>
      <c r="H185" s="67">
        <f>IF(B185="","",N(ENTRADA!$H185))</f>
      </c>
      <c r="I185" s="67">
        <f>IF(B185="","",N(ENTRADA!$I185))</f>
      </c>
      <c r="J185" s="68">
        <f>IF(B185="","",G185+H185+I185)</f>
      </c>
      <c r="K185" s="60">
        <f>IF(B185="","",IFERROR(MATCH(SUMPRODUCT(MAX((PRECIOS!$A$6:$A$55&lt;=C185)*PRECIOS!$A$6:$A$55)),PRECIOS!$A$6:$A$55,0),1))</f>
      </c>
      <c r="L185" s="69">
        <f>IF(B185="","",INDEX(PRECIOS!$A$6:$A$55,K185))</f>
      </c>
      <c r="M185" s="37">
        <f>IF(B185="","",G185*INDEX(PRECIOS!$B$6:$B$55,K185))</f>
      </c>
      <c r="N185" s="37">
        <f>IF(B185="","",H185*INDEX(PRECIOS!$C$6:$C$55,K185))</f>
      </c>
      <c r="O185" s="37">
        <f>IF(B185="","",I185*INDEX(PRECIOS!$D$6:$D$55,K185))</f>
      </c>
      <c r="P185" s="37">
        <f>IF(B185="","",N(ENTRADA!$X185))</f>
      </c>
      <c r="Q185" s="70">
        <f>IF(B185="","",M185+N185+O185+P185)</f>
      </c>
      <c r="R185" s="71">
        <f>IF(B185="","",IF(ENTRADA!$J185="",Std_Viajes_Puerto,ENTRADA!$J185))</f>
      </c>
      <c r="S185" s="37">
        <f>IF(B185="","",R185*INDEX(PRECIOS!$F$6:$F$55,K185))</f>
      </c>
      <c r="T185" s="71">
        <f>IF(B185="","",R185*Litros_Puerto_Viaje)</f>
      </c>
      <c r="U185" s="71">
        <f>IF(B185="","",IF(ENTRADA!$K185="",T185,ENTRADA!$K185))</f>
      </c>
      <c r="V185" s="37">
        <f>IF(B185="","",U185*INDEX(PRECIOS!$E$6:$E$55,K185))</f>
      </c>
      <c r="W185" s="37">
        <f>IF(B185="","",IF(ENTRADA!$L185="",R185*INDEX(PRECIOS!$G$6:$G$55,K185),ENTRADA!$L185))</f>
      </c>
      <c r="X185" s="37">
        <f>IF(B185="","",R185*Km_Puerto_Viaje*INDEX(PRECIOS!$N$6:$N$55,K185))</f>
      </c>
      <c r="Y185" s="70">
        <f>IF(B185="","",S185+V185+W185+X185)</f>
      </c>
      <c r="Z185" s="71">
        <f>IF(B185="","",IF(J185=0,0,ROUNDUP(J185/Rend_Desagrupe,0)))</f>
      </c>
      <c r="AA185" s="71">
        <f>IF(B185="","",IF(ENTRADA!$M185="",Z185,ENTRADA!$M185))</f>
      </c>
      <c r="AB185" s="37">
        <f>IF(B185="","",AA185*INDEX(PRECIOS!$H$6:$H$55,K185))</f>
      </c>
      <c r="AC185" s="37">
        <f>IF(B185="","",IF(E185="ENCI",INDEX(PRECIOS!$J$6:$J$55,K185),IF(E185="A.V",INDEX(PRECIOS!$K$6:$K$55,K185),0)))</f>
      </c>
      <c r="AD185" s="37">
        <f>IF(B185="","",N(ENTRADA!$N185))</f>
      </c>
      <c r="AE185" s="70">
        <f>IF(B185="","",AB185+AC185+AD185)</f>
      </c>
      <c r="AF185" s="71">
        <f>IF(B185="","",IF(G185=0,0,ROUNDUP(G185/Cap_Camion_OCC,0)))</f>
      </c>
      <c r="AG185" s="71">
        <f>IF(B185="","",AF185*L_Dist_OCC)</f>
      </c>
      <c r="AH185" s="71">
        <f>IF(B185="","",IF(ENTRADA!$O185="",AG185,ENTRADA!$O185))</f>
      </c>
      <c r="AI185" s="37">
        <f>IF(B185="","",AH185*INDEX(PRECIOS!$E$6:$E$55,K185))</f>
      </c>
      <c r="AJ185" s="71">
        <f>IF(B185="","",IF(H185=0,0,ROUNDUP(H185/Cap_Camion_CEN,0)))</f>
      </c>
      <c r="AK185" s="71">
        <f>IF(B185="","",AJ185*L_Tras_CEN)</f>
      </c>
      <c r="AL185" s="71">
        <f>IF(B185="","",IF(ENTRADA!$P185="",AK185,ENTRADA!$P185))</f>
      </c>
      <c r="AM185" s="71">
        <f>IF(B185="","",AJ185*L_Dist_CEN)</f>
      </c>
      <c r="AN185" s="71">
        <f>IF(B185="","",IF(ENTRADA!$Q185="",AM185,ENTRADA!$Q185))</f>
      </c>
      <c r="AO185" s="37">
        <f>IF(B185="","",(AL185+AN185)*INDEX(PRECIOS!$E$6:$E$55,K185))</f>
      </c>
      <c r="AP185" s="71">
        <f>IF(B185="","",IF(H185=0,0,ROUNDUP(H185/Rend_Desagrupe_CT,0)))</f>
      </c>
      <c r="AQ185" s="71">
        <f>IF(B185="","",IF(ENTRADA!$R185="",AP185,ENTRADA!$R185))</f>
      </c>
      <c r="AR185" s="37">
        <f>IF(B185="","",AQ185*INDEX(PRECIOS!$I$6:$I$55,K185))</f>
      </c>
      <c r="AS185" s="37">
        <f>IF(B185="","",AO185+AR185)</f>
      </c>
      <c r="AT185" s="71">
        <f>IF(B185="","",IF(I185=0,0,ROUNDUP(I185/Cap_Camion_ORI,0)))</f>
      </c>
      <c r="AU185" s="71">
        <f>IF(B185="","",AT185*L_Tras_ORI)</f>
      </c>
      <c r="AV185" s="71">
        <f>IF(B185="","",IF(ENTRADA!$S185="",AU185,ENTRADA!$S185))</f>
      </c>
      <c r="AW185" s="71">
        <f>IF(B185="","",AT185*L_Dist_ORI)</f>
      </c>
      <c r="AX185" s="71">
        <f>IF(B185="","",IF(ENTRADA!$T185="",AW185,ENTRADA!$T185))</f>
      </c>
      <c r="AY185" s="37">
        <f>IF(B185="","",(AV185+AX185)*INDEX(PRECIOS!$E$6:$E$55,K185))</f>
      </c>
      <c r="AZ185" s="71">
        <f>IF(B185="","",IF(I185=0,0,ROUNDUP(I185/Rend_Desagrupe_CT,0)))</f>
      </c>
      <c r="BA185" s="71">
        <f>IF(B185="","",IF(ENTRADA!$U185="",AZ185,ENTRADA!$U185))</f>
      </c>
      <c r="BB185" s="37">
        <f>IF(B185="","",BA185*INDEX(PRECIOS!$I$6:$I$55,K185))</f>
      </c>
      <c r="BC185" s="37">
        <f>IF(B185="","",AY185+BB185)</f>
      </c>
      <c r="BD185" s="70">
        <f>IF(B185="","",AI185+AS185+BC185)</f>
      </c>
      <c r="BE185" s="37">
        <f>IF(B185="","",IF(Base_Comision="% DEL INGRESO",M185*INDEX(PRECIOS!$L$6:$L$55,K185),G185*INDEX(PRECIOS!$M$6:$M$55,K185)))</f>
      </c>
      <c r="BF185" s="37">
        <f>IF(B185="","",IF(Base_Comision="% DEL INGRESO",N185*INDEX(PRECIOS!$L$6:$L$55,K185),H185*INDEX(PRECIOS!$M$6:$M$55,K185)))</f>
      </c>
      <c r="BG185" s="37">
        <f>IF(B185="","",IF(Base_Comision="% DEL INGRESO",O185*INDEX(PRECIOS!$L$6:$L$55,K185),I185*INDEX(PRECIOS!$M$6:$M$55,K185)))</f>
      </c>
      <c r="BH185" s="70">
        <f>IF(B185="","",BE185+BF185+BG185)</f>
      </c>
      <c r="BI185" s="37">
        <f>IF(B185="","",Q185*Pct_Reclamaciones)</f>
      </c>
      <c r="BJ185" s="37">
        <f>IF(B185="","",Q185*Pct_Banco)</f>
      </c>
      <c r="BK185" s="37">
        <f>IF(B185="","",N(ENTRADA!$V185))</f>
      </c>
      <c r="BL185" s="70">
        <f>IF(B185="","",Y185+AE185+BD185+BH185+BI185+BJ185+BK185)</f>
      </c>
      <c r="BM185" s="70">
        <f>IF(B185="","",Q185-BL185)</f>
      </c>
      <c r="BN185" s="72">
        <f>IF(B185="","",IF(Q185=0,0,BM185/Q185))</f>
      </c>
      <c r="BO185" s="73">
        <f>IF(B185="","",IF(J185=0,0,BM185/J185))</f>
      </c>
      <c r="BP185" s="60">
        <f>IF(B185="","",IFERROR(MATCH(D185,COSTOS_FIJOS!$G$5:$AD$5,0),0))</f>
      </c>
      <c r="BQ185" s="60">
        <f>IF(B185="","",COUNTIFS($D$6:$D$305,D185))</f>
      </c>
      <c r="BR185" s="67">
        <f>IF(B185="","",SUMIFS($J$6:$J$305,$D$6:$D$305,D185))</f>
      </c>
      <c r="BS185" s="72">
        <f>IF(B185="","",IF(Metodo_Prorrateo="KG",IF(BR185=0,0,J185/BR185),1/BQ185))</f>
      </c>
      <c r="BT185" s="37">
        <f>IF(B185="","",IF(BP185=0,0,INDEX(COSTOS_FIJOS!$G$38:$AD$38,BP185))*BS185)</f>
      </c>
      <c r="BU185" s="72">
        <f>IF(B185="","",IF(Metodo_Prorrateo="KG",IF(SUMIFS($G$6:$G$305,$D$6:$D$305,D185)=0,0,G185/SUMIFS($G$6:$G$305,$D$6:$D$305,D185)),IF(G185&gt;0,1/COUNTIFS($D$6:$D$305,D185,$G$6:$G$305,"&gt;0"),0)))</f>
      </c>
      <c r="BV185" s="37">
        <f>IF(B185="","",IF(BP185=0,0,INDEX(COSTOS_FIJOS!$G$39:$AD$39,BP185))*BU185)</f>
      </c>
      <c r="BW185" s="72">
        <f>IF(B185="","",IF(Metodo_Prorrateo="KG",IF(SUMIFS($H$6:$H$305,$D$6:$D$305,D185)=0,0,H185/SUMIFS($H$6:$H$305,$D$6:$D$305,D185)),IF(H185&gt;0,1/COUNTIFS($D$6:$D$305,D185,$H$6:$H$305,"&gt;0"),0)))</f>
      </c>
      <c r="BX185" s="37">
        <f>IF(B185="","",IF(BP185=0,0,INDEX(COSTOS_FIJOS!$G$40:$AD$40,BP185))*BW185)</f>
      </c>
      <c r="BY185" s="72">
        <f>IF(B185="","",IF(Metodo_Prorrateo="KG",IF(SUMIFS($I$6:$I$305,$D$6:$D$305,D185)=0,0,I185/SUMIFS($I$6:$I$305,$D$6:$D$305,D185)),IF(I185&gt;0,1/COUNTIFS($D$6:$D$305,D185,$I$6:$I$305,"&gt;0"),0)))</f>
      </c>
      <c r="BZ185" s="37">
        <f>IF(B185="","",IF(BP185=0,0,INDEX(COSTOS_FIJOS!$G$41:$AD$41,BP185))*BY185)</f>
      </c>
      <c r="CA185" s="70">
        <f>IF(B185="","",BT185+BV185+BX185+BZ185)</f>
      </c>
      <c r="CB185" s="37">
        <f>IF(B185="","",Q185*Imp_Ventas_Serv)</f>
      </c>
      <c r="CC185" s="37">
        <f>IF(B185="","",Q185*Contrib_Territorial)</f>
      </c>
      <c r="CD185" s="70">
        <f>IF(B185="","",BM185-CA185-CB185-CC185)</f>
      </c>
      <c r="CE185" s="37">
        <f>IF(B185="","",MAX(0,CD185)*Imp_Utilidades)</f>
      </c>
      <c r="CF185" s="70">
        <f>IF(B185="","",CD185-CE185)</f>
      </c>
      <c r="CG185" s="72">
        <f>IF(B185="","",IF(Q185=0,0,CF185/Q185))</f>
      </c>
      <c r="CH185" s="73">
        <f>IF(B185="","",IF(J185=0,0,(BL185+CA185+CB185+CC185)/J185))</f>
      </c>
      <c r="CI185" s="73">
        <f>IF(B185="","",IF(J185=0,0,Q185/J185))</f>
      </c>
      <c r="CJ185" s="73">
        <f>IF(B185="","",IF(J185=0,0,CD185/J185))</f>
      </c>
      <c r="CK185" s="37">
        <f>IF(B185="","",Y185+AE185+BK185+BT185)</f>
      </c>
      <c r="CL185" s="37">
        <f>IF(B185="","",IF(J185=0,0,(M185+P185*G185/J185)*(1-Pct_Reclamaciones-Pct_Banco-Imp_Ventas_Serv-Contrib_Territorial)-AI185-BE185-BV185-CK185*G185/J185))</f>
      </c>
      <c r="CM185" s="37">
        <f>IF(B185="","",IF(J185=0,0,(N185+P185*H185/J185)*(1-Pct_Reclamaciones-Pct_Banco-Imp_Ventas_Serv-Contrib_Territorial)-AS185-BF185-BX185-CK185*H185/J185))</f>
      </c>
      <c r="CN185" s="37">
        <f>IF(B185="","",IF(J185=0,0,(O185+P185*I185/J185)*(1-Pct_Reclamaciones-Pct_Banco-Imp_Ventas_Serv-Contrib_Territorial)-BC185-BG185-BZ185-CK185*I185/J185))</f>
      </c>
      <c r="CO185" s="37">
        <f>IF(B185="","",IF(J185=0,0,ROUND(CD185-CL185-CM185-CN185,4)))</f>
      </c>
      <c r="CP185" s="71">
        <f>IF(B185="","",T185+AG185+AK185+AM185+AU185+AW185)</f>
      </c>
      <c r="CQ185" s="71">
        <f>IF(B185="","",U185+AH185+AL185+AN185+AV185+AX185)</f>
      </c>
      <c r="CR185" s="72">
        <f>IF(B185="","",IF(CP185=0,0,CQ185/CP185-1))</f>
      </c>
      <c r="CS185" s="60">
        <f>IF(B185="","",IF(ENTRADA!$Y185="","",ENTRADA!$Y185-C185))</f>
      </c>
      <c r="CT185" s="66">
        <f>IF(B185="","",IF(ENTRADA!$C185="","Falta fecha. ","")&amp;IF(BP185=0,"Mes fuera del rango de COSTOS_FIJOS. ","")&amp;IF(J185=0,"Sin kg. ","")&amp;IF(E185="","Falta transitaria. ","")&amp;IF(AND(T185&gt;0,U185/T185-1&gt;Tolerancia_Comb),"Combustible al puerto "&amp;TEXT(U185/T185-1,"+0%")&amp;" sobre norma. ","")&amp;IF(AND(AG185&gt;0,AH185/AG185-1&gt;Tolerancia_Comb),"Combustible distribución Occidente "&amp;TEXT(AH185/AG185-1,"+0%")&amp;" sobre norma. ","")&amp;IF(AND(AK185&gt;0,AL185/AK185-1&gt;Tolerancia_Comb),"Combustible traslado Centro "&amp;TEXT(AL185/AK185-1,"+0%")&amp;" sobre norma. ","")&amp;IF(AND(AM185&gt;0,AN185/AM185-1&gt;Tolerancia_Comb),"Combustible distribución Centro "&amp;TEXT(AN185/AM185-1,"+0%")&amp;" sobre norma. ","")&amp;IF(AND(AU185&gt;0,AV185/AU185-1&gt;Tolerancia_Comb),"Combustible traslado Oriente "&amp;TEXT(AV185/AU185-1,"+0%")&amp;" sobre norma. ","")&amp;IF(AND(AW185&gt;0,AX185/AW185-1&gt;Tolerancia_Comb),"Combustible distribución Oriente "&amp;TEXT(AX185/AW185-1,"+0%")&amp;" sobre norma. ","")&amp;IF(AND(ENTRADA!$C185&lt;&gt;"",C185&lt;PRECIOS!$A$6),"Fecha anterior a la 1ª vigencia de precios. ","")&amp;IF(CD185&lt;0,"Contenedor con pérdida. ",""))</f>
      </c>
    </row>
    <row r="186">
      <c r="A186" s="60">
        <f>IF(B186="","",ROW()-5)</f>
      </c>
      <c r="B186" s="63">
        <f>IF(ENTRADA!$B186="","",ENTRADA!$B186)</f>
      </c>
      <c r="C186" s="64">
        <f>IF(B186="","",ENTRADA!$C186)</f>
      </c>
      <c r="D186" s="65">
        <f>IF(B186="","",DATE(YEAR(C186),MONTH(C186),1))</f>
      </c>
      <c r="E186" s="66">
        <f>IF(B186="","",ENTRADA!$D186&amp;"")</f>
      </c>
      <c r="F186" s="66">
        <f>IF(B186="","",ENTRADA!$Z186&amp;"")</f>
      </c>
      <c r="G186" s="67">
        <f>IF(B186="","",N(ENTRADA!$G186))</f>
      </c>
      <c r="H186" s="67">
        <f>IF(B186="","",N(ENTRADA!$H186))</f>
      </c>
      <c r="I186" s="67">
        <f>IF(B186="","",N(ENTRADA!$I186))</f>
      </c>
      <c r="J186" s="68">
        <f>IF(B186="","",G186+H186+I186)</f>
      </c>
      <c r="K186" s="60">
        <f>IF(B186="","",IFERROR(MATCH(SUMPRODUCT(MAX((PRECIOS!$A$6:$A$55&lt;=C186)*PRECIOS!$A$6:$A$55)),PRECIOS!$A$6:$A$55,0),1))</f>
      </c>
      <c r="L186" s="69">
        <f>IF(B186="","",INDEX(PRECIOS!$A$6:$A$55,K186))</f>
      </c>
      <c r="M186" s="37">
        <f>IF(B186="","",G186*INDEX(PRECIOS!$B$6:$B$55,K186))</f>
      </c>
      <c r="N186" s="37">
        <f>IF(B186="","",H186*INDEX(PRECIOS!$C$6:$C$55,K186))</f>
      </c>
      <c r="O186" s="37">
        <f>IF(B186="","",I186*INDEX(PRECIOS!$D$6:$D$55,K186))</f>
      </c>
      <c r="P186" s="37">
        <f>IF(B186="","",N(ENTRADA!$X186))</f>
      </c>
      <c r="Q186" s="70">
        <f>IF(B186="","",M186+N186+O186+P186)</f>
      </c>
      <c r="R186" s="71">
        <f>IF(B186="","",IF(ENTRADA!$J186="",Std_Viajes_Puerto,ENTRADA!$J186))</f>
      </c>
      <c r="S186" s="37">
        <f>IF(B186="","",R186*INDEX(PRECIOS!$F$6:$F$55,K186))</f>
      </c>
      <c r="T186" s="71">
        <f>IF(B186="","",R186*Litros_Puerto_Viaje)</f>
      </c>
      <c r="U186" s="71">
        <f>IF(B186="","",IF(ENTRADA!$K186="",T186,ENTRADA!$K186))</f>
      </c>
      <c r="V186" s="37">
        <f>IF(B186="","",U186*INDEX(PRECIOS!$E$6:$E$55,K186))</f>
      </c>
      <c r="W186" s="37">
        <f>IF(B186="","",IF(ENTRADA!$L186="",R186*INDEX(PRECIOS!$G$6:$G$55,K186),ENTRADA!$L186))</f>
      </c>
      <c r="X186" s="37">
        <f>IF(B186="","",R186*Km_Puerto_Viaje*INDEX(PRECIOS!$N$6:$N$55,K186))</f>
      </c>
      <c r="Y186" s="70">
        <f>IF(B186="","",S186+V186+W186+X186)</f>
      </c>
      <c r="Z186" s="71">
        <f>IF(B186="","",IF(J186=0,0,ROUNDUP(J186/Rend_Desagrupe,0)))</f>
      </c>
      <c r="AA186" s="71">
        <f>IF(B186="","",IF(ENTRADA!$M186="",Z186,ENTRADA!$M186))</f>
      </c>
      <c r="AB186" s="37">
        <f>IF(B186="","",AA186*INDEX(PRECIOS!$H$6:$H$55,K186))</f>
      </c>
      <c r="AC186" s="37">
        <f>IF(B186="","",IF(E186="ENCI",INDEX(PRECIOS!$J$6:$J$55,K186),IF(E186="A.V",INDEX(PRECIOS!$K$6:$K$55,K186),0)))</f>
      </c>
      <c r="AD186" s="37">
        <f>IF(B186="","",N(ENTRADA!$N186))</f>
      </c>
      <c r="AE186" s="70">
        <f>IF(B186="","",AB186+AC186+AD186)</f>
      </c>
      <c r="AF186" s="71">
        <f>IF(B186="","",IF(G186=0,0,ROUNDUP(G186/Cap_Camion_OCC,0)))</f>
      </c>
      <c r="AG186" s="71">
        <f>IF(B186="","",AF186*L_Dist_OCC)</f>
      </c>
      <c r="AH186" s="71">
        <f>IF(B186="","",IF(ENTRADA!$O186="",AG186,ENTRADA!$O186))</f>
      </c>
      <c r="AI186" s="37">
        <f>IF(B186="","",AH186*INDEX(PRECIOS!$E$6:$E$55,K186))</f>
      </c>
      <c r="AJ186" s="71">
        <f>IF(B186="","",IF(H186=0,0,ROUNDUP(H186/Cap_Camion_CEN,0)))</f>
      </c>
      <c r="AK186" s="71">
        <f>IF(B186="","",AJ186*L_Tras_CEN)</f>
      </c>
      <c r="AL186" s="71">
        <f>IF(B186="","",IF(ENTRADA!$P186="",AK186,ENTRADA!$P186))</f>
      </c>
      <c r="AM186" s="71">
        <f>IF(B186="","",AJ186*L_Dist_CEN)</f>
      </c>
      <c r="AN186" s="71">
        <f>IF(B186="","",IF(ENTRADA!$Q186="",AM186,ENTRADA!$Q186))</f>
      </c>
      <c r="AO186" s="37">
        <f>IF(B186="","",(AL186+AN186)*INDEX(PRECIOS!$E$6:$E$55,K186))</f>
      </c>
      <c r="AP186" s="71">
        <f>IF(B186="","",IF(H186=0,0,ROUNDUP(H186/Rend_Desagrupe_CT,0)))</f>
      </c>
      <c r="AQ186" s="71">
        <f>IF(B186="","",IF(ENTRADA!$R186="",AP186,ENTRADA!$R186))</f>
      </c>
      <c r="AR186" s="37">
        <f>IF(B186="","",AQ186*INDEX(PRECIOS!$I$6:$I$55,K186))</f>
      </c>
      <c r="AS186" s="37">
        <f>IF(B186="","",AO186+AR186)</f>
      </c>
      <c r="AT186" s="71">
        <f>IF(B186="","",IF(I186=0,0,ROUNDUP(I186/Cap_Camion_ORI,0)))</f>
      </c>
      <c r="AU186" s="71">
        <f>IF(B186="","",AT186*L_Tras_ORI)</f>
      </c>
      <c r="AV186" s="71">
        <f>IF(B186="","",IF(ENTRADA!$S186="",AU186,ENTRADA!$S186))</f>
      </c>
      <c r="AW186" s="71">
        <f>IF(B186="","",AT186*L_Dist_ORI)</f>
      </c>
      <c r="AX186" s="71">
        <f>IF(B186="","",IF(ENTRADA!$T186="",AW186,ENTRADA!$T186))</f>
      </c>
      <c r="AY186" s="37">
        <f>IF(B186="","",(AV186+AX186)*INDEX(PRECIOS!$E$6:$E$55,K186))</f>
      </c>
      <c r="AZ186" s="71">
        <f>IF(B186="","",IF(I186=0,0,ROUNDUP(I186/Rend_Desagrupe_CT,0)))</f>
      </c>
      <c r="BA186" s="71">
        <f>IF(B186="","",IF(ENTRADA!$U186="",AZ186,ENTRADA!$U186))</f>
      </c>
      <c r="BB186" s="37">
        <f>IF(B186="","",BA186*INDEX(PRECIOS!$I$6:$I$55,K186))</f>
      </c>
      <c r="BC186" s="37">
        <f>IF(B186="","",AY186+BB186)</f>
      </c>
      <c r="BD186" s="70">
        <f>IF(B186="","",AI186+AS186+BC186)</f>
      </c>
      <c r="BE186" s="37">
        <f>IF(B186="","",IF(Base_Comision="% DEL INGRESO",M186*INDEX(PRECIOS!$L$6:$L$55,K186),G186*INDEX(PRECIOS!$M$6:$M$55,K186)))</f>
      </c>
      <c r="BF186" s="37">
        <f>IF(B186="","",IF(Base_Comision="% DEL INGRESO",N186*INDEX(PRECIOS!$L$6:$L$55,K186),H186*INDEX(PRECIOS!$M$6:$M$55,K186)))</f>
      </c>
      <c r="BG186" s="37">
        <f>IF(B186="","",IF(Base_Comision="% DEL INGRESO",O186*INDEX(PRECIOS!$L$6:$L$55,K186),I186*INDEX(PRECIOS!$M$6:$M$55,K186)))</f>
      </c>
      <c r="BH186" s="70">
        <f>IF(B186="","",BE186+BF186+BG186)</f>
      </c>
      <c r="BI186" s="37">
        <f>IF(B186="","",Q186*Pct_Reclamaciones)</f>
      </c>
      <c r="BJ186" s="37">
        <f>IF(B186="","",Q186*Pct_Banco)</f>
      </c>
      <c r="BK186" s="37">
        <f>IF(B186="","",N(ENTRADA!$V186))</f>
      </c>
      <c r="BL186" s="70">
        <f>IF(B186="","",Y186+AE186+BD186+BH186+BI186+BJ186+BK186)</f>
      </c>
      <c r="BM186" s="70">
        <f>IF(B186="","",Q186-BL186)</f>
      </c>
      <c r="BN186" s="72">
        <f>IF(B186="","",IF(Q186=0,0,BM186/Q186))</f>
      </c>
      <c r="BO186" s="73">
        <f>IF(B186="","",IF(J186=0,0,BM186/J186))</f>
      </c>
      <c r="BP186" s="60">
        <f>IF(B186="","",IFERROR(MATCH(D186,COSTOS_FIJOS!$G$5:$AD$5,0),0))</f>
      </c>
      <c r="BQ186" s="60">
        <f>IF(B186="","",COUNTIFS($D$6:$D$305,D186))</f>
      </c>
      <c r="BR186" s="67">
        <f>IF(B186="","",SUMIFS($J$6:$J$305,$D$6:$D$305,D186))</f>
      </c>
      <c r="BS186" s="72">
        <f>IF(B186="","",IF(Metodo_Prorrateo="KG",IF(BR186=0,0,J186/BR186),1/BQ186))</f>
      </c>
      <c r="BT186" s="37">
        <f>IF(B186="","",IF(BP186=0,0,INDEX(COSTOS_FIJOS!$G$38:$AD$38,BP186))*BS186)</f>
      </c>
      <c r="BU186" s="72">
        <f>IF(B186="","",IF(Metodo_Prorrateo="KG",IF(SUMIFS($G$6:$G$305,$D$6:$D$305,D186)=0,0,G186/SUMIFS($G$6:$G$305,$D$6:$D$305,D186)),IF(G186&gt;0,1/COUNTIFS($D$6:$D$305,D186,$G$6:$G$305,"&gt;0"),0)))</f>
      </c>
      <c r="BV186" s="37">
        <f>IF(B186="","",IF(BP186=0,0,INDEX(COSTOS_FIJOS!$G$39:$AD$39,BP186))*BU186)</f>
      </c>
      <c r="BW186" s="72">
        <f>IF(B186="","",IF(Metodo_Prorrateo="KG",IF(SUMIFS($H$6:$H$305,$D$6:$D$305,D186)=0,0,H186/SUMIFS($H$6:$H$305,$D$6:$D$305,D186)),IF(H186&gt;0,1/COUNTIFS($D$6:$D$305,D186,$H$6:$H$305,"&gt;0"),0)))</f>
      </c>
      <c r="BX186" s="37">
        <f>IF(B186="","",IF(BP186=0,0,INDEX(COSTOS_FIJOS!$G$40:$AD$40,BP186))*BW186)</f>
      </c>
      <c r="BY186" s="72">
        <f>IF(B186="","",IF(Metodo_Prorrateo="KG",IF(SUMIFS($I$6:$I$305,$D$6:$D$305,D186)=0,0,I186/SUMIFS($I$6:$I$305,$D$6:$D$305,D186)),IF(I186&gt;0,1/COUNTIFS($D$6:$D$305,D186,$I$6:$I$305,"&gt;0"),0)))</f>
      </c>
      <c r="BZ186" s="37">
        <f>IF(B186="","",IF(BP186=0,0,INDEX(COSTOS_FIJOS!$G$41:$AD$41,BP186))*BY186)</f>
      </c>
      <c r="CA186" s="70">
        <f>IF(B186="","",BT186+BV186+BX186+BZ186)</f>
      </c>
      <c r="CB186" s="37">
        <f>IF(B186="","",Q186*Imp_Ventas_Serv)</f>
      </c>
      <c r="CC186" s="37">
        <f>IF(B186="","",Q186*Contrib_Territorial)</f>
      </c>
      <c r="CD186" s="70">
        <f>IF(B186="","",BM186-CA186-CB186-CC186)</f>
      </c>
      <c r="CE186" s="37">
        <f>IF(B186="","",MAX(0,CD186)*Imp_Utilidades)</f>
      </c>
      <c r="CF186" s="70">
        <f>IF(B186="","",CD186-CE186)</f>
      </c>
      <c r="CG186" s="72">
        <f>IF(B186="","",IF(Q186=0,0,CF186/Q186))</f>
      </c>
      <c r="CH186" s="73">
        <f>IF(B186="","",IF(J186=0,0,(BL186+CA186+CB186+CC186)/J186))</f>
      </c>
      <c r="CI186" s="73">
        <f>IF(B186="","",IF(J186=0,0,Q186/J186))</f>
      </c>
      <c r="CJ186" s="73">
        <f>IF(B186="","",IF(J186=0,0,CD186/J186))</f>
      </c>
      <c r="CK186" s="37">
        <f>IF(B186="","",Y186+AE186+BK186+BT186)</f>
      </c>
      <c r="CL186" s="37">
        <f>IF(B186="","",IF(J186=0,0,(M186+P186*G186/J186)*(1-Pct_Reclamaciones-Pct_Banco-Imp_Ventas_Serv-Contrib_Territorial)-AI186-BE186-BV186-CK186*G186/J186))</f>
      </c>
      <c r="CM186" s="37">
        <f>IF(B186="","",IF(J186=0,0,(N186+P186*H186/J186)*(1-Pct_Reclamaciones-Pct_Banco-Imp_Ventas_Serv-Contrib_Territorial)-AS186-BF186-BX186-CK186*H186/J186))</f>
      </c>
      <c r="CN186" s="37">
        <f>IF(B186="","",IF(J186=0,0,(O186+P186*I186/J186)*(1-Pct_Reclamaciones-Pct_Banco-Imp_Ventas_Serv-Contrib_Territorial)-BC186-BG186-BZ186-CK186*I186/J186))</f>
      </c>
      <c r="CO186" s="37">
        <f>IF(B186="","",IF(J186=0,0,ROUND(CD186-CL186-CM186-CN186,4)))</f>
      </c>
      <c r="CP186" s="71">
        <f>IF(B186="","",T186+AG186+AK186+AM186+AU186+AW186)</f>
      </c>
      <c r="CQ186" s="71">
        <f>IF(B186="","",U186+AH186+AL186+AN186+AV186+AX186)</f>
      </c>
      <c r="CR186" s="72">
        <f>IF(B186="","",IF(CP186=0,0,CQ186/CP186-1))</f>
      </c>
      <c r="CS186" s="60">
        <f>IF(B186="","",IF(ENTRADA!$Y186="","",ENTRADA!$Y186-C186))</f>
      </c>
      <c r="CT186" s="66">
        <f>IF(B186="","",IF(ENTRADA!$C186="","Falta fecha. ","")&amp;IF(BP186=0,"Mes fuera del rango de COSTOS_FIJOS. ","")&amp;IF(J186=0,"Sin kg. ","")&amp;IF(E186="","Falta transitaria. ","")&amp;IF(AND(T186&gt;0,U186/T186-1&gt;Tolerancia_Comb),"Combustible al puerto "&amp;TEXT(U186/T186-1,"+0%")&amp;" sobre norma. ","")&amp;IF(AND(AG186&gt;0,AH186/AG186-1&gt;Tolerancia_Comb),"Combustible distribución Occidente "&amp;TEXT(AH186/AG186-1,"+0%")&amp;" sobre norma. ","")&amp;IF(AND(AK186&gt;0,AL186/AK186-1&gt;Tolerancia_Comb),"Combustible traslado Centro "&amp;TEXT(AL186/AK186-1,"+0%")&amp;" sobre norma. ","")&amp;IF(AND(AM186&gt;0,AN186/AM186-1&gt;Tolerancia_Comb),"Combustible distribución Centro "&amp;TEXT(AN186/AM186-1,"+0%")&amp;" sobre norma. ","")&amp;IF(AND(AU186&gt;0,AV186/AU186-1&gt;Tolerancia_Comb),"Combustible traslado Oriente "&amp;TEXT(AV186/AU186-1,"+0%")&amp;" sobre norma. ","")&amp;IF(AND(AW186&gt;0,AX186/AW186-1&gt;Tolerancia_Comb),"Combustible distribución Oriente "&amp;TEXT(AX186/AW186-1,"+0%")&amp;" sobre norma. ","")&amp;IF(AND(ENTRADA!$C186&lt;&gt;"",C186&lt;PRECIOS!$A$6),"Fecha anterior a la 1ª vigencia de precios. ","")&amp;IF(CD186&lt;0,"Contenedor con pérdida. ",""))</f>
      </c>
    </row>
    <row r="187">
      <c r="A187" s="60">
        <f>IF(B187="","",ROW()-5)</f>
      </c>
      <c r="B187" s="63">
        <f>IF(ENTRADA!$B187="","",ENTRADA!$B187)</f>
      </c>
      <c r="C187" s="64">
        <f>IF(B187="","",ENTRADA!$C187)</f>
      </c>
      <c r="D187" s="65">
        <f>IF(B187="","",DATE(YEAR(C187),MONTH(C187),1))</f>
      </c>
      <c r="E187" s="66">
        <f>IF(B187="","",ENTRADA!$D187&amp;"")</f>
      </c>
      <c r="F187" s="66">
        <f>IF(B187="","",ENTRADA!$Z187&amp;"")</f>
      </c>
      <c r="G187" s="67">
        <f>IF(B187="","",N(ENTRADA!$G187))</f>
      </c>
      <c r="H187" s="67">
        <f>IF(B187="","",N(ENTRADA!$H187))</f>
      </c>
      <c r="I187" s="67">
        <f>IF(B187="","",N(ENTRADA!$I187))</f>
      </c>
      <c r="J187" s="68">
        <f>IF(B187="","",G187+H187+I187)</f>
      </c>
      <c r="K187" s="60">
        <f>IF(B187="","",IFERROR(MATCH(SUMPRODUCT(MAX((PRECIOS!$A$6:$A$55&lt;=C187)*PRECIOS!$A$6:$A$55)),PRECIOS!$A$6:$A$55,0),1))</f>
      </c>
      <c r="L187" s="69">
        <f>IF(B187="","",INDEX(PRECIOS!$A$6:$A$55,K187))</f>
      </c>
      <c r="M187" s="37">
        <f>IF(B187="","",G187*INDEX(PRECIOS!$B$6:$B$55,K187))</f>
      </c>
      <c r="N187" s="37">
        <f>IF(B187="","",H187*INDEX(PRECIOS!$C$6:$C$55,K187))</f>
      </c>
      <c r="O187" s="37">
        <f>IF(B187="","",I187*INDEX(PRECIOS!$D$6:$D$55,K187))</f>
      </c>
      <c r="P187" s="37">
        <f>IF(B187="","",N(ENTRADA!$X187))</f>
      </c>
      <c r="Q187" s="70">
        <f>IF(B187="","",M187+N187+O187+P187)</f>
      </c>
      <c r="R187" s="71">
        <f>IF(B187="","",IF(ENTRADA!$J187="",Std_Viajes_Puerto,ENTRADA!$J187))</f>
      </c>
      <c r="S187" s="37">
        <f>IF(B187="","",R187*INDEX(PRECIOS!$F$6:$F$55,K187))</f>
      </c>
      <c r="T187" s="71">
        <f>IF(B187="","",R187*Litros_Puerto_Viaje)</f>
      </c>
      <c r="U187" s="71">
        <f>IF(B187="","",IF(ENTRADA!$K187="",T187,ENTRADA!$K187))</f>
      </c>
      <c r="V187" s="37">
        <f>IF(B187="","",U187*INDEX(PRECIOS!$E$6:$E$55,K187))</f>
      </c>
      <c r="W187" s="37">
        <f>IF(B187="","",IF(ENTRADA!$L187="",R187*INDEX(PRECIOS!$G$6:$G$55,K187),ENTRADA!$L187))</f>
      </c>
      <c r="X187" s="37">
        <f>IF(B187="","",R187*Km_Puerto_Viaje*INDEX(PRECIOS!$N$6:$N$55,K187))</f>
      </c>
      <c r="Y187" s="70">
        <f>IF(B187="","",S187+V187+W187+X187)</f>
      </c>
      <c r="Z187" s="71">
        <f>IF(B187="","",IF(J187=0,0,ROUNDUP(J187/Rend_Desagrupe,0)))</f>
      </c>
      <c r="AA187" s="71">
        <f>IF(B187="","",IF(ENTRADA!$M187="",Z187,ENTRADA!$M187))</f>
      </c>
      <c r="AB187" s="37">
        <f>IF(B187="","",AA187*INDEX(PRECIOS!$H$6:$H$55,K187))</f>
      </c>
      <c r="AC187" s="37">
        <f>IF(B187="","",IF(E187="ENCI",INDEX(PRECIOS!$J$6:$J$55,K187),IF(E187="A.V",INDEX(PRECIOS!$K$6:$K$55,K187),0)))</f>
      </c>
      <c r="AD187" s="37">
        <f>IF(B187="","",N(ENTRADA!$N187))</f>
      </c>
      <c r="AE187" s="70">
        <f>IF(B187="","",AB187+AC187+AD187)</f>
      </c>
      <c r="AF187" s="71">
        <f>IF(B187="","",IF(G187=0,0,ROUNDUP(G187/Cap_Camion_OCC,0)))</f>
      </c>
      <c r="AG187" s="71">
        <f>IF(B187="","",AF187*L_Dist_OCC)</f>
      </c>
      <c r="AH187" s="71">
        <f>IF(B187="","",IF(ENTRADA!$O187="",AG187,ENTRADA!$O187))</f>
      </c>
      <c r="AI187" s="37">
        <f>IF(B187="","",AH187*INDEX(PRECIOS!$E$6:$E$55,K187))</f>
      </c>
      <c r="AJ187" s="71">
        <f>IF(B187="","",IF(H187=0,0,ROUNDUP(H187/Cap_Camion_CEN,0)))</f>
      </c>
      <c r="AK187" s="71">
        <f>IF(B187="","",AJ187*L_Tras_CEN)</f>
      </c>
      <c r="AL187" s="71">
        <f>IF(B187="","",IF(ENTRADA!$P187="",AK187,ENTRADA!$P187))</f>
      </c>
      <c r="AM187" s="71">
        <f>IF(B187="","",AJ187*L_Dist_CEN)</f>
      </c>
      <c r="AN187" s="71">
        <f>IF(B187="","",IF(ENTRADA!$Q187="",AM187,ENTRADA!$Q187))</f>
      </c>
      <c r="AO187" s="37">
        <f>IF(B187="","",(AL187+AN187)*INDEX(PRECIOS!$E$6:$E$55,K187))</f>
      </c>
      <c r="AP187" s="71">
        <f>IF(B187="","",IF(H187=0,0,ROUNDUP(H187/Rend_Desagrupe_CT,0)))</f>
      </c>
      <c r="AQ187" s="71">
        <f>IF(B187="","",IF(ENTRADA!$R187="",AP187,ENTRADA!$R187))</f>
      </c>
      <c r="AR187" s="37">
        <f>IF(B187="","",AQ187*INDEX(PRECIOS!$I$6:$I$55,K187))</f>
      </c>
      <c r="AS187" s="37">
        <f>IF(B187="","",AO187+AR187)</f>
      </c>
      <c r="AT187" s="71">
        <f>IF(B187="","",IF(I187=0,0,ROUNDUP(I187/Cap_Camion_ORI,0)))</f>
      </c>
      <c r="AU187" s="71">
        <f>IF(B187="","",AT187*L_Tras_ORI)</f>
      </c>
      <c r="AV187" s="71">
        <f>IF(B187="","",IF(ENTRADA!$S187="",AU187,ENTRADA!$S187))</f>
      </c>
      <c r="AW187" s="71">
        <f>IF(B187="","",AT187*L_Dist_ORI)</f>
      </c>
      <c r="AX187" s="71">
        <f>IF(B187="","",IF(ENTRADA!$T187="",AW187,ENTRADA!$T187))</f>
      </c>
      <c r="AY187" s="37">
        <f>IF(B187="","",(AV187+AX187)*INDEX(PRECIOS!$E$6:$E$55,K187))</f>
      </c>
      <c r="AZ187" s="71">
        <f>IF(B187="","",IF(I187=0,0,ROUNDUP(I187/Rend_Desagrupe_CT,0)))</f>
      </c>
      <c r="BA187" s="71">
        <f>IF(B187="","",IF(ENTRADA!$U187="",AZ187,ENTRADA!$U187))</f>
      </c>
      <c r="BB187" s="37">
        <f>IF(B187="","",BA187*INDEX(PRECIOS!$I$6:$I$55,K187))</f>
      </c>
      <c r="BC187" s="37">
        <f>IF(B187="","",AY187+BB187)</f>
      </c>
      <c r="BD187" s="70">
        <f>IF(B187="","",AI187+AS187+BC187)</f>
      </c>
      <c r="BE187" s="37">
        <f>IF(B187="","",IF(Base_Comision="% DEL INGRESO",M187*INDEX(PRECIOS!$L$6:$L$55,K187),G187*INDEX(PRECIOS!$M$6:$M$55,K187)))</f>
      </c>
      <c r="BF187" s="37">
        <f>IF(B187="","",IF(Base_Comision="% DEL INGRESO",N187*INDEX(PRECIOS!$L$6:$L$55,K187),H187*INDEX(PRECIOS!$M$6:$M$55,K187)))</f>
      </c>
      <c r="BG187" s="37">
        <f>IF(B187="","",IF(Base_Comision="% DEL INGRESO",O187*INDEX(PRECIOS!$L$6:$L$55,K187),I187*INDEX(PRECIOS!$M$6:$M$55,K187)))</f>
      </c>
      <c r="BH187" s="70">
        <f>IF(B187="","",BE187+BF187+BG187)</f>
      </c>
      <c r="BI187" s="37">
        <f>IF(B187="","",Q187*Pct_Reclamaciones)</f>
      </c>
      <c r="BJ187" s="37">
        <f>IF(B187="","",Q187*Pct_Banco)</f>
      </c>
      <c r="BK187" s="37">
        <f>IF(B187="","",N(ENTRADA!$V187))</f>
      </c>
      <c r="BL187" s="70">
        <f>IF(B187="","",Y187+AE187+BD187+BH187+BI187+BJ187+BK187)</f>
      </c>
      <c r="BM187" s="70">
        <f>IF(B187="","",Q187-BL187)</f>
      </c>
      <c r="BN187" s="72">
        <f>IF(B187="","",IF(Q187=0,0,BM187/Q187))</f>
      </c>
      <c r="BO187" s="73">
        <f>IF(B187="","",IF(J187=0,0,BM187/J187))</f>
      </c>
      <c r="BP187" s="60">
        <f>IF(B187="","",IFERROR(MATCH(D187,COSTOS_FIJOS!$G$5:$AD$5,0),0))</f>
      </c>
      <c r="BQ187" s="60">
        <f>IF(B187="","",COUNTIFS($D$6:$D$305,D187))</f>
      </c>
      <c r="BR187" s="67">
        <f>IF(B187="","",SUMIFS($J$6:$J$305,$D$6:$D$305,D187))</f>
      </c>
      <c r="BS187" s="72">
        <f>IF(B187="","",IF(Metodo_Prorrateo="KG",IF(BR187=0,0,J187/BR187),1/BQ187))</f>
      </c>
      <c r="BT187" s="37">
        <f>IF(B187="","",IF(BP187=0,0,INDEX(COSTOS_FIJOS!$G$38:$AD$38,BP187))*BS187)</f>
      </c>
      <c r="BU187" s="72">
        <f>IF(B187="","",IF(Metodo_Prorrateo="KG",IF(SUMIFS($G$6:$G$305,$D$6:$D$305,D187)=0,0,G187/SUMIFS($G$6:$G$305,$D$6:$D$305,D187)),IF(G187&gt;0,1/COUNTIFS($D$6:$D$305,D187,$G$6:$G$305,"&gt;0"),0)))</f>
      </c>
      <c r="BV187" s="37">
        <f>IF(B187="","",IF(BP187=0,0,INDEX(COSTOS_FIJOS!$G$39:$AD$39,BP187))*BU187)</f>
      </c>
      <c r="BW187" s="72">
        <f>IF(B187="","",IF(Metodo_Prorrateo="KG",IF(SUMIFS($H$6:$H$305,$D$6:$D$305,D187)=0,0,H187/SUMIFS($H$6:$H$305,$D$6:$D$305,D187)),IF(H187&gt;0,1/COUNTIFS($D$6:$D$305,D187,$H$6:$H$305,"&gt;0"),0)))</f>
      </c>
      <c r="BX187" s="37">
        <f>IF(B187="","",IF(BP187=0,0,INDEX(COSTOS_FIJOS!$G$40:$AD$40,BP187))*BW187)</f>
      </c>
      <c r="BY187" s="72">
        <f>IF(B187="","",IF(Metodo_Prorrateo="KG",IF(SUMIFS($I$6:$I$305,$D$6:$D$305,D187)=0,0,I187/SUMIFS($I$6:$I$305,$D$6:$D$305,D187)),IF(I187&gt;0,1/COUNTIFS($D$6:$D$305,D187,$I$6:$I$305,"&gt;0"),0)))</f>
      </c>
      <c r="BZ187" s="37">
        <f>IF(B187="","",IF(BP187=0,0,INDEX(COSTOS_FIJOS!$G$41:$AD$41,BP187))*BY187)</f>
      </c>
      <c r="CA187" s="70">
        <f>IF(B187="","",BT187+BV187+BX187+BZ187)</f>
      </c>
      <c r="CB187" s="37">
        <f>IF(B187="","",Q187*Imp_Ventas_Serv)</f>
      </c>
      <c r="CC187" s="37">
        <f>IF(B187="","",Q187*Contrib_Territorial)</f>
      </c>
      <c r="CD187" s="70">
        <f>IF(B187="","",BM187-CA187-CB187-CC187)</f>
      </c>
      <c r="CE187" s="37">
        <f>IF(B187="","",MAX(0,CD187)*Imp_Utilidades)</f>
      </c>
      <c r="CF187" s="70">
        <f>IF(B187="","",CD187-CE187)</f>
      </c>
      <c r="CG187" s="72">
        <f>IF(B187="","",IF(Q187=0,0,CF187/Q187))</f>
      </c>
      <c r="CH187" s="73">
        <f>IF(B187="","",IF(J187=0,0,(BL187+CA187+CB187+CC187)/J187))</f>
      </c>
      <c r="CI187" s="73">
        <f>IF(B187="","",IF(J187=0,0,Q187/J187))</f>
      </c>
      <c r="CJ187" s="73">
        <f>IF(B187="","",IF(J187=0,0,CD187/J187))</f>
      </c>
      <c r="CK187" s="37">
        <f>IF(B187="","",Y187+AE187+BK187+BT187)</f>
      </c>
      <c r="CL187" s="37">
        <f>IF(B187="","",IF(J187=0,0,(M187+P187*G187/J187)*(1-Pct_Reclamaciones-Pct_Banco-Imp_Ventas_Serv-Contrib_Territorial)-AI187-BE187-BV187-CK187*G187/J187))</f>
      </c>
      <c r="CM187" s="37">
        <f>IF(B187="","",IF(J187=0,0,(N187+P187*H187/J187)*(1-Pct_Reclamaciones-Pct_Banco-Imp_Ventas_Serv-Contrib_Territorial)-AS187-BF187-BX187-CK187*H187/J187))</f>
      </c>
      <c r="CN187" s="37">
        <f>IF(B187="","",IF(J187=0,0,(O187+P187*I187/J187)*(1-Pct_Reclamaciones-Pct_Banco-Imp_Ventas_Serv-Contrib_Territorial)-BC187-BG187-BZ187-CK187*I187/J187))</f>
      </c>
      <c r="CO187" s="37">
        <f>IF(B187="","",IF(J187=0,0,ROUND(CD187-CL187-CM187-CN187,4)))</f>
      </c>
      <c r="CP187" s="71">
        <f>IF(B187="","",T187+AG187+AK187+AM187+AU187+AW187)</f>
      </c>
      <c r="CQ187" s="71">
        <f>IF(B187="","",U187+AH187+AL187+AN187+AV187+AX187)</f>
      </c>
      <c r="CR187" s="72">
        <f>IF(B187="","",IF(CP187=0,0,CQ187/CP187-1))</f>
      </c>
      <c r="CS187" s="60">
        <f>IF(B187="","",IF(ENTRADA!$Y187="","",ENTRADA!$Y187-C187))</f>
      </c>
      <c r="CT187" s="66">
        <f>IF(B187="","",IF(ENTRADA!$C187="","Falta fecha. ","")&amp;IF(BP187=0,"Mes fuera del rango de COSTOS_FIJOS. ","")&amp;IF(J187=0,"Sin kg. ","")&amp;IF(E187="","Falta transitaria. ","")&amp;IF(AND(T187&gt;0,U187/T187-1&gt;Tolerancia_Comb),"Combustible al puerto "&amp;TEXT(U187/T187-1,"+0%")&amp;" sobre norma. ","")&amp;IF(AND(AG187&gt;0,AH187/AG187-1&gt;Tolerancia_Comb),"Combustible distribución Occidente "&amp;TEXT(AH187/AG187-1,"+0%")&amp;" sobre norma. ","")&amp;IF(AND(AK187&gt;0,AL187/AK187-1&gt;Tolerancia_Comb),"Combustible traslado Centro "&amp;TEXT(AL187/AK187-1,"+0%")&amp;" sobre norma. ","")&amp;IF(AND(AM187&gt;0,AN187/AM187-1&gt;Tolerancia_Comb),"Combustible distribución Centro "&amp;TEXT(AN187/AM187-1,"+0%")&amp;" sobre norma. ","")&amp;IF(AND(AU187&gt;0,AV187/AU187-1&gt;Tolerancia_Comb),"Combustible traslado Oriente "&amp;TEXT(AV187/AU187-1,"+0%")&amp;" sobre norma. ","")&amp;IF(AND(AW187&gt;0,AX187/AW187-1&gt;Tolerancia_Comb),"Combustible distribución Oriente "&amp;TEXT(AX187/AW187-1,"+0%")&amp;" sobre norma. ","")&amp;IF(AND(ENTRADA!$C187&lt;&gt;"",C187&lt;PRECIOS!$A$6),"Fecha anterior a la 1ª vigencia de precios. ","")&amp;IF(CD187&lt;0,"Contenedor con pérdida. ",""))</f>
      </c>
    </row>
    <row r="188">
      <c r="A188" s="60">
        <f>IF(B188="","",ROW()-5)</f>
      </c>
      <c r="B188" s="63">
        <f>IF(ENTRADA!$B188="","",ENTRADA!$B188)</f>
      </c>
      <c r="C188" s="64">
        <f>IF(B188="","",ENTRADA!$C188)</f>
      </c>
      <c r="D188" s="65">
        <f>IF(B188="","",DATE(YEAR(C188),MONTH(C188),1))</f>
      </c>
      <c r="E188" s="66">
        <f>IF(B188="","",ENTRADA!$D188&amp;"")</f>
      </c>
      <c r="F188" s="66">
        <f>IF(B188="","",ENTRADA!$Z188&amp;"")</f>
      </c>
      <c r="G188" s="67">
        <f>IF(B188="","",N(ENTRADA!$G188))</f>
      </c>
      <c r="H188" s="67">
        <f>IF(B188="","",N(ENTRADA!$H188))</f>
      </c>
      <c r="I188" s="67">
        <f>IF(B188="","",N(ENTRADA!$I188))</f>
      </c>
      <c r="J188" s="68">
        <f>IF(B188="","",G188+H188+I188)</f>
      </c>
      <c r="K188" s="60">
        <f>IF(B188="","",IFERROR(MATCH(SUMPRODUCT(MAX((PRECIOS!$A$6:$A$55&lt;=C188)*PRECIOS!$A$6:$A$55)),PRECIOS!$A$6:$A$55,0),1))</f>
      </c>
      <c r="L188" s="69">
        <f>IF(B188="","",INDEX(PRECIOS!$A$6:$A$55,K188))</f>
      </c>
      <c r="M188" s="37">
        <f>IF(B188="","",G188*INDEX(PRECIOS!$B$6:$B$55,K188))</f>
      </c>
      <c r="N188" s="37">
        <f>IF(B188="","",H188*INDEX(PRECIOS!$C$6:$C$55,K188))</f>
      </c>
      <c r="O188" s="37">
        <f>IF(B188="","",I188*INDEX(PRECIOS!$D$6:$D$55,K188))</f>
      </c>
      <c r="P188" s="37">
        <f>IF(B188="","",N(ENTRADA!$X188))</f>
      </c>
      <c r="Q188" s="70">
        <f>IF(B188="","",M188+N188+O188+P188)</f>
      </c>
      <c r="R188" s="71">
        <f>IF(B188="","",IF(ENTRADA!$J188="",Std_Viajes_Puerto,ENTRADA!$J188))</f>
      </c>
      <c r="S188" s="37">
        <f>IF(B188="","",R188*INDEX(PRECIOS!$F$6:$F$55,K188))</f>
      </c>
      <c r="T188" s="71">
        <f>IF(B188="","",R188*Litros_Puerto_Viaje)</f>
      </c>
      <c r="U188" s="71">
        <f>IF(B188="","",IF(ENTRADA!$K188="",T188,ENTRADA!$K188))</f>
      </c>
      <c r="V188" s="37">
        <f>IF(B188="","",U188*INDEX(PRECIOS!$E$6:$E$55,K188))</f>
      </c>
      <c r="W188" s="37">
        <f>IF(B188="","",IF(ENTRADA!$L188="",R188*INDEX(PRECIOS!$G$6:$G$55,K188),ENTRADA!$L188))</f>
      </c>
      <c r="X188" s="37">
        <f>IF(B188="","",R188*Km_Puerto_Viaje*INDEX(PRECIOS!$N$6:$N$55,K188))</f>
      </c>
      <c r="Y188" s="70">
        <f>IF(B188="","",S188+V188+W188+X188)</f>
      </c>
      <c r="Z188" s="71">
        <f>IF(B188="","",IF(J188=0,0,ROUNDUP(J188/Rend_Desagrupe,0)))</f>
      </c>
      <c r="AA188" s="71">
        <f>IF(B188="","",IF(ENTRADA!$M188="",Z188,ENTRADA!$M188))</f>
      </c>
      <c r="AB188" s="37">
        <f>IF(B188="","",AA188*INDEX(PRECIOS!$H$6:$H$55,K188))</f>
      </c>
      <c r="AC188" s="37">
        <f>IF(B188="","",IF(E188="ENCI",INDEX(PRECIOS!$J$6:$J$55,K188),IF(E188="A.V",INDEX(PRECIOS!$K$6:$K$55,K188),0)))</f>
      </c>
      <c r="AD188" s="37">
        <f>IF(B188="","",N(ENTRADA!$N188))</f>
      </c>
      <c r="AE188" s="70">
        <f>IF(B188="","",AB188+AC188+AD188)</f>
      </c>
      <c r="AF188" s="71">
        <f>IF(B188="","",IF(G188=0,0,ROUNDUP(G188/Cap_Camion_OCC,0)))</f>
      </c>
      <c r="AG188" s="71">
        <f>IF(B188="","",AF188*L_Dist_OCC)</f>
      </c>
      <c r="AH188" s="71">
        <f>IF(B188="","",IF(ENTRADA!$O188="",AG188,ENTRADA!$O188))</f>
      </c>
      <c r="AI188" s="37">
        <f>IF(B188="","",AH188*INDEX(PRECIOS!$E$6:$E$55,K188))</f>
      </c>
      <c r="AJ188" s="71">
        <f>IF(B188="","",IF(H188=0,0,ROUNDUP(H188/Cap_Camion_CEN,0)))</f>
      </c>
      <c r="AK188" s="71">
        <f>IF(B188="","",AJ188*L_Tras_CEN)</f>
      </c>
      <c r="AL188" s="71">
        <f>IF(B188="","",IF(ENTRADA!$P188="",AK188,ENTRADA!$P188))</f>
      </c>
      <c r="AM188" s="71">
        <f>IF(B188="","",AJ188*L_Dist_CEN)</f>
      </c>
      <c r="AN188" s="71">
        <f>IF(B188="","",IF(ENTRADA!$Q188="",AM188,ENTRADA!$Q188))</f>
      </c>
      <c r="AO188" s="37">
        <f>IF(B188="","",(AL188+AN188)*INDEX(PRECIOS!$E$6:$E$55,K188))</f>
      </c>
      <c r="AP188" s="71">
        <f>IF(B188="","",IF(H188=0,0,ROUNDUP(H188/Rend_Desagrupe_CT,0)))</f>
      </c>
      <c r="AQ188" s="71">
        <f>IF(B188="","",IF(ENTRADA!$R188="",AP188,ENTRADA!$R188))</f>
      </c>
      <c r="AR188" s="37">
        <f>IF(B188="","",AQ188*INDEX(PRECIOS!$I$6:$I$55,K188))</f>
      </c>
      <c r="AS188" s="37">
        <f>IF(B188="","",AO188+AR188)</f>
      </c>
      <c r="AT188" s="71">
        <f>IF(B188="","",IF(I188=0,0,ROUNDUP(I188/Cap_Camion_ORI,0)))</f>
      </c>
      <c r="AU188" s="71">
        <f>IF(B188="","",AT188*L_Tras_ORI)</f>
      </c>
      <c r="AV188" s="71">
        <f>IF(B188="","",IF(ENTRADA!$S188="",AU188,ENTRADA!$S188))</f>
      </c>
      <c r="AW188" s="71">
        <f>IF(B188="","",AT188*L_Dist_ORI)</f>
      </c>
      <c r="AX188" s="71">
        <f>IF(B188="","",IF(ENTRADA!$T188="",AW188,ENTRADA!$T188))</f>
      </c>
      <c r="AY188" s="37">
        <f>IF(B188="","",(AV188+AX188)*INDEX(PRECIOS!$E$6:$E$55,K188))</f>
      </c>
      <c r="AZ188" s="71">
        <f>IF(B188="","",IF(I188=0,0,ROUNDUP(I188/Rend_Desagrupe_CT,0)))</f>
      </c>
      <c r="BA188" s="71">
        <f>IF(B188="","",IF(ENTRADA!$U188="",AZ188,ENTRADA!$U188))</f>
      </c>
      <c r="BB188" s="37">
        <f>IF(B188="","",BA188*INDEX(PRECIOS!$I$6:$I$55,K188))</f>
      </c>
      <c r="BC188" s="37">
        <f>IF(B188="","",AY188+BB188)</f>
      </c>
      <c r="BD188" s="70">
        <f>IF(B188="","",AI188+AS188+BC188)</f>
      </c>
      <c r="BE188" s="37">
        <f>IF(B188="","",IF(Base_Comision="% DEL INGRESO",M188*INDEX(PRECIOS!$L$6:$L$55,K188),G188*INDEX(PRECIOS!$M$6:$M$55,K188)))</f>
      </c>
      <c r="BF188" s="37">
        <f>IF(B188="","",IF(Base_Comision="% DEL INGRESO",N188*INDEX(PRECIOS!$L$6:$L$55,K188),H188*INDEX(PRECIOS!$M$6:$M$55,K188)))</f>
      </c>
      <c r="BG188" s="37">
        <f>IF(B188="","",IF(Base_Comision="% DEL INGRESO",O188*INDEX(PRECIOS!$L$6:$L$55,K188),I188*INDEX(PRECIOS!$M$6:$M$55,K188)))</f>
      </c>
      <c r="BH188" s="70">
        <f>IF(B188="","",BE188+BF188+BG188)</f>
      </c>
      <c r="BI188" s="37">
        <f>IF(B188="","",Q188*Pct_Reclamaciones)</f>
      </c>
      <c r="BJ188" s="37">
        <f>IF(B188="","",Q188*Pct_Banco)</f>
      </c>
      <c r="BK188" s="37">
        <f>IF(B188="","",N(ENTRADA!$V188))</f>
      </c>
      <c r="BL188" s="70">
        <f>IF(B188="","",Y188+AE188+BD188+BH188+BI188+BJ188+BK188)</f>
      </c>
      <c r="BM188" s="70">
        <f>IF(B188="","",Q188-BL188)</f>
      </c>
      <c r="BN188" s="72">
        <f>IF(B188="","",IF(Q188=0,0,BM188/Q188))</f>
      </c>
      <c r="BO188" s="73">
        <f>IF(B188="","",IF(J188=0,0,BM188/J188))</f>
      </c>
      <c r="BP188" s="60">
        <f>IF(B188="","",IFERROR(MATCH(D188,COSTOS_FIJOS!$G$5:$AD$5,0),0))</f>
      </c>
      <c r="BQ188" s="60">
        <f>IF(B188="","",COUNTIFS($D$6:$D$305,D188))</f>
      </c>
      <c r="BR188" s="67">
        <f>IF(B188="","",SUMIFS($J$6:$J$305,$D$6:$D$305,D188))</f>
      </c>
      <c r="BS188" s="72">
        <f>IF(B188="","",IF(Metodo_Prorrateo="KG",IF(BR188=0,0,J188/BR188),1/BQ188))</f>
      </c>
      <c r="BT188" s="37">
        <f>IF(B188="","",IF(BP188=0,0,INDEX(COSTOS_FIJOS!$G$38:$AD$38,BP188))*BS188)</f>
      </c>
      <c r="BU188" s="72">
        <f>IF(B188="","",IF(Metodo_Prorrateo="KG",IF(SUMIFS($G$6:$G$305,$D$6:$D$305,D188)=0,0,G188/SUMIFS($G$6:$G$305,$D$6:$D$305,D188)),IF(G188&gt;0,1/COUNTIFS($D$6:$D$305,D188,$G$6:$G$305,"&gt;0"),0)))</f>
      </c>
      <c r="BV188" s="37">
        <f>IF(B188="","",IF(BP188=0,0,INDEX(COSTOS_FIJOS!$G$39:$AD$39,BP188))*BU188)</f>
      </c>
      <c r="BW188" s="72">
        <f>IF(B188="","",IF(Metodo_Prorrateo="KG",IF(SUMIFS($H$6:$H$305,$D$6:$D$305,D188)=0,0,H188/SUMIFS($H$6:$H$305,$D$6:$D$305,D188)),IF(H188&gt;0,1/COUNTIFS($D$6:$D$305,D188,$H$6:$H$305,"&gt;0"),0)))</f>
      </c>
      <c r="BX188" s="37">
        <f>IF(B188="","",IF(BP188=0,0,INDEX(COSTOS_FIJOS!$G$40:$AD$40,BP188))*BW188)</f>
      </c>
      <c r="BY188" s="72">
        <f>IF(B188="","",IF(Metodo_Prorrateo="KG",IF(SUMIFS($I$6:$I$305,$D$6:$D$305,D188)=0,0,I188/SUMIFS($I$6:$I$305,$D$6:$D$305,D188)),IF(I188&gt;0,1/COUNTIFS($D$6:$D$305,D188,$I$6:$I$305,"&gt;0"),0)))</f>
      </c>
      <c r="BZ188" s="37">
        <f>IF(B188="","",IF(BP188=0,0,INDEX(COSTOS_FIJOS!$G$41:$AD$41,BP188))*BY188)</f>
      </c>
      <c r="CA188" s="70">
        <f>IF(B188="","",BT188+BV188+BX188+BZ188)</f>
      </c>
      <c r="CB188" s="37">
        <f>IF(B188="","",Q188*Imp_Ventas_Serv)</f>
      </c>
      <c r="CC188" s="37">
        <f>IF(B188="","",Q188*Contrib_Territorial)</f>
      </c>
      <c r="CD188" s="70">
        <f>IF(B188="","",BM188-CA188-CB188-CC188)</f>
      </c>
      <c r="CE188" s="37">
        <f>IF(B188="","",MAX(0,CD188)*Imp_Utilidades)</f>
      </c>
      <c r="CF188" s="70">
        <f>IF(B188="","",CD188-CE188)</f>
      </c>
      <c r="CG188" s="72">
        <f>IF(B188="","",IF(Q188=0,0,CF188/Q188))</f>
      </c>
      <c r="CH188" s="73">
        <f>IF(B188="","",IF(J188=0,0,(BL188+CA188+CB188+CC188)/J188))</f>
      </c>
      <c r="CI188" s="73">
        <f>IF(B188="","",IF(J188=0,0,Q188/J188))</f>
      </c>
      <c r="CJ188" s="73">
        <f>IF(B188="","",IF(J188=0,0,CD188/J188))</f>
      </c>
      <c r="CK188" s="37">
        <f>IF(B188="","",Y188+AE188+BK188+BT188)</f>
      </c>
      <c r="CL188" s="37">
        <f>IF(B188="","",IF(J188=0,0,(M188+P188*G188/J188)*(1-Pct_Reclamaciones-Pct_Banco-Imp_Ventas_Serv-Contrib_Territorial)-AI188-BE188-BV188-CK188*G188/J188))</f>
      </c>
      <c r="CM188" s="37">
        <f>IF(B188="","",IF(J188=0,0,(N188+P188*H188/J188)*(1-Pct_Reclamaciones-Pct_Banco-Imp_Ventas_Serv-Contrib_Territorial)-AS188-BF188-BX188-CK188*H188/J188))</f>
      </c>
      <c r="CN188" s="37">
        <f>IF(B188="","",IF(J188=0,0,(O188+P188*I188/J188)*(1-Pct_Reclamaciones-Pct_Banco-Imp_Ventas_Serv-Contrib_Territorial)-BC188-BG188-BZ188-CK188*I188/J188))</f>
      </c>
      <c r="CO188" s="37">
        <f>IF(B188="","",IF(J188=0,0,ROUND(CD188-CL188-CM188-CN188,4)))</f>
      </c>
      <c r="CP188" s="71">
        <f>IF(B188="","",T188+AG188+AK188+AM188+AU188+AW188)</f>
      </c>
      <c r="CQ188" s="71">
        <f>IF(B188="","",U188+AH188+AL188+AN188+AV188+AX188)</f>
      </c>
      <c r="CR188" s="72">
        <f>IF(B188="","",IF(CP188=0,0,CQ188/CP188-1))</f>
      </c>
      <c r="CS188" s="60">
        <f>IF(B188="","",IF(ENTRADA!$Y188="","",ENTRADA!$Y188-C188))</f>
      </c>
      <c r="CT188" s="66">
        <f>IF(B188="","",IF(ENTRADA!$C188="","Falta fecha. ","")&amp;IF(BP188=0,"Mes fuera del rango de COSTOS_FIJOS. ","")&amp;IF(J188=0,"Sin kg. ","")&amp;IF(E188="","Falta transitaria. ","")&amp;IF(AND(T188&gt;0,U188/T188-1&gt;Tolerancia_Comb),"Combustible al puerto "&amp;TEXT(U188/T188-1,"+0%")&amp;" sobre norma. ","")&amp;IF(AND(AG188&gt;0,AH188/AG188-1&gt;Tolerancia_Comb),"Combustible distribución Occidente "&amp;TEXT(AH188/AG188-1,"+0%")&amp;" sobre norma. ","")&amp;IF(AND(AK188&gt;0,AL188/AK188-1&gt;Tolerancia_Comb),"Combustible traslado Centro "&amp;TEXT(AL188/AK188-1,"+0%")&amp;" sobre norma. ","")&amp;IF(AND(AM188&gt;0,AN188/AM188-1&gt;Tolerancia_Comb),"Combustible distribución Centro "&amp;TEXT(AN188/AM188-1,"+0%")&amp;" sobre norma. ","")&amp;IF(AND(AU188&gt;0,AV188/AU188-1&gt;Tolerancia_Comb),"Combustible traslado Oriente "&amp;TEXT(AV188/AU188-1,"+0%")&amp;" sobre norma. ","")&amp;IF(AND(AW188&gt;0,AX188/AW188-1&gt;Tolerancia_Comb),"Combustible distribución Oriente "&amp;TEXT(AX188/AW188-1,"+0%")&amp;" sobre norma. ","")&amp;IF(AND(ENTRADA!$C188&lt;&gt;"",C188&lt;PRECIOS!$A$6),"Fecha anterior a la 1ª vigencia de precios. ","")&amp;IF(CD188&lt;0,"Contenedor con pérdida. ",""))</f>
      </c>
    </row>
    <row r="189">
      <c r="A189" s="60">
        <f>IF(B189="","",ROW()-5)</f>
      </c>
      <c r="B189" s="63">
        <f>IF(ENTRADA!$B189="","",ENTRADA!$B189)</f>
      </c>
      <c r="C189" s="64">
        <f>IF(B189="","",ENTRADA!$C189)</f>
      </c>
      <c r="D189" s="65">
        <f>IF(B189="","",DATE(YEAR(C189),MONTH(C189),1))</f>
      </c>
      <c r="E189" s="66">
        <f>IF(B189="","",ENTRADA!$D189&amp;"")</f>
      </c>
      <c r="F189" s="66">
        <f>IF(B189="","",ENTRADA!$Z189&amp;"")</f>
      </c>
      <c r="G189" s="67">
        <f>IF(B189="","",N(ENTRADA!$G189))</f>
      </c>
      <c r="H189" s="67">
        <f>IF(B189="","",N(ENTRADA!$H189))</f>
      </c>
      <c r="I189" s="67">
        <f>IF(B189="","",N(ENTRADA!$I189))</f>
      </c>
      <c r="J189" s="68">
        <f>IF(B189="","",G189+H189+I189)</f>
      </c>
      <c r="K189" s="60">
        <f>IF(B189="","",IFERROR(MATCH(SUMPRODUCT(MAX((PRECIOS!$A$6:$A$55&lt;=C189)*PRECIOS!$A$6:$A$55)),PRECIOS!$A$6:$A$55,0),1))</f>
      </c>
      <c r="L189" s="69">
        <f>IF(B189="","",INDEX(PRECIOS!$A$6:$A$55,K189))</f>
      </c>
      <c r="M189" s="37">
        <f>IF(B189="","",G189*INDEX(PRECIOS!$B$6:$B$55,K189))</f>
      </c>
      <c r="N189" s="37">
        <f>IF(B189="","",H189*INDEX(PRECIOS!$C$6:$C$55,K189))</f>
      </c>
      <c r="O189" s="37">
        <f>IF(B189="","",I189*INDEX(PRECIOS!$D$6:$D$55,K189))</f>
      </c>
      <c r="P189" s="37">
        <f>IF(B189="","",N(ENTRADA!$X189))</f>
      </c>
      <c r="Q189" s="70">
        <f>IF(B189="","",M189+N189+O189+P189)</f>
      </c>
      <c r="R189" s="71">
        <f>IF(B189="","",IF(ENTRADA!$J189="",Std_Viajes_Puerto,ENTRADA!$J189))</f>
      </c>
      <c r="S189" s="37">
        <f>IF(B189="","",R189*INDEX(PRECIOS!$F$6:$F$55,K189))</f>
      </c>
      <c r="T189" s="71">
        <f>IF(B189="","",R189*Litros_Puerto_Viaje)</f>
      </c>
      <c r="U189" s="71">
        <f>IF(B189="","",IF(ENTRADA!$K189="",T189,ENTRADA!$K189))</f>
      </c>
      <c r="V189" s="37">
        <f>IF(B189="","",U189*INDEX(PRECIOS!$E$6:$E$55,K189))</f>
      </c>
      <c r="W189" s="37">
        <f>IF(B189="","",IF(ENTRADA!$L189="",R189*INDEX(PRECIOS!$G$6:$G$55,K189),ENTRADA!$L189))</f>
      </c>
      <c r="X189" s="37">
        <f>IF(B189="","",R189*Km_Puerto_Viaje*INDEX(PRECIOS!$N$6:$N$55,K189))</f>
      </c>
      <c r="Y189" s="70">
        <f>IF(B189="","",S189+V189+W189+X189)</f>
      </c>
      <c r="Z189" s="71">
        <f>IF(B189="","",IF(J189=0,0,ROUNDUP(J189/Rend_Desagrupe,0)))</f>
      </c>
      <c r="AA189" s="71">
        <f>IF(B189="","",IF(ENTRADA!$M189="",Z189,ENTRADA!$M189))</f>
      </c>
      <c r="AB189" s="37">
        <f>IF(B189="","",AA189*INDEX(PRECIOS!$H$6:$H$55,K189))</f>
      </c>
      <c r="AC189" s="37">
        <f>IF(B189="","",IF(E189="ENCI",INDEX(PRECIOS!$J$6:$J$55,K189),IF(E189="A.V",INDEX(PRECIOS!$K$6:$K$55,K189),0)))</f>
      </c>
      <c r="AD189" s="37">
        <f>IF(B189="","",N(ENTRADA!$N189))</f>
      </c>
      <c r="AE189" s="70">
        <f>IF(B189="","",AB189+AC189+AD189)</f>
      </c>
      <c r="AF189" s="71">
        <f>IF(B189="","",IF(G189=0,0,ROUNDUP(G189/Cap_Camion_OCC,0)))</f>
      </c>
      <c r="AG189" s="71">
        <f>IF(B189="","",AF189*L_Dist_OCC)</f>
      </c>
      <c r="AH189" s="71">
        <f>IF(B189="","",IF(ENTRADA!$O189="",AG189,ENTRADA!$O189))</f>
      </c>
      <c r="AI189" s="37">
        <f>IF(B189="","",AH189*INDEX(PRECIOS!$E$6:$E$55,K189))</f>
      </c>
      <c r="AJ189" s="71">
        <f>IF(B189="","",IF(H189=0,0,ROUNDUP(H189/Cap_Camion_CEN,0)))</f>
      </c>
      <c r="AK189" s="71">
        <f>IF(B189="","",AJ189*L_Tras_CEN)</f>
      </c>
      <c r="AL189" s="71">
        <f>IF(B189="","",IF(ENTRADA!$P189="",AK189,ENTRADA!$P189))</f>
      </c>
      <c r="AM189" s="71">
        <f>IF(B189="","",AJ189*L_Dist_CEN)</f>
      </c>
      <c r="AN189" s="71">
        <f>IF(B189="","",IF(ENTRADA!$Q189="",AM189,ENTRADA!$Q189))</f>
      </c>
      <c r="AO189" s="37">
        <f>IF(B189="","",(AL189+AN189)*INDEX(PRECIOS!$E$6:$E$55,K189))</f>
      </c>
      <c r="AP189" s="71">
        <f>IF(B189="","",IF(H189=0,0,ROUNDUP(H189/Rend_Desagrupe_CT,0)))</f>
      </c>
      <c r="AQ189" s="71">
        <f>IF(B189="","",IF(ENTRADA!$R189="",AP189,ENTRADA!$R189))</f>
      </c>
      <c r="AR189" s="37">
        <f>IF(B189="","",AQ189*INDEX(PRECIOS!$I$6:$I$55,K189))</f>
      </c>
      <c r="AS189" s="37">
        <f>IF(B189="","",AO189+AR189)</f>
      </c>
      <c r="AT189" s="71">
        <f>IF(B189="","",IF(I189=0,0,ROUNDUP(I189/Cap_Camion_ORI,0)))</f>
      </c>
      <c r="AU189" s="71">
        <f>IF(B189="","",AT189*L_Tras_ORI)</f>
      </c>
      <c r="AV189" s="71">
        <f>IF(B189="","",IF(ENTRADA!$S189="",AU189,ENTRADA!$S189))</f>
      </c>
      <c r="AW189" s="71">
        <f>IF(B189="","",AT189*L_Dist_ORI)</f>
      </c>
      <c r="AX189" s="71">
        <f>IF(B189="","",IF(ENTRADA!$T189="",AW189,ENTRADA!$T189))</f>
      </c>
      <c r="AY189" s="37">
        <f>IF(B189="","",(AV189+AX189)*INDEX(PRECIOS!$E$6:$E$55,K189))</f>
      </c>
      <c r="AZ189" s="71">
        <f>IF(B189="","",IF(I189=0,0,ROUNDUP(I189/Rend_Desagrupe_CT,0)))</f>
      </c>
      <c r="BA189" s="71">
        <f>IF(B189="","",IF(ENTRADA!$U189="",AZ189,ENTRADA!$U189))</f>
      </c>
      <c r="BB189" s="37">
        <f>IF(B189="","",BA189*INDEX(PRECIOS!$I$6:$I$55,K189))</f>
      </c>
      <c r="BC189" s="37">
        <f>IF(B189="","",AY189+BB189)</f>
      </c>
      <c r="BD189" s="70">
        <f>IF(B189="","",AI189+AS189+BC189)</f>
      </c>
      <c r="BE189" s="37">
        <f>IF(B189="","",IF(Base_Comision="% DEL INGRESO",M189*INDEX(PRECIOS!$L$6:$L$55,K189),G189*INDEX(PRECIOS!$M$6:$M$55,K189)))</f>
      </c>
      <c r="BF189" s="37">
        <f>IF(B189="","",IF(Base_Comision="% DEL INGRESO",N189*INDEX(PRECIOS!$L$6:$L$55,K189),H189*INDEX(PRECIOS!$M$6:$M$55,K189)))</f>
      </c>
      <c r="BG189" s="37">
        <f>IF(B189="","",IF(Base_Comision="% DEL INGRESO",O189*INDEX(PRECIOS!$L$6:$L$55,K189),I189*INDEX(PRECIOS!$M$6:$M$55,K189)))</f>
      </c>
      <c r="BH189" s="70">
        <f>IF(B189="","",BE189+BF189+BG189)</f>
      </c>
      <c r="BI189" s="37">
        <f>IF(B189="","",Q189*Pct_Reclamaciones)</f>
      </c>
      <c r="BJ189" s="37">
        <f>IF(B189="","",Q189*Pct_Banco)</f>
      </c>
      <c r="BK189" s="37">
        <f>IF(B189="","",N(ENTRADA!$V189))</f>
      </c>
      <c r="BL189" s="70">
        <f>IF(B189="","",Y189+AE189+BD189+BH189+BI189+BJ189+BK189)</f>
      </c>
      <c r="BM189" s="70">
        <f>IF(B189="","",Q189-BL189)</f>
      </c>
      <c r="BN189" s="72">
        <f>IF(B189="","",IF(Q189=0,0,BM189/Q189))</f>
      </c>
      <c r="BO189" s="73">
        <f>IF(B189="","",IF(J189=0,0,BM189/J189))</f>
      </c>
      <c r="BP189" s="60">
        <f>IF(B189="","",IFERROR(MATCH(D189,COSTOS_FIJOS!$G$5:$AD$5,0),0))</f>
      </c>
      <c r="BQ189" s="60">
        <f>IF(B189="","",COUNTIFS($D$6:$D$305,D189))</f>
      </c>
      <c r="BR189" s="67">
        <f>IF(B189="","",SUMIFS($J$6:$J$305,$D$6:$D$305,D189))</f>
      </c>
      <c r="BS189" s="72">
        <f>IF(B189="","",IF(Metodo_Prorrateo="KG",IF(BR189=0,0,J189/BR189),1/BQ189))</f>
      </c>
      <c r="BT189" s="37">
        <f>IF(B189="","",IF(BP189=0,0,INDEX(COSTOS_FIJOS!$G$38:$AD$38,BP189))*BS189)</f>
      </c>
      <c r="BU189" s="72">
        <f>IF(B189="","",IF(Metodo_Prorrateo="KG",IF(SUMIFS($G$6:$G$305,$D$6:$D$305,D189)=0,0,G189/SUMIFS($G$6:$G$305,$D$6:$D$305,D189)),IF(G189&gt;0,1/COUNTIFS($D$6:$D$305,D189,$G$6:$G$305,"&gt;0"),0)))</f>
      </c>
      <c r="BV189" s="37">
        <f>IF(B189="","",IF(BP189=0,0,INDEX(COSTOS_FIJOS!$G$39:$AD$39,BP189))*BU189)</f>
      </c>
      <c r="BW189" s="72">
        <f>IF(B189="","",IF(Metodo_Prorrateo="KG",IF(SUMIFS($H$6:$H$305,$D$6:$D$305,D189)=0,0,H189/SUMIFS($H$6:$H$305,$D$6:$D$305,D189)),IF(H189&gt;0,1/COUNTIFS($D$6:$D$305,D189,$H$6:$H$305,"&gt;0"),0)))</f>
      </c>
      <c r="BX189" s="37">
        <f>IF(B189="","",IF(BP189=0,0,INDEX(COSTOS_FIJOS!$G$40:$AD$40,BP189))*BW189)</f>
      </c>
      <c r="BY189" s="72">
        <f>IF(B189="","",IF(Metodo_Prorrateo="KG",IF(SUMIFS($I$6:$I$305,$D$6:$D$305,D189)=0,0,I189/SUMIFS($I$6:$I$305,$D$6:$D$305,D189)),IF(I189&gt;0,1/COUNTIFS($D$6:$D$305,D189,$I$6:$I$305,"&gt;0"),0)))</f>
      </c>
      <c r="BZ189" s="37">
        <f>IF(B189="","",IF(BP189=0,0,INDEX(COSTOS_FIJOS!$G$41:$AD$41,BP189))*BY189)</f>
      </c>
      <c r="CA189" s="70">
        <f>IF(B189="","",BT189+BV189+BX189+BZ189)</f>
      </c>
      <c r="CB189" s="37">
        <f>IF(B189="","",Q189*Imp_Ventas_Serv)</f>
      </c>
      <c r="CC189" s="37">
        <f>IF(B189="","",Q189*Contrib_Territorial)</f>
      </c>
      <c r="CD189" s="70">
        <f>IF(B189="","",BM189-CA189-CB189-CC189)</f>
      </c>
      <c r="CE189" s="37">
        <f>IF(B189="","",MAX(0,CD189)*Imp_Utilidades)</f>
      </c>
      <c r="CF189" s="70">
        <f>IF(B189="","",CD189-CE189)</f>
      </c>
      <c r="CG189" s="72">
        <f>IF(B189="","",IF(Q189=0,0,CF189/Q189))</f>
      </c>
      <c r="CH189" s="73">
        <f>IF(B189="","",IF(J189=0,0,(BL189+CA189+CB189+CC189)/J189))</f>
      </c>
      <c r="CI189" s="73">
        <f>IF(B189="","",IF(J189=0,0,Q189/J189))</f>
      </c>
      <c r="CJ189" s="73">
        <f>IF(B189="","",IF(J189=0,0,CD189/J189))</f>
      </c>
      <c r="CK189" s="37">
        <f>IF(B189="","",Y189+AE189+BK189+BT189)</f>
      </c>
      <c r="CL189" s="37">
        <f>IF(B189="","",IF(J189=0,0,(M189+P189*G189/J189)*(1-Pct_Reclamaciones-Pct_Banco-Imp_Ventas_Serv-Contrib_Territorial)-AI189-BE189-BV189-CK189*G189/J189))</f>
      </c>
      <c r="CM189" s="37">
        <f>IF(B189="","",IF(J189=0,0,(N189+P189*H189/J189)*(1-Pct_Reclamaciones-Pct_Banco-Imp_Ventas_Serv-Contrib_Territorial)-AS189-BF189-BX189-CK189*H189/J189))</f>
      </c>
      <c r="CN189" s="37">
        <f>IF(B189="","",IF(J189=0,0,(O189+P189*I189/J189)*(1-Pct_Reclamaciones-Pct_Banco-Imp_Ventas_Serv-Contrib_Territorial)-BC189-BG189-BZ189-CK189*I189/J189))</f>
      </c>
      <c r="CO189" s="37">
        <f>IF(B189="","",IF(J189=0,0,ROUND(CD189-CL189-CM189-CN189,4)))</f>
      </c>
      <c r="CP189" s="71">
        <f>IF(B189="","",T189+AG189+AK189+AM189+AU189+AW189)</f>
      </c>
      <c r="CQ189" s="71">
        <f>IF(B189="","",U189+AH189+AL189+AN189+AV189+AX189)</f>
      </c>
      <c r="CR189" s="72">
        <f>IF(B189="","",IF(CP189=0,0,CQ189/CP189-1))</f>
      </c>
      <c r="CS189" s="60">
        <f>IF(B189="","",IF(ENTRADA!$Y189="","",ENTRADA!$Y189-C189))</f>
      </c>
      <c r="CT189" s="66">
        <f>IF(B189="","",IF(ENTRADA!$C189="","Falta fecha. ","")&amp;IF(BP189=0,"Mes fuera del rango de COSTOS_FIJOS. ","")&amp;IF(J189=0,"Sin kg. ","")&amp;IF(E189="","Falta transitaria. ","")&amp;IF(AND(T189&gt;0,U189/T189-1&gt;Tolerancia_Comb),"Combustible al puerto "&amp;TEXT(U189/T189-1,"+0%")&amp;" sobre norma. ","")&amp;IF(AND(AG189&gt;0,AH189/AG189-1&gt;Tolerancia_Comb),"Combustible distribución Occidente "&amp;TEXT(AH189/AG189-1,"+0%")&amp;" sobre norma. ","")&amp;IF(AND(AK189&gt;0,AL189/AK189-1&gt;Tolerancia_Comb),"Combustible traslado Centro "&amp;TEXT(AL189/AK189-1,"+0%")&amp;" sobre norma. ","")&amp;IF(AND(AM189&gt;0,AN189/AM189-1&gt;Tolerancia_Comb),"Combustible distribución Centro "&amp;TEXT(AN189/AM189-1,"+0%")&amp;" sobre norma. ","")&amp;IF(AND(AU189&gt;0,AV189/AU189-1&gt;Tolerancia_Comb),"Combustible traslado Oriente "&amp;TEXT(AV189/AU189-1,"+0%")&amp;" sobre norma. ","")&amp;IF(AND(AW189&gt;0,AX189/AW189-1&gt;Tolerancia_Comb),"Combustible distribución Oriente "&amp;TEXT(AX189/AW189-1,"+0%")&amp;" sobre norma. ","")&amp;IF(AND(ENTRADA!$C189&lt;&gt;"",C189&lt;PRECIOS!$A$6),"Fecha anterior a la 1ª vigencia de precios. ","")&amp;IF(CD189&lt;0,"Contenedor con pérdida. ",""))</f>
      </c>
    </row>
    <row r="190">
      <c r="A190" s="60">
        <f>IF(B190="","",ROW()-5)</f>
      </c>
      <c r="B190" s="63">
        <f>IF(ENTRADA!$B190="","",ENTRADA!$B190)</f>
      </c>
      <c r="C190" s="64">
        <f>IF(B190="","",ENTRADA!$C190)</f>
      </c>
      <c r="D190" s="65">
        <f>IF(B190="","",DATE(YEAR(C190),MONTH(C190),1))</f>
      </c>
      <c r="E190" s="66">
        <f>IF(B190="","",ENTRADA!$D190&amp;"")</f>
      </c>
      <c r="F190" s="66">
        <f>IF(B190="","",ENTRADA!$Z190&amp;"")</f>
      </c>
      <c r="G190" s="67">
        <f>IF(B190="","",N(ENTRADA!$G190))</f>
      </c>
      <c r="H190" s="67">
        <f>IF(B190="","",N(ENTRADA!$H190))</f>
      </c>
      <c r="I190" s="67">
        <f>IF(B190="","",N(ENTRADA!$I190))</f>
      </c>
      <c r="J190" s="68">
        <f>IF(B190="","",G190+H190+I190)</f>
      </c>
      <c r="K190" s="60">
        <f>IF(B190="","",IFERROR(MATCH(SUMPRODUCT(MAX((PRECIOS!$A$6:$A$55&lt;=C190)*PRECIOS!$A$6:$A$55)),PRECIOS!$A$6:$A$55,0),1))</f>
      </c>
      <c r="L190" s="69">
        <f>IF(B190="","",INDEX(PRECIOS!$A$6:$A$55,K190))</f>
      </c>
      <c r="M190" s="37">
        <f>IF(B190="","",G190*INDEX(PRECIOS!$B$6:$B$55,K190))</f>
      </c>
      <c r="N190" s="37">
        <f>IF(B190="","",H190*INDEX(PRECIOS!$C$6:$C$55,K190))</f>
      </c>
      <c r="O190" s="37">
        <f>IF(B190="","",I190*INDEX(PRECIOS!$D$6:$D$55,K190))</f>
      </c>
      <c r="P190" s="37">
        <f>IF(B190="","",N(ENTRADA!$X190))</f>
      </c>
      <c r="Q190" s="70">
        <f>IF(B190="","",M190+N190+O190+P190)</f>
      </c>
      <c r="R190" s="71">
        <f>IF(B190="","",IF(ENTRADA!$J190="",Std_Viajes_Puerto,ENTRADA!$J190))</f>
      </c>
      <c r="S190" s="37">
        <f>IF(B190="","",R190*INDEX(PRECIOS!$F$6:$F$55,K190))</f>
      </c>
      <c r="T190" s="71">
        <f>IF(B190="","",R190*Litros_Puerto_Viaje)</f>
      </c>
      <c r="U190" s="71">
        <f>IF(B190="","",IF(ENTRADA!$K190="",T190,ENTRADA!$K190))</f>
      </c>
      <c r="V190" s="37">
        <f>IF(B190="","",U190*INDEX(PRECIOS!$E$6:$E$55,K190))</f>
      </c>
      <c r="W190" s="37">
        <f>IF(B190="","",IF(ENTRADA!$L190="",R190*INDEX(PRECIOS!$G$6:$G$55,K190),ENTRADA!$L190))</f>
      </c>
      <c r="X190" s="37">
        <f>IF(B190="","",R190*Km_Puerto_Viaje*INDEX(PRECIOS!$N$6:$N$55,K190))</f>
      </c>
      <c r="Y190" s="70">
        <f>IF(B190="","",S190+V190+W190+X190)</f>
      </c>
      <c r="Z190" s="71">
        <f>IF(B190="","",IF(J190=0,0,ROUNDUP(J190/Rend_Desagrupe,0)))</f>
      </c>
      <c r="AA190" s="71">
        <f>IF(B190="","",IF(ENTRADA!$M190="",Z190,ENTRADA!$M190))</f>
      </c>
      <c r="AB190" s="37">
        <f>IF(B190="","",AA190*INDEX(PRECIOS!$H$6:$H$55,K190))</f>
      </c>
      <c r="AC190" s="37">
        <f>IF(B190="","",IF(E190="ENCI",INDEX(PRECIOS!$J$6:$J$55,K190),IF(E190="A.V",INDEX(PRECIOS!$K$6:$K$55,K190),0)))</f>
      </c>
      <c r="AD190" s="37">
        <f>IF(B190="","",N(ENTRADA!$N190))</f>
      </c>
      <c r="AE190" s="70">
        <f>IF(B190="","",AB190+AC190+AD190)</f>
      </c>
      <c r="AF190" s="71">
        <f>IF(B190="","",IF(G190=0,0,ROUNDUP(G190/Cap_Camion_OCC,0)))</f>
      </c>
      <c r="AG190" s="71">
        <f>IF(B190="","",AF190*L_Dist_OCC)</f>
      </c>
      <c r="AH190" s="71">
        <f>IF(B190="","",IF(ENTRADA!$O190="",AG190,ENTRADA!$O190))</f>
      </c>
      <c r="AI190" s="37">
        <f>IF(B190="","",AH190*INDEX(PRECIOS!$E$6:$E$55,K190))</f>
      </c>
      <c r="AJ190" s="71">
        <f>IF(B190="","",IF(H190=0,0,ROUNDUP(H190/Cap_Camion_CEN,0)))</f>
      </c>
      <c r="AK190" s="71">
        <f>IF(B190="","",AJ190*L_Tras_CEN)</f>
      </c>
      <c r="AL190" s="71">
        <f>IF(B190="","",IF(ENTRADA!$P190="",AK190,ENTRADA!$P190))</f>
      </c>
      <c r="AM190" s="71">
        <f>IF(B190="","",AJ190*L_Dist_CEN)</f>
      </c>
      <c r="AN190" s="71">
        <f>IF(B190="","",IF(ENTRADA!$Q190="",AM190,ENTRADA!$Q190))</f>
      </c>
      <c r="AO190" s="37">
        <f>IF(B190="","",(AL190+AN190)*INDEX(PRECIOS!$E$6:$E$55,K190))</f>
      </c>
      <c r="AP190" s="71">
        <f>IF(B190="","",IF(H190=0,0,ROUNDUP(H190/Rend_Desagrupe_CT,0)))</f>
      </c>
      <c r="AQ190" s="71">
        <f>IF(B190="","",IF(ENTRADA!$R190="",AP190,ENTRADA!$R190))</f>
      </c>
      <c r="AR190" s="37">
        <f>IF(B190="","",AQ190*INDEX(PRECIOS!$I$6:$I$55,K190))</f>
      </c>
      <c r="AS190" s="37">
        <f>IF(B190="","",AO190+AR190)</f>
      </c>
      <c r="AT190" s="71">
        <f>IF(B190="","",IF(I190=0,0,ROUNDUP(I190/Cap_Camion_ORI,0)))</f>
      </c>
      <c r="AU190" s="71">
        <f>IF(B190="","",AT190*L_Tras_ORI)</f>
      </c>
      <c r="AV190" s="71">
        <f>IF(B190="","",IF(ENTRADA!$S190="",AU190,ENTRADA!$S190))</f>
      </c>
      <c r="AW190" s="71">
        <f>IF(B190="","",AT190*L_Dist_ORI)</f>
      </c>
      <c r="AX190" s="71">
        <f>IF(B190="","",IF(ENTRADA!$T190="",AW190,ENTRADA!$T190))</f>
      </c>
      <c r="AY190" s="37">
        <f>IF(B190="","",(AV190+AX190)*INDEX(PRECIOS!$E$6:$E$55,K190))</f>
      </c>
      <c r="AZ190" s="71">
        <f>IF(B190="","",IF(I190=0,0,ROUNDUP(I190/Rend_Desagrupe_CT,0)))</f>
      </c>
      <c r="BA190" s="71">
        <f>IF(B190="","",IF(ENTRADA!$U190="",AZ190,ENTRADA!$U190))</f>
      </c>
      <c r="BB190" s="37">
        <f>IF(B190="","",BA190*INDEX(PRECIOS!$I$6:$I$55,K190))</f>
      </c>
      <c r="BC190" s="37">
        <f>IF(B190="","",AY190+BB190)</f>
      </c>
      <c r="BD190" s="70">
        <f>IF(B190="","",AI190+AS190+BC190)</f>
      </c>
      <c r="BE190" s="37">
        <f>IF(B190="","",IF(Base_Comision="% DEL INGRESO",M190*INDEX(PRECIOS!$L$6:$L$55,K190),G190*INDEX(PRECIOS!$M$6:$M$55,K190)))</f>
      </c>
      <c r="BF190" s="37">
        <f>IF(B190="","",IF(Base_Comision="% DEL INGRESO",N190*INDEX(PRECIOS!$L$6:$L$55,K190),H190*INDEX(PRECIOS!$M$6:$M$55,K190)))</f>
      </c>
      <c r="BG190" s="37">
        <f>IF(B190="","",IF(Base_Comision="% DEL INGRESO",O190*INDEX(PRECIOS!$L$6:$L$55,K190),I190*INDEX(PRECIOS!$M$6:$M$55,K190)))</f>
      </c>
      <c r="BH190" s="70">
        <f>IF(B190="","",BE190+BF190+BG190)</f>
      </c>
      <c r="BI190" s="37">
        <f>IF(B190="","",Q190*Pct_Reclamaciones)</f>
      </c>
      <c r="BJ190" s="37">
        <f>IF(B190="","",Q190*Pct_Banco)</f>
      </c>
      <c r="BK190" s="37">
        <f>IF(B190="","",N(ENTRADA!$V190))</f>
      </c>
      <c r="BL190" s="70">
        <f>IF(B190="","",Y190+AE190+BD190+BH190+BI190+BJ190+BK190)</f>
      </c>
      <c r="BM190" s="70">
        <f>IF(B190="","",Q190-BL190)</f>
      </c>
      <c r="BN190" s="72">
        <f>IF(B190="","",IF(Q190=0,0,BM190/Q190))</f>
      </c>
      <c r="BO190" s="73">
        <f>IF(B190="","",IF(J190=0,0,BM190/J190))</f>
      </c>
      <c r="BP190" s="60">
        <f>IF(B190="","",IFERROR(MATCH(D190,COSTOS_FIJOS!$G$5:$AD$5,0),0))</f>
      </c>
      <c r="BQ190" s="60">
        <f>IF(B190="","",COUNTIFS($D$6:$D$305,D190))</f>
      </c>
      <c r="BR190" s="67">
        <f>IF(B190="","",SUMIFS($J$6:$J$305,$D$6:$D$305,D190))</f>
      </c>
      <c r="BS190" s="72">
        <f>IF(B190="","",IF(Metodo_Prorrateo="KG",IF(BR190=0,0,J190/BR190),1/BQ190))</f>
      </c>
      <c r="BT190" s="37">
        <f>IF(B190="","",IF(BP190=0,0,INDEX(COSTOS_FIJOS!$G$38:$AD$38,BP190))*BS190)</f>
      </c>
      <c r="BU190" s="72">
        <f>IF(B190="","",IF(Metodo_Prorrateo="KG",IF(SUMIFS($G$6:$G$305,$D$6:$D$305,D190)=0,0,G190/SUMIFS($G$6:$G$305,$D$6:$D$305,D190)),IF(G190&gt;0,1/COUNTIFS($D$6:$D$305,D190,$G$6:$G$305,"&gt;0"),0)))</f>
      </c>
      <c r="BV190" s="37">
        <f>IF(B190="","",IF(BP190=0,0,INDEX(COSTOS_FIJOS!$G$39:$AD$39,BP190))*BU190)</f>
      </c>
      <c r="BW190" s="72">
        <f>IF(B190="","",IF(Metodo_Prorrateo="KG",IF(SUMIFS($H$6:$H$305,$D$6:$D$305,D190)=0,0,H190/SUMIFS($H$6:$H$305,$D$6:$D$305,D190)),IF(H190&gt;0,1/COUNTIFS($D$6:$D$305,D190,$H$6:$H$305,"&gt;0"),0)))</f>
      </c>
      <c r="BX190" s="37">
        <f>IF(B190="","",IF(BP190=0,0,INDEX(COSTOS_FIJOS!$G$40:$AD$40,BP190))*BW190)</f>
      </c>
      <c r="BY190" s="72">
        <f>IF(B190="","",IF(Metodo_Prorrateo="KG",IF(SUMIFS($I$6:$I$305,$D$6:$D$305,D190)=0,0,I190/SUMIFS($I$6:$I$305,$D$6:$D$305,D190)),IF(I190&gt;0,1/COUNTIFS($D$6:$D$305,D190,$I$6:$I$305,"&gt;0"),0)))</f>
      </c>
      <c r="BZ190" s="37">
        <f>IF(B190="","",IF(BP190=0,0,INDEX(COSTOS_FIJOS!$G$41:$AD$41,BP190))*BY190)</f>
      </c>
      <c r="CA190" s="70">
        <f>IF(B190="","",BT190+BV190+BX190+BZ190)</f>
      </c>
      <c r="CB190" s="37">
        <f>IF(B190="","",Q190*Imp_Ventas_Serv)</f>
      </c>
      <c r="CC190" s="37">
        <f>IF(B190="","",Q190*Contrib_Territorial)</f>
      </c>
      <c r="CD190" s="70">
        <f>IF(B190="","",BM190-CA190-CB190-CC190)</f>
      </c>
      <c r="CE190" s="37">
        <f>IF(B190="","",MAX(0,CD190)*Imp_Utilidades)</f>
      </c>
      <c r="CF190" s="70">
        <f>IF(B190="","",CD190-CE190)</f>
      </c>
      <c r="CG190" s="72">
        <f>IF(B190="","",IF(Q190=0,0,CF190/Q190))</f>
      </c>
      <c r="CH190" s="73">
        <f>IF(B190="","",IF(J190=0,0,(BL190+CA190+CB190+CC190)/J190))</f>
      </c>
      <c r="CI190" s="73">
        <f>IF(B190="","",IF(J190=0,0,Q190/J190))</f>
      </c>
      <c r="CJ190" s="73">
        <f>IF(B190="","",IF(J190=0,0,CD190/J190))</f>
      </c>
      <c r="CK190" s="37">
        <f>IF(B190="","",Y190+AE190+BK190+BT190)</f>
      </c>
      <c r="CL190" s="37">
        <f>IF(B190="","",IF(J190=0,0,(M190+P190*G190/J190)*(1-Pct_Reclamaciones-Pct_Banco-Imp_Ventas_Serv-Contrib_Territorial)-AI190-BE190-BV190-CK190*G190/J190))</f>
      </c>
      <c r="CM190" s="37">
        <f>IF(B190="","",IF(J190=0,0,(N190+P190*H190/J190)*(1-Pct_Reclamaciones-Pct_Banco-Imp_Ventas_Serv-Contrib_Territorial)-AS190-BF190-BX190-CK190*H190/J190))</f>
      </c>
      <c r="CN190" s="37">
        <f>IF(B190="","",IF(J190=0,0,(O190+P190*I190/J190)*(1-Pct_Reclamaciones-Pct_Banco-Imp_Ventas_Serv-Contrib_Territorial)-BC190-BG190-BZ190-CK190*I190/J190))</f>
      </c>
      <c r="CO190" s="37">
        <f>IF(B190="","",IF(J190=0,0,ROUND(CD190-CL190-CM190-CN190,4)))</f>
      </c>
      <c r="CP190" s="71">
        <f>IF(B190="","",T190+AG190+AK190+AM190+AU190+AW190)</f>
      </c>
      <c r="CQ190" s="71">
        <f>IF(B190="","",U190+AH190+AL190+AN190+AV190+AX190)</f>
      </c>
      <c r="CR190" s="72">
        <f>IF(B190="","",IF(CP190=0,0,CQ190/CP190-1))</f>
      </c>
      <c r="CS190" s="60">
        <f>IF(B190="","",IF(ENTRADA!$Y190="","",ENTRADA!$Y190-C190))</f>
      </c>
      <c r="CT190" s="66">
        <f>IF(B190="","",IF(ENTRADA!$C190="","Falta fecha. ","")&amp;IF(BP190=0,"Mes fuera del rango de COSTOS_FIJOS. ","")&amp;IF(J190=0,"Sin kg. ","")&amp;IF(E190="","Falta transitaria. ","")&amp;IF(AND(T190&gt;0,U190/T190-1&gt;Tolerancia_Comb),"Combustible al puerto "&amp;TEXT(U190/T190-1,"+0%")&amp;" sobre norma. ","")&amp;IF(AND(AG190&gt;0,AH190/AG190-1&gt;Tolerancia_Comb),"Combustible distribución Occidente "&amp;TEXT(AH190/AG190-1,"+0%")&amp;" sobre norma. ","")&amp;IF(AND(AK190&gt;0,AL190/AK190-1&gt;Tolerancia_Comb),"Combustible traslado Centro "&amp;TEXT(AL190/AK190-1,"+0%")&amp;" sobre norma. ","")&amp;IF(AND(AM190&gt;0,AN190/AM190-1&gt;Tolerancia_Comb),"Combustible distribución Centro "&amp;TEXT(AN190/AM190-1,"+0%")&amp;" sobre norma. ","")&amp;IF(AND(AU190&gt;0,AV190/AU190-1&gt;Tolerancia_Comb),"Combustible traslado Oriente "&amp;TEXT(AV190/AU190-1,"+0%")&amp;" sobre norma. ","")&amp;IF(AND(AW190&gt;0,AX190/AW190-1&gt;Tolerancia_Comb),"Combustible distribución Oriente "&amp;TEXT(AX190/AW190-1,"+0%")&amp;" sobre norma. ","")&amp;IF(AND(ENTRADA!$C190&lt;&gt;"",C190&lt;PRECIOS!$A$6),"Fecha anterior a la 1ª vigencia de precios. ","")&amp;IF(CD190&lt;0,"Contenedor con pérdida. ",""))</f>
      </c>
    </row>
    <row r="191">
      <c r="A191" s="60">
        <f>IF(B191="","",ROW()-5)</f>
      </c>
      <c r="B191" s="63">
        <f>IF(ENTRADA!$B191="","",ENTRADA!$B191)</f>
      </c>
      <c r="C191" s="64">
        <f>IF(B191="","",ENTRADA!$C191)</f>
      </c>
      <c r="D191" s="65">
        <f>IF(B191="","",DATE(YEAR(C191),MONTH(C191),1))</f>
      </c>
      <c r="E191" s="66">
        <f>IF(B191="","",ENTRADA!$D191&amp;"")</f>
      </c>
      <c r="F191" s="66">
        <f>IF(B191="","",ENTRADA!$Z191&amp;"")</f>
      </c>
      <c r="G191" s="67">
        <f>IF(B191="","",N(ENTRADA!$G191))</f>
      </c>
      <c r="H191" s="67">
        <f>IF(B191="","",N(ENTRADA!$H191))</f>
      </c>
      <c r="I191" s="67">
        <f>IF(B191="","",N(ENTRADA!$I191))</f>
      </c>
      <c r="J191" s="68">
        <f>IF(B191="","",G191+H191+I191)</f>
      </c>
      <c r="K191" s="60">
        <f>IF(B191="","",IFERROR(MATCH(SUMPRODUCT(MAX((PRECIOS!$A$6:$A$55&lt;=C191)*PRECIOS!$A$6:$A$55)),PRECIOS!$A$6:$A$55,0),1))</f>
      </c>
      <c r="L191" s="69">
        <f>IF(B191="","",INDEX(PRECIOS!$A$6:$A$55,K191))</f>
      </c>
      <c r="M191" s="37">
        <f>IF(B191="","",G191*INDEX(PRECIOS!$B$6:$B$55,K191))</f>
      </c>
      <c r="N191" s="37">
        <f>IF(B191="","",H191*INDEX(PRECIOS!$C$6:$C$55,K191))</f>
      </c>
      <c r="O191" s="37">
        <f>IF(B191="","",I191*INDEX(PRECIOS!$D$6:$D$55,K191))</f>
      </c>
      <c r="P191" s="37">
        <f>IF(B191="","",N(ENTRADA!$X191))</f>
      </c>
      <c r="Q191" s="70">
        <f>IF(B191="","",M191+N191+O191+P191)</f>
      </c>
      <c r="R191" s="71">
        <f>IF(B191="","",IF(ENTRADA!$J191="",Std_Viajes_Puerto,ENTRADA!$J191))</f>
      </c>
      <c r="S191" s="37">
        <f>IF(B191="","",R191*INDEX(PRECIOS!$F$6:$F$55,K191))</f>
      </c>
      <c r="T191" s="71">
        <f>IF(B191="","",R191*Litros_Puerto_Viaje)</f>
      </c>
      <c r="U191" s="71">
        <f>IF(B191="","",IF(ENTRADA!$K191="",T191,ENTRADA!$K191))</f>
      </c>
      <c r="V191" s="37">
        <f>IF(B191="","",U191*INDEX(PRECIOS!$E$6:$E$55,K191))</f>
      </c>
      <c r="W191" s="37">
        <f>IF(B191="","",IF(ENTRADA!$L191="",R191*INDEX(PRECIOS!$G$6:$G$55,K191),ENTRADA!$L191))</f>
      </c>
      <c r="X191" s="37">
        <f>IF(B191="","",R191*Km_Puerto_Viaje*INDEX(PRECIOS!$N$6:$N$55,K191))</f>
      </c>
      <c r="Y191" s="70">
        <f>IF(B191="","",S191+V191+W191+X191)</f>
      </c>
      <c r="Z191" s="71">
        <f>IF(B191="","",IF(J191=0,0,ROUNDUP(J191/Rend_Desagrupe,0)))</f>
      </c>
      <c r="AA191" s="71">
        <f>IF(B191="","",IF(ENTRADA!$M191="",Z191,ENTRADA!$M191))</f>
      </c>
      <c r="AB191" s="37">
        <f>IF(B191="","",AA191*INDEX(PRECIOS!$H$6:$H$55,K191))</f>
      </c>
      <c r="AC191" s="37">
        <f>IF(B191="","",IF(E191="ENCI",INDEX(PRECIOS!$J$6:$J$55,K191),IF(E191="A.V",INDEX(PRECIOS!$K$6:$K$55,K191),0)))</f>
      </c>
      <c r="AD191" s="37">
        <f>IF(B191="","",N(ENTRADA!$N191))</f>
      </c>
      <c r="AE191" s="70">
        <f>IF(B191="","",AB191+AC191+AD191)</f>
      </c>
      <c r="AF191" s="71">
        <f>IF(B191="","",IF(G191=0,0,ROUNDUP(G191/Cap_Camion_OCC,0)))</f>
      </c>
      <c r="AG191" s="71">
        <f>IF(B191="","",AF191*L_Dist_OCC)</f>
      </c>
      <c r="AH191" s="71">
        <f>IF(B191="","",IF(ENTRADA!$O191="",AG191,ENTRADA!$O191))</f>
      </c>
      <c r="AI191" s="37">
        <f>IF(B191="","",AH191*INDEX(PRECIOS!$E$6:$E$55,K191))</f>
      </c>
      <c r="AJ191" s="71">
        <f>IF(B191="","",IF(H191=0,0,ROUNDUP(H191/Cap_Camion_CEN,0)))</f>
      </c>
      <c r="AK191" s="71">
        <f>IF(B191="","",AJ191*L_Tras_CEN)</f>
      </c>
      <c r="AL191" s="71">
        <f>IF(B191="","",IF(ENTRADA!$P191="",AK191,ENTRADA!$P191))</f>
      </c>
      <c r="AM191" s="71">
        <f>IF(B191="","",AJ191*L_Dist_CEN)</f>
      </c>
      <c r="AN191" s="71">
        <f>IF(B191="","",IF(ENTRADA!$Q191="",AM191,ENTRADA!$Q191))</f>
      </c>
      <c r="AO191" s="37">
        <f>IF(B191="","",(AL191+AN191)*INDEX(PRECIOS!$E$6:$E$55,K191))</f>
      </c>
      <c r="AP191" s="71">
        <f>IF(B191="","",IF(H191=0,0,ROUNDUP(H191/Rend_Desagrupe_CT,0)))</f>
      </c>
      <c r="AQ191" s="71">
        <f>IF(B191="","",IF(ENTRADA!$R191="",AP191,ENTRADA!$R191))</f>
      </c>
      <c r="AR191" s="37">
        <f>IF(B191="","",AQ191*INDEX(PRECIOS!$I$6:$I$55,K191))</f>
      </c>
      <c r="AS191" s="37">
        <f>IF(B191="","",AO191+AR191)</f>
      </c>
      <c r="AT191" s="71">
        <f>IF(B191="","",IF(I191=0,0,ROUNDUP(I191/Cap_Camion_ORI,0)))</f>
      </c>
      <c r="AU191" s="71">
        <f>IF(B191="","",AT191*L_Tras_ORI)</f>
      </c>
      <c r="AV191" s="71">
        <f>IF(B191="","",IF(ENTRADA!$S191="",AU191,ENTRADA!$S191))</f>
      </c>
      <c r="AW191" s="71">
        <f>IF(B191="","",AT191*L_Dist_ORI)</f>
      </c>
      <c r="AX191" s="71">
        <f>IF(B191="","",IF(ENTRADA!$T191="",AW191,ENTRADA!$T191))</f>
      </c>
      <c r="AY191" s="37">
        <f>IF(B191="","",(AV191+AX191)*INDEX(PRECIOS!$E$6:$E$55,K191))</f>
      </c>
      <c r="AZ191" s="71">
        <f>IF(B191="","",IF(I191=0,0,ROUNDUP(I191/Rend_Desagrupe_CT,0)))</f>
      </c>
      <c r="BA191" s="71">
        <f>IF(B191="","",IF(ENTRADA!$U191="",AZ191,ENTRADA!$U191))</f>
      </c>
      <c r="BB191" s="37">
        <f>IF(B191="","",BA191*INDEX(PRECIOS!$I$6:$I$55,K191))</f>
      </c>
      <c r="BC191" s="37">
        <f>IF(B191="","",AY191+BB191)</f>
      </c>
      <c r="BD191" s="70">
        <f>IF(B191="","",AI191+AS191+BC191)</f>
      </c>
      <c r="BE191" s="37">
        <f>IF(B191="","",IF(Base_Comision="% DEL INGRESO",M191*INDEX(PRECIOS!$L$6:$L$55,K191),G191*INDEX(PRECIOS!$M$6:$M$55,K191)))</f>
      </c>
      <c r="BF191" s="37">
        <f>IF(B191="","",IF(Base_Comision="% DEL INGRESO",N191*INDEX(PRECIOS!$L$6:$L$55,K191),H191*INDEX(PRECIOS!$M$6:$M$55,K191)))</f>
      </c>
      <c r="BG191" s="37">
        <f>IF(B191="","",IF(Base_Comision="% DEL INGRESO",O191*INDEX(PRECIOS!$L$6:$L$55,K191),I191*INDEX(PRECIOS!$M$6:$M$55,K191)))</f>
      </c>
      <c r="BH191" s="70">
        <f>IF(B191="","",BE191+BF191+BG191)</f>
      </c>
      <c r="BI191" s="37">
        <f>IF(B191="","",Q191*Pct_Reclamaciones)</f>
      </c>
      <c r="BJ191" s="37">
        <f>IF(B191="","",Q191*Pct_Banco)</f>
      </c>
      <c r="BK191" s="37">
        <f>IF(B191="","",N(ENTRADA!$V191))</f>
      </c>
      <c r="BL191" s="70">
        <f>IF(B191="","",Y191+AE191+BD191+BH191+BI191+BJ191+BK191)</f>
      </c>
      <c r="BM191" s="70">
        <f>IF(B191="","",Q191-BL191)</f>
      </c>
      <c r="BN191" s="72">
        <f>IF(B191="","",IF(Q191=0,0,BM191/Q191))</f>
      </c>
      <c r="BO191" s="73">
        <f>IF(B191="","",IF(J191=0,0,BM191/J191))</f>
      </c>
      <c r="BP191" s="60">
        <f>IF(B191="","",IFERROR(MATCH(D191,COSTOS_FIJOS!$G$5:$AD$5,0),0))</f>
      </c>
      <c r="BQ191" s="60">
        <f>IF(B191="","",COUNTIFS($D$6:$D$305,D191))</f>
      </c>
      <c r="BR191" s="67">
        <f>IF(B191="","",SUMIFS($J$6:$J$305,$D$6:$D$305,D191))</f>
      </c>
      <c r="BS191" s="72">
        <f>IF(B191="","",IF(Metodo_Prorrateo="KG",IF(BR191=0,0,J191/BR191),1/BQ191))</f>
      </c>
      <c r="BT191" s="37">
        <f>IF(B191="","",IF(BP191=0,0,INDEX(COSTOS_FIJOS!$G$38:$AD$38,BP191))*BS191)</f>
      </c>
      <c r="BU191" s="72">
        <f>IF(B191="","",IF(Metodo_Prorrateo="KG",IF(SUMIFS($G$6:$G$305,$D$6:$D$305,D191)=0,0,G191/SUMIFS($G$6:$G$305,$D$6:$D$305,D191)),IF(G191&gt;0,1/COUNTIFS($D$6:$D$305,D191,$G$6:$G$305,"&gt;0"),0)))</f>
      </c>
      <c r="BV191" s="37">
        <f>IF(B191="","",IF(BP191=0,0,INDEX(COSTOS_FIJOS!$G$39:$AD$39,BP191))*BU191)</f>
      </c>
      <c r="BW191" s="72">
        <f>IF(B191="","",IF(Metodo_Prorrateo="KG",IF(SUMIFS($H$6:$H$305,$D$6:$D$305,D191)=0,0,H191/SUMIFS($H$6:$H$305,$D$6:$D$305,D191)),IF(H191&gt;0,1/COUNTIFS($D$6:$D$305,D191,$H$6:$H$305,"&gt;0"),0)))</f>
      </c>
      <c r="BX191" s="37">
        <f>IF(B191="","",IF(BP191=0,0,INDEX(COSTOS_FIJOS!$G$40:$AD$40,BP191))*BW191)</f>
      </c>
      <c r="BY191" s="72">
        <f>IF(B191="","",IF(Metodo_Prorrateo="KG",IF(SUMIFS($I$6:$I$305,$D$6:$D$305,D191)=0,0,I191/SUMIFS($I$6:$I$305,$D$6:$D$305,D191)),IF(I191&gt;0,1/COUNTIFS($D$6:$D$305,D191,$I$6:$I$305,"&gt;0"),0)))</f>
      </c>
      <c r="BZ191" s="37">
        <f>IF(B191="","",IF(BP191=0,0,INDEX(COSTOS_FIJOS!$G$41:$AD$41,BP191))*BY191)</f>
      </c>
      <c r="CA191" s="70">
        <f>IF(B191="","",BT191+BV191+BX191+BZ191)</f>
      </c>
      <c r="CB191" s="37">
        <f>IF(B191="","",Q191*Imp_Ventas_Serv)</f>
      </c>
      <c r="CC191" s="37">
        <f>IF(B191="","",Q191*Contrib_Territorial)</f>
      </c>
      <c r="CD191" s="70">
        <f>IF(B191="","",BM191-CA191-CB191-CC191)</f>
      </c>
      <c r="CE191" s="37">
        <f>IF(B191="","",MAX(0,CD191)*Imp_Utilidades)</f>
      </c>
      <c r="CF191" s="70">
        <f>IF(B191="","",CD191-CE191)</f>
      </c>
      <c r="CG191" s="72">
        <f>IF(B191="","",IF(Q191=0,0,CF191/Q191))</f>
      </c>
      <c r="CH191" s="73">
        <f>IF(B191="","",IF(J191=0,0,(BL191+CA191+CB191+CC191)/J191))</f>
      </c>
      <c r="CI191" s="73">
        <f>IF(B191="","",IF(J191=0,0,Q191/J191))</f>
      </c>
      <c r="CJ191" s="73">
        <f>IF(B191="","",IF(J191=0,0,CD191/J191))</f>
      </c>
      <c r="CK191" s="37">
        <f>IF(B191="","",Y191+AE191+BK191+BT191)</f>
      </c>
      <c r="CL191" s="37">
        <f>IF(B191="","",IF(J191=0,0,(M191+P191*G191/J191)*(1-Pct_Reclamaciones-Pct_Banco-Imp_Ventas_Serv-Contrib_Territorial)-AI191-BE191-BV191-CK191*G191/J191))</f>
      </c>
      <c r="CM191" s="37">
        <f>IF(B191="","",IF(J191=0,0,(N191+P191*H191/J191)*(1-Pct_Reclamaciones-Pct_Banco-Imp_Ventas_Serv-Contrib_Territorial)-AS191-BF191-BX191-CK191*H191/J191))</f>
      </c>
      <c r="CN191" s="37">
        <f>IF(B191="","",IF(J191=0,0,(O191+P191*I191/J191)*(1-Pct_Reclamaciones-Pct_Banco-Imp_Ventas_Serv-Contrib_Territorial)-BC191-BG191-BZ191-CK191*I191/J191))</f>
      </c>
      <c r="CO191" s="37">
        <f>IF(B191="","",IF(J191=0,0,ROUND(CD191-CL191-CM191-CN191,4)))</f>
      </c>
      <c r="CP191" s="71">
        <f>IF(B191="","",T191+AG191+AK191+AM191+AU191+AW191)</f>
      </c>
      <c r="CQ191" s="71">
        <f>IF(B191="","",U191+AH191+AL191+AN191+AV191+AX191)</f>
      </c>
      <c r="CR191" s="72">
        <f>IF(B191="","",IF(CP191=0,0,CQ191/CP191-1))</f>
      </c>
      <c r="CS191" s="60">
        <f>IF(B191="","",IF(ENTRADA!$Y191="","",ENTRADA!$Y191-C191))</f>
      </c>
      <c r="CT191" s="66">
        <f>IF(B191="","",IF(ENTRADA!$C191="","Falta fecha. ","")&amp;IF(BP191=0,"Mes fuera del rango de COSTOS_FIJOS. ","")&amp;IF(J191=0,"Sin kg. ","")&amp;IF(E191="","Falta transitaria. ","")&amp;IF(AND(T191&gt;0,U191/T191-1&gt;Tolerancia_Comb),"Combustible al puerto "&amp;TEXT(U191/T191-1,"+0%")&amp;" sobre norma. ","")&amp;IF(AND(AG191&gt;0,AH191/AG191-1&gt;Tolerancia_Comb),"Combustible distribución Occidente "&amp;TEXT(AH191/AG191-1,"+0%")&amp;" sobre norma. ","")&amp;IF(AND(AK191&gt;0,AL191/AK191-1&gt;Tolerancia_Comb),"Combustible traslado Centro "&amp;TEXT(AL191/AK191-1,"+0%")&amp;" sobre norma. ","")&amp;IF(AND(AM191&gt;0,AN191/AM191-1&gt;Tolerancia_Comb),"Combustible distribución Centro "&amp;TEXT(AN191/AM191-1,"+0%")&amp;" sobre norma. ","")&amp;IF(AND(AU191&gt;0,AV191/AU191-1&gt;Tolerancia_Comb),"Combustible traslado Oriente "&amp;TEXT(AV191/AU191-1,"+0%")&amp;" sobre norma. ","")&amp;IF(AND(AW191&gt;0,AX191/AW191-1&gt;Tolerancia_Comb),"Combustible distribución Oriente "&amp;TEXT(AX191/AW191-1,"+0%")&amp;" sobre norma. ","")&amp;IF(AND(ENTRADA!$C191&lt;&gt;"",C191&lt;PRECIOS!$A$6),"Fecha anterior a la 1ª vigencia de precios. ","")&amp;IF(CD191&lt;0,"Contenedor con pérdida. ",""))</f>
      </c>
    </row>
    <row r="192">
      <c r="A192" s="60">
        <f>IF(B192="","",ROW()-5)</f>
      </c>
      <c r="B192" s="63">
        <f>IF(ENTRADA!$B192="","",ENTRADA!$B192)</f>
      </c>
      <c r="C192" s="64">
        <f>IF(B192="","",ENTRADA!$C192)</f>
      </c>
      <c r="D192" s="65">
        <f>IF(B192="","",DATE(YEAR(C192),MONTH(C192),1))</f>
      </c>
      <c r="E192" s="66">
        <f>IF(B192="","",ENTRADA!$D192&amp;"")</f>
      </c>
      <c r="F192" s="66">
        <f>IF(B192="","",ENTRADA!$Z192&amp;"")</f>
      </c>
      <c r="G192" s="67">
        <f>IF(B192="","",N(ENTRADA!$G192))</f>
      </c>
      <c r="H192" s="67">
        <f>IF(B192="","",N(ENTRADA!$H192))</f>
      </c>
      <c r="I192" s="67">
        <f>IF(B192="","",N(ENTRADA!$I192))</f>
      </c>
      <c r="J192" s="68">
        <f>IF(B192="","",G192+H192+I192)</f>
      </c>
      <c r="K192" s="60">
        <f>IF(B192="","",IFERROR(MATCH(SUMPRODUCT(MAX((PRECIOS!$A$6:$A$55&lt;=C192)*PRECIOS!$A$6:$A$55)),PRECIOS!$A$6:$A$55,0),1))</f>
      </c>
      <c r="L192" s="69">
        <f>IF(B192="","",INDEX(PRECIOS!$A$6:$A$55,K192))</f>
      </c>
      <c r="M192" s="37">
        <f>IF(B192="","",G192*INDEX(PRECIOS!$B$6:$B$55,K192))</f>
      </c>
      <c r="N192" s="37">
        <f>IF(B192="","",H192*INDEX(PRECIOS!$C$6:$C$55,K192))</f>
      </c>
      <c r="O192" s="37">
        <f>IF(B192="","",I192*INDEX(PRECIOS!$D$6:$D$55,K192))</f>
      </c>
      <c r="P192" s="37">
        <f>IF(B192="","",N(ENTRADA!$X192))</f>
      </c>
      <c r="Q192" s="70">
        <f>IF(B192="","",M192+N192+O192+P192)</f>
      </c>
      <c r="R192" s="71">
        <f>IF(B192="","",IF(ENTRADA!$J192="",Std_Viajes_Puerto,ENTRADA!$J192))</f>
      </c>
      <c r="S192" s="37">
        <f>IF(B192="","",R192*INDEX(PRECIOS!$F$6:$F$55,K192))</f>
      </c>
      <c r="T192" s="71">
        <f>IF(B192="","",R192*Litros_Puerto_Viaje)</f>
      </c>
      <c r="U192" s="71">
        <f>IF(B192="","",IF(ENTRADA!$K192="",T192,ENTRADA!$K192))</f>
      </c>
      <c r="V192" s="37">
        <f>IF(B192="","",U192*INDEX(PRECIOS!$E$6:$E$55,K192))</f>
      </c>
      <c r="W192" s="37">
        <f>IF(B192="","",IF(ENTRADA!$L192="",R192*INDEX(PRECIOS!$G$6:$G$55,K192),ENTRADA!$L192))</f>
      </c>
      <c r="X192" s="37">
        <f>IF(B192="","",R192*Km_Puerto_Viaje*INDEX(PRECIOS!$N$6:$N$55,K192))</f>
      </c>
      <c r="Y192" s="70">
        <f>IF(B192="","",S192+V192+W192+X192)</f>
      </c>
      <c r="Z192" s="71">
        <f>IF(B192="","",IF(J192=0,0,ROUNDUP(J192/Rend_Desagrupe,0)))</f>
      </c>
      <c r="AA192" s="71">
        <f>IF(B192="","",IF(ENTRADA!$M192="",Z192,ENTRADA!$M192))</f>
      </c>
      <c r="AB192" s="37">
        <f>IF(B192="","",AA192*INDEX(PRECIOS!$H$6:$H$55,K192))</f>
      </c>
      <c r="AC192" s="37">
        <f>IF(B192="","",IF(E192="ENCI",INDEX(PRECIOS!$J$6:$J$55,K192),IF(E192="A.V",INDEX(PRECIOS!$K$6:$K$55,K192),0)))</f>
      </c>
      <c r="AD192" s="37">
        <f>IF(B192="","",N(ENTRADA!$N192))</f>
      </c>
      <c r="AE192" s="70">
        <f>IF(B192="","",AB192+AC192+AD192)</f>
      </c>
      <c r="AF192" s="71">
        <f>IF(B192="","",IF(G192=0,0,ROUNDUP(G192/Cap_Camion_OCC,0)))</f>
      </c>
      <c r="AG192" s="71">
        <f>IF(B192="","",AF192*L_Dist_OCC)</f>
      </c>
      <c r="AH192" s="71">
        <f>IF(B192="","",IF(ENTRADA!$O192="",AG192,ENTRADA!$O192))</f>
      </c>
      <c r="AI192" s="37">
        <f>IF(B192="","",AH192*INDEX(PRECIOS!$E$6:$E$55,K192))</f>
      </c>
      <c r="AJ192" s="71">
        <f>IF(B192="","",IF(H192=0,0,ROUNDUP(H192/Cap_Camion_CEN,0)))</f>
      </c>
      <c r="AK192" s="71">
        <f>IF(B192="","",AJ192*L_Tras_CEN)</f>
      </c>
      <c r="AL192" s="71">
        <f>IF(B192="","",IF(ENTRADA!$P192="",AK192,ENTRADA!$P192))</f>
      </c>
      <c r="AM192" s="71">
        <f>IF(B192="","",AJ192*L_Dist_CEN)</f>
      </c>
      <c r="AN192" s="71">
        <f>IF(B192="","",IF(ENTRADA!$Q192="",AM192,ENTRADA!$Q192))</f>
      </c>
      <c r="AO192" s="37">
        <f>IF(B192="","",(AL192+AN192)*INDEX(PRECIOS!$E$6:$E$55,K192))</f>
      </c>
      <c r="AP192" s="71">
        <f>IF(B192="","",IF(H192=0,0,ROUNDUP(H192/Rend_Desagrupe_CT,0)))</f>
      </c>
      <c r="AQ192" s="71">
        <f>IF(B192="","",IF(ENTRADA!$R192="",AP192,ENTRADA!$R192))</f>
      </c>
      <c r="AR192" s="37">
        <f>IF(B192="","",AQ192*INDEX(PRECIOS!$I$6:$I$55,K192))</f>
      </c>
      <c r="AS192" s="37">
        <f>IF(B192="","",AO192+AR192)</f>
      </c>
      <c r="AT192" s="71">
        <f>IF(B192="","",IF(I192=0,0,ROUNDUP(I192/Cap_Camion_ORI,0)))</f>
      </c>
      <c r="AU192" s="71">
        <f>IF(B192="","",AT192*L_Tras_ORI)</f>
      </c>
      <c r="AV192" s="71">
        <f>IF(B192="","",IF(ENTRADA!$S192="",AU192,ENTRADA!$S192))</f>
      </c>
      <c r="AW192" s="71">
        <f>IF(B192="","",AT192*L_Dist_ORI)</f>
      </c>
      <c r="AX192" s="71">
        <f>IF(B192="","",IF(ENTRADA!$T192="",AW192,ENTRADA!$T192))</f>
      </c>
      <c r="AY192" s="37">
        <f>IF(B192="","",(AV192+AX192)*INDEX(PRECIOS!$E$6:$E$55,K192))</f>
      </c>
      <c r="AZ192" s="71">
        <f>IF(B192="","",IF(I192=0,0,ROUNDUP(I192/Rend_Desagrupe_CT,0)))</f>
      </c>
      <c r="BA192" s="71">
        <f>IF(B192="","",IF(ENTRADA!$U192="",AZ192,ENTRADA!$U192))</f>
      </c>
      <c r="BB192" s="37">
        <f>IF(B192="","",BA192*INDEX(PRECIOS!$I$6:$I$55,K192))</f>
      </c>
      <c r="BC192" s="37">
        <f>IF(B192="","",AY192+BB192)</f>
      </c>
      <c r="BD192" s="70">
        <f>IF(B192="","",AI192+AS192+BC192)</f>
      </c>
      <c r="BE192" s="37">
        <f>IF(B192="","",IF(Base_Comision="% DEL INGRESO",M192*INDEX(PRECIOS!$L$6:$L$55,K192),G192*INDEX(PRECIOS!$M$6:$M$55,K192)))</f>
      </c>
      <c r="BF192" s="37">
        <f>IF(B192="","",IF(Base_Comision="% DEL INGRESO",N192*INDEX(PRECIOS!$L$6:$L$55,K192),H192*INDEX(PRECIOS!$M$6:$M$55,K192)))</f>
      </c>
      <c r="BG192" s="37">
        <f>IF(B192="","",IF(Base_Comision="% DEL INGRESO",O192*INDEX(PRECIOS!$L$6:$L$55,K192),I192*INDEX(PRECIOS!$M$6:$M$55,K192)))</f>
      </c>
      <c r="BH192" s="70">
        <f>IF(B192="","",BE192+BF192+BG192)</f>
      </c>
      <c r="BI192" s="37">
        <f>IF(B192="","",Q192*Pct_Reclamaciones)</f>
      </c>
      <c r="BJ192" s="37">
        <f>IF(B192="","",Q192*Pct_Banco)</f>
      </c>
      <c r="BK192" s="37">
        <f>IF(B192="","",N(ENTRADA!$V192))</f>
      </c>
      <c r="BL192" s="70">
        <f>IF(B192="","",Y192+AE192+BD192+BH192+BI192+BJ192+BK192)</f>
      </c>
      <c r="BM192" s="70">
        <f>IF(B192="","",Q192-BL192)</f>
      </c>
      <c r="BN192" s="72">
        <f>IF(B192="","",IF(Q192=0,0,BM192/Q192))</f>
      </c>
      <c r="BO192" s="73">
        <f>IF(B192="","",IF(J192=0,0,BM192/J192))</f>
      </c>
      <c r="BP192" s="60">
        <f>IF(B192="","",IFERROR(MATCH(D192,COSTOS_FIJOS!$G$5:$AD$5,0),0))</f>
      </c>
      <c r="BQ192" s="60">
        <f>IF(B192="","",COUNTIFS($D$6:$D$305,D192))</f>
      </c>
      <c r="BR192" s="67">
        <f>IF(B192="","",SUMIFS($J$6:$J$305,$D$6:$D$305,D192))</f>
      </c>
      <c r="BS192" s="72">
        <f>IF(B192="","",IF(Metodo_Prorrateo="KG",IF(BR192=0,0,J192/BR192),1/BQ192))</f>
      </c>
      <c r="BT192" s="37">
        <f>IF(B192="","",IF(BP192=0,0,INDEX(COSTOS_FIJOS!$G$38:$AD$38,BP192))*BS192)</f>
      </c>
      <c r="BU192" s="72">
        <f>IF(B192="","",IF(Metodo_Prorrateo="KG",IF(SUMIFS($G$6:$G$305,$D$6:$D$305,D192)=0,0,G192/SUMIFS($G$6:$G$305,$D$6:$D$305,D192)),IF(G192&gt;0,1/COUNTIFS($D$6:$D$305,D192,$G$6:$G$305,"&gt;0"),0)))</f>
      </c>
      <c r="BV192" s="37">
        <f>IF(B192="","",IF(BP192=0,0,INDEX(COSTOS_FIJOS!$G$39:$AD$39,BP192))*BU192)</f>
      </c>
      <c r="BW192" s="72">
        <f>IF(B192="","",IF(Metodo_Prorrateo="KG",IF(SUMIFS($H$6:$H$305,$D$6:$D$305,D192)=0,0,H192/SUMIFS($H$6:$H$305,$D$6:$D$305,D192)),IF(H192&gt;0,1/COUNTIFS($D$6:$D$305,D192,$H$6:$H$305,"&gt;0"),0)))</f>
      </c>
      <c r="BX192" s="37">
        <f>IF(B192="","",IF(BP192=0,0,INDEX(COSTOS_FIJOS!$G$40:$AD$40,BP192))*BW192)</f>
      </c>
      <c r="BY192" s="72">
        <f>IF(B192="","",IF(Metodo_Prorrateo="KG",IF(SUMIFS($I$6:$I$305,$D$6:$D$305,D192)=0,0,I192/SUMIFS($I$6:$I$305,$D$6:$D$305,D192)),IF(I192&gt;0,1/COUNTIFS($D$6:$D$305,D192,$I$6:$I$305,"&gt;0"),0)))</f>
      </c>
      <c r="BZ192" s="37">
        <f>IF(B192="","",IF(BP192=0,0,INDEX(COSTOS_FIJOS!$G$41:$AD$41,BP192))*BY192)</f>
      </c>
      <c r="CA192" s="70">
        <f>IF(B192="","",BT192+BV192+BX192+BZ192)</f>
      </c>
      <c r="CB192" s="37">
        <f>IF(B192="","",Q192*Imp_Ventas_Serv)</f>
      </c>
      <c r="CC192" s="37">
        <f>IF(B192="","",Q192*Contrib_Territorial)</f>
      </c>
      <c r="CD192" s="70">
        <f>IF(B192="","",BM192-CA192-CB192-CC192)</f>
      </c>
      <c r="CE192" s="37">
        <f>IF(B192="","",MAX(0,CD192)*Imp_Utilidades)</f>
      </c>
      <c r="CF192" s="70">
        <f>IF(B192="","",CD192-CE192)</f>
      </c>
      <c r="CG192" s="72">
        <f>IF(B192="","",IF(Q192=0,0,CF192/Q192))</f>
      </c>
      <c r="CH192" s="73">
        <f>IF(B192="","",IF(J192=0,0,(BL192+CA192+CB192+CC192)/J192))</f>
      </c>
      <c r="CI192" s="73">
        <f>IF(B192="","",IF(J192=0,0,Q192/J192))</f>
      </c>
      <c r="CJ192" s="73">
        <f>IF(B192="","",IF(J192=0,0,CD192/J192))</f>
      </c>
      <c r="CK192" s="37">
        <f>IF(B192="","",Y192+AE192+BK192+BT192)</f>
      </c>
      <c r="CL192" s="37">
        <f>IF(B192="","",IF(J192=0,0,(M192+P192*G192/J192)*(1-Pct_Reclamaciones-Pct_Banco-Imp_Ventas_Serv-Contrib_Territorial)-AI192-BE192-BV192-CK192*G192/J192))</f>
      </c>
      <c r="CM192" s="37">
        <f>IF(B192="","",IF(J192=0,0,(N192+P192*H192/J192)*(1-Pct_Reclamaciones-Pct_Banco-Imp_Ventas_Serv-Contrib_Territorial)-AS192-BF192-BX192-CK192*H192/J192))</f>
      </c>
      <c r="CN192" s="37">
        <f>IF(B192="","",IF(J192=0,0,(O192+P192*I192/J192)*(1-Pct_Reclamaciones-Pct_Banco-Imp_Ventas_Serv-Contrib_Territorial)-BC192-BG192-BZ192-CK192*I192/J192))</f>
      </c>
      <c r="CO192" s="37">
        <f>IF(B192="","",IF(J192=0,0,ROUND(CD192-CL192-CM192-CN192,4)))</f>
      </c>
      <c r="CP192" s="71">
        <f>IF(B192="","",T192+AG192+AK192+AM192+AU192+AW192)</f>
      </c>
      <c r="CQ192" s="71">
        <f>IF(B192="","",U192+AH192+AL192+AN192+AV192+AX192)</f>
      </c>
      <c r="CR192" s="72">
        <f>IF(B192="","",IF(CP192=0,0,CQ192/CP192-1))</f>
      </c>
      <c r="CS192" s="60">
        <f>IF(B192="","",IF(ENTRADA!$Y192="","",ENTRADA!$Y192-C192))</f>
      </c>
      <c r="CT192" s="66">
        <f>IF(B192="","",IF(ENTRADA!$C192="","Falta fecha. ","")&amp;IF(BP192=0,"Mes fuera del rango de COSTOS_FIJOS. ","")&amp;IF(J192=0,"Sin kg. ","")&amp;IF(E192="","Falta transitaria. ","")&amp;IF(AND(T192&gt;0,U192/T192-1&gt;Tolerancia_Comb),"Combustible al puerto "&amp;TEXT(U192/T192-1,"+0%")&amp;" sobre norma. ","")&amp;IF(AND(AG192&gt;0,AH192/AG192-1&gt;Tolerancia_Comb),"Combustible distribución Occidente "&amp;TEXT(AH192/AG192-1,"+0%")&amp;" sobre norma. ","")&amp;IF(AND(AK192&gt;0,AL192/AK192-1&gt;Tolerancia_Comb),"Combustible traslado Centro "&amp;TEXT(AL192/AK192-1,"+0%")&amp;" sobre norma. ","")&amp;IF(AND(AM192&gt;0,AN192/AM192-1&gt;Tolerancia_Comb),"Combustible distribución Centro "&amp;TEXT(AN192/AM192-1,"+0%")&amp;" sobre norma. ","")&amp;IF(AND(AU192&gt;0,AV192/AU192-1&gt;Tolerancia_Comb),"Combustible traslado Oriente "&amp;TEXT(AV192/AU192-1,"+0%")&amp;" sobre norma. ","")&amp;IF(AND(AW192&gt;0,AX192/AW192-1&gt;Tolerancia_Comb),"Combustible distribución Oriente "&amp;TEXT(AX192/AW192-1,"+0%")&amp;" sobre norma. ","")&amp;IF(AND(ENTRADA!$C192&lt;&gt;"",C192&lt;PRECIOS!$A$6),"Fecha anterior a la 1ª vigencia de precios. ","")&amp;IF(CD192&lt;0,"Contenedor con pérdida. ",""))</f>
      </c>
    </row>
    <row r="193">
      <c r="A193" s="60">
        <f>IF(B193="","",ROW()-5)</f>
      </c>
      <c r="B193" s="63">
        <f>IF(ENTRADA!$B193="","",ENTRADA!$B193)</f>
      </c>
      <c r="C193" s="64">
        <f>IF(B193="","",ENTRADA!$C193)</f>
      </c>
      <c r="D193" s="65">
        <f>IF(B193="","",DATE(YEAR(C193),MONTH(C193),1))</f>
      </c>
      <c r="E193" s="66">
        <f>IF(B193="","",ENTRADA!$D193&amp;"")</f>
      </c>
      <c r="F193" s="66">
        <f>IF(B193="","",ENTRADA!$Z193&amp;"")</f>
      </c>
      <c r="G193" s="67">
        <f>IF(B193="","",N(ENTRADA!$G193))</f>
      </c>
      <c r="H193" s="67">
        <f>IF(B193="","",N(ENTRADA!$H193))</f>
      </c>
      <c r="I193" s="67">
        <f>IF(B193="","",N(ENTRADA!$I193))</f>
      </c>
      <c r="J193" s="68">
        <f>IF(B193="","",G193+H193+I193)</f>
      </c>
      <c r="K193" s="60">
        <f>IF(B193="","",IFERROR(MATCH(SUMPRODUCT(MAX((PRECIOS!$A$6:$A$55&lt;=C193)*PRECIOS!$A$6:$A$55)),PRECIOS!$A$6:$A$55,0),1))</f>
      </c>
      <c r="L193" s="69">
        <f>IF(B193="","",INDEX(PRECIOS!$A$6:$A$55,K193))</f>
      </c>
      <c r="M193" s="37">
        <f>IF(B193="","",G193*INDEX(PRECIOS!$B$6:$B$55,K193))</f>
      </c>
      <c r="N193" s="37">
        <f>IF(B193="","",H193*INDEX(PRECIOS!$C$6:$C$55,K193))</f>
      </c>
      <c r="O193" s="37">
        <f>IF(B193="","",I193*INDEX(PRECIOS!$D$6:$D$55,K193))</f>
      </c>
      <c r="P193" s="37">
        <f>IF(B193="","",N(ENTRADA!$X193))</f>
      </c>
      <c r="Q193" s="70">
        <f>IF(B193="","",M193+N193+O193+P193)</f>
      </c>
      <c r="R193" s="71">
        <f>IF(B193="","",IF(ENTRADA!$J193="",Std_Viajes_Puerto,ENTRADA!$J193))</f>
      </c>
      <c r="S193" s="37">
        <f>IF(B193="","",R193*INDEX(PRECIOS!$F$6:$F$55,K193))</f>
      </c>
      <c r="T193" s="71">
        <f>IF(B193="","",R193*Litros_Puerto_Viaje)</f>
      </c>
      <c r="U193" s="71">
        <f>IF(B193="","",IF(ENTRADA!$K193="",T193,ENTRADA!$K193))</f>
      </c>
      <c r="V193" s="37">
        <f>IF(B193="","",U193*INDEX(PRECIOS!$E$6:$E$55,K193))</f>
      </c>
      <c r="W193" s="37">
        <f>IF(B193="","",IF(ENTRADA!$L193="",R193*INDEX(PRECIOS!$G$6:$G$55,K193),ENTRADA!$L193))</f>
      </c>
      <c r="X193" s="37">
        <f>IF(B193="","",R193*Km_Puerto_Viaje*INDEX(PRECIOS!$N$6:$N$55,K193))</f>
      </c>
      <c r="Y193" s="70">
        <f>IF(B193="","",S193+V193+W193+X193)</f>
      </c>
      <c r="Z193" s="71">
        <f>IF(B193="","",IF(J193=0,0,ROUNDUP(J193/Rend_Desagrupe,0)))</f>
      </c>
      <c r="AA193" s="71">
        <f>IF(B193="","",IF(ENTRADA!$M193="",Z193,ENTRADA!$M193))</f>
      </c>
      <c r="AB193" s="37">
        <f>IF(B193="","",AA193*INDEX(PRECIOS!$H$6:$H$55,K193))</f>
      </c>
      <c r="AC193" s="37">
        <f>IF(B193="","",IF(E193="ENCI",INDEX(PRECIOS!$J$6:$J$55,K193),IF(E193="A.V",INDEX(PRECIOS!$K$6:$K$55,K193),0)))</f>
      </c>
      <c r="AD193" s="37">
        <f>IF(B193="","",N(ENTRADA!$N193))</f>
      </c>
      <c r="AE193" s="70">
        <f>IF(B193="","",AB193+AC193+AD193)</f>
      </c>
      <c r="AF193" s="71">
        <f>IF(B193="","",IF(G193=0,0,ROUNDUP(G193/Cap_Camion_OCC,0)))</f>
      </c>
      <c r="AG193" s="71">
        <f>IF(B193="","",AF193*L_Dist_OCC)</f>
      </c>
      <c r="AH193" s="71">
        <f>IF(B193="","",IF(ENTRADA!$O193="",AG193,ENTRADA!$O193))</f>
      </c>
      <c r="AI193" s="37">
        <f>IF(B193="","",AH193*INDEX(PRECIOS!$E$6:$E$55,K193))</f>
      </c>
      <c r="AJ193" s="71">
        <f>IF(B193="","",IF(H193=0,0,ROUNDUP(H193/Cap_Camion_CEN,0)))</f>
      </c>
      <c r="AK193" s="71">
        <f>IF(B193="","",AJ193*L_Tras_CEN)</f>
      </c>
      <c r="AL193" s="71">
        <f>IF(B193="","",IF(ENTRADA!$P193="",AK193,ENTRADA!$P193))</f>
      </c>
      <c r="AM193" s="71">
        <f>IF(B193="","",AJ193*L_Dist_CEN)</f>
      </c>
      <c r="AN193" s="71">
        <f>IF(B193="","",IF(ENTRADA!$Q193="",AM193,ENTRADA!$Q193))</f>
      </c>
      <c r="AO193" s="37">
        <f>IF(B193="","",(AL193+AN193)*INDEX(PRECIOS!$E$6:$E$55,K193))</f>
      </c>
      <c r="AP193" s="71">
        <f>IF(B193="","",IF(H193=0,0,ROUNDUP(H193/Rend_Desagrupe_CT,0)))</f>
      </c>
      <c r="AQ193" s="71">
        <f>IF(B193="","",IF(ENTRADA!$R193="",AP193,ENTRADA!$R193))</f>
      </c>
      <c r="AR193" s="37">
        <f>IF(B193="","",AQ193*INDEX(PRECIOS!$I$6:$I$55,K193))</f>
      </c>
      <c r="AS193" s="37">
        <f>IF(B193="","",AO193+AR193)</f>
      </c>
      <c r="AT193" s="71">
        <f>IF(B193="","",IF(I193=0,0,ROUNDUP(I193/Cap_Camion_ORI,0)))</f>
      </c>
      <c r="AU193" s="71">
        <f>IF(B193="","",AT193*L_Tras_ORI)</f>
      </c>
      <c r="AV193" s="71">
        <f>IF(B193="","",IF(ENTRADA!$S193="",AU193,ENTRADA!$S193))</f>
      </c>
      <c r="AW193" s="71">
        <f>IF(B193="","",AT193*L_Dist_ORI)</f>
      </c>
      <c r="AX193" s="71">
        <f>IF(B193="","",IF(ENTRADA!$T193="",AW193,ENTRADA!$T193))</f>
      </c>
      <c r="AY193" s="37">
        <f>IF(B193="","",(AV193+AX193)*INDEX(PRECIOS!$E$6:$E$55,K193))</f>
      </c>
      <c r="AZ193" s="71">
        <f>IF(B193="","",IF(I193=0,0,ROUNDUP(I193/Rend_Desagrupe_CT,0)))</f>
      </c>
      <c r="BA193" s="71">
        <f>IF(B193="","",IF(ENTRADA!$U193="",AZ193,ENTRADA!$U193))</f>
      </c>
      <c r="BB193" s="37">
        <f>IF(B193="","",BA193*INDEX(PRECIOS!$I$6:$I$55,K193))</f>
      </c>
      <c r="BC193" s="37">
        <f>IF(B193="","",AY193+BB193)</f>
      </c>
      <c r="BD193" s="70">
        <f>IF(B193="","",AI193+AS193+BC193)</f>
      </c>
      <c r="BE193" s="37">
        <f>IF(B193="","",IF(Base_Comision="% DEL INGRESO",M193*INDEX(PRECIOS!$L$6:$L$55,K193),G193*INDEX(PRECIOS!$M$6:$M$55,K193)))</f>
      </c>
      <c r="BF193" s="37">
        <f>IF(B193="","",IF(Base_Comision="% DEL INGRESO",N193*INDEX(PRECIOS!$L$6:$L$55,K193),H193*INDEX(PRECIOS!$M$6:$M$55,K193)))</f>
      </c>
      <c r="BG193" s="37">
        <f>IF(B193="","",IF(Base_Comision="% DEL INGRESO",O193*INDEX(PRECIOS!$L$6:$L$55,K193),I193*INDEX(PRECIOS!$M$6:$M$55,K193)))</f>
      </c>
      <c r="BH193" s="70">
        <f>IF(B193="","",BE193+BF193+BG193)</f>
      </c>
      <c r="BI193" s="37">
        <f>IF(B193="","",Q193*Pct_Reclamaciones)</f>
      </c>
      <c r="BJ193" s="37">
        <f>IF(B193="","",Q193*Pct_Banco)</f>
      </c>
      <c r="BK193" s="37">
        <f>IF(B193="","",N(ENTRADA!$V193))</f>
      </c>
      <c r="BL193" s="70">
        <f>IF(B193="","",Y193+AE193+BD193+BH193+BI193+BJ193+BK193)</f>
      </c>
      <c r="BM193" s="70">
        <f>IF(B193="","",Q193-BL193)</f>
      </c>
      <c r="BN193" s="72">
        <f>IF(B193="","",IF(Q193=0,0,BM193/Q193))</f>
      </c>
      <c r="BO193" s="73">
        <f>IF(B193="","",IF(J193=0,0,BM193/J193))</f>
      </c>
      <c r="BP193" s="60">
        <f>IF(B193="","",IFERROR(MATCH(D193,COSTOS_FIJOS!$G$5:$AD$5,0),0))</f>
      </c>
      <c r="BQ193" s="60">
        <f>IF(B193="","",COUNTIFS($D$6:$D$305,D193))</f>
      </c>
      <c r="BR193" s="67">
        <f>IF(B193="","",SUMIFS($J$6:$J$305,$D$6:$D$305,D193))</f>
      </c>
      <c r="BS193" s="72">
        <f>IF(B193="","",IF(Metodo_Prorrateo="KG",IF(BR193=0,0,J193/BR193),1/BQ193))</f>
      </c>
      <c r="BT193" s="37">
        <f>IF(B193="","",IF(BP193=0,0,INDEX(COSTOS_FIJOS!$G$38:$AD$38,BP193))*BS193)</f>
      </c>
      <c r="BU193" s="72">
        <f>IF(B193="","",IF(Metodo_Prorrateo="KG",IF(SUMIFS($G$6:$G$305,$D$6:$D$305,D193)=0,0,G193/SUMIFS($G$6:$G$305,$D$6:$D$305,D193)),IF(G193&gt;0,1/COUNTIFS($D$6:$D$305,D193,$G$6:$G$305,"&gt;0"),0)))</f>
      </c>
      <c r="BV193" s="37">
        <f>IF(B193="","",IF(BP193=0,0,INDEX(COSTOS_FIJOS!$G$39:$AD$39,BP193))*BU193)</f>
      </c>
      <c r="BW193" s="72">
        <f>IF(B193="","",IF(Metodo_Prorrateo="KG",IF(SUMIFS($H$6:$H$305,$D$6:$D$305,D193)=0,0,H193/SUMIFS($H$6:$H$305,$D$6:$D$305,D193)),IF(H193&gt;0,1/COUNTIFS($D$6:$D$305,D193,$H$6:$H$305,"&gt;0"),0)))</f>
      </c>
      <c r="BX193" s="37">
        <f>IF(B193="","",IF(BP193=0,0,INDEX(COSTOS_FIJOS!$G$40:$AD$40,BP193))*BW193)</f>
      </c>
      <c r="BY193" s="72">
        <f>IF(B193="","",IF(Metodo_Prorrateo="KG",IF(SUMIFS($I$6:$I$305,$D$6:$D$305,D193)=0,0,I193/SUMIFS($I$6:$I$305,$D$6:$D$305,D193)),IF(I193&gt;0,1/COUNTIFS($D$6:$D$305,D193,$I$6:$I$305,"&gt;0"),0)))</f>
      </c>
      <c r="BZ193" s="37">
        <f>IF(B193="","",IF(BP193=0,0,INDEX(COSTOS_FIJOS!$G$41:$AD$41,BP193))*BY193)</f>
      </c>
      <c r="CA193" s="70">
        <f>IF(B193="","",BT193+BV193+BX193+BZ193)</f>
      </c>
      <c r="CB193" s="37">
        <f>IF(B193="","",Q193*Imp_Ventas_Serv)</f>
      </c>
      <c r="CC193" s="37">
        <f>IF(B193="","",Q193*Contrib_Territorial)</f>
      </c>
      <c r="CD193" s="70">
        <f>IF(B193="","",BM193-CA193-CB193-CC193)</f>
      </c>
      <c r="CE193" s="37">
        <f>IF(B193="","",MAX(0,CD193)*Imp_Utilidades)</f>
      </c>
      <c r="CF193" s="70">
        <f>IF(B193="","",CD193-CE193)</f>
      </c>
      <c r="CG193" s="72">
        <f>IF(B193="","",IF(Q193=0,0,CF193/Q193))</f>
      </c>
      <c r="CH193" s="73">
        <f>IF(B193="","",IF(J193=0,0,(BL193+CA193+CB193+CC193)/J193))</f>
      </c>
      <c r="CI193" s="73">
        <f>IF(B193="","",IF(J193=0,0,Q193/J193))</f>
      </c>
      <c r="CJ193" s="73">
        <f>IF(B193="","",IF(J193=0,0,CD193/J193))</f>
      </c>
      <c r="CK193" s="37">
        <f>IF(B193="","",Y193+AE193+BK193+BT193)</f>
      </c>
      <c r="CL193" s="37">
        <f>IF(B193="","",IF(J193=0,0,(M193+P193*G193/J193)*(1-Pct_Reclamaciones-Pct_Banco-Imp_Ventas_Serv-Contrib_Territorial)-AI193-BE193-BV193-CK193*G193/J193))</f>
      </c>
      <c r="CM193" s="37">
        <f>IF(B193="","",IF(J193=0,0,(N193+P193*H193/J193)*(1-Pct_Reclamaciones-Pct_Banco-Imp_Ventas_Serv-Contrib_Territorial)-AS193-BF193-BX193-CK193*H193/J193))</f>
      </c>
      <c r="CN193" s="37">
        <f>IF(B193="","",IF(J193=0,0,(O193+P193*I193/J193)*(1-Pct_Reclamaciones-Pct_Banco-Imp_Ventas_Serv-Contrib_Territorial)-BC193-BG193-BZ193-CK193*I193/J193))</f>
      </c>
      <c r="CO193" s="37">
        <f>IF(B193="","",IF(J193=0,0,ROUND(CD193-CL193-CM193-CN193,4)))</f>
      </c>
      <c r="CP193" s="71">
        <f>IF(B193="","",T193+AG193+AK193+AM193+AU193+AW193)</f>
      </c>
      <c r="CQ193" s="71">
        <f>IF(B193="","",U193+AH193+AL193+AN193+AV193+AX193)</f>
      </c>
      <c r="CR193" s="72">
        <f>IF(B193="","",IF(CP193=0,0,CQ193/CP193-1))</f>
      </c>
      <c r="CS193" s="60">
        <f>IF(B193="","",IF(ENTRADA!$Y193="","",ENTRADA!$Y193-C193))</f>
      </c>
      <c r="CT193" s="66">
        <f>IF(B193="","",IF(ENTRADA!$C193="","Falta fecha. ","")&amp;IF(BP193=0,"Mes fuera del rango de COSTOS_FIJOS. ","")&amp;IF(J193=0,"Sin kg. ","")&amp;IF(E193="","Falta transitaria. ","")&amp;IF(AND(T193&gt;0,U193/T193-1&gt;Tolerancia_Comb),"Combustible al puerto "&amp;TEXT(U193/T193-1,"+0%")&amp;" sobre norma. ","")&amp;IF(AND(AG193&gt;0,AH193/AG193-1&gt;Tolerancia_Comb),"Combustible distribución Occidente "&amp;TEXT(AH193/AG193-1,"+0%")&amp;" sobre norma. ","")&amp;IF(AND(AK193&gt;0,AL193/AK193-1&gt;Tolerancia_Comb),"Combustible traslado Centro "&amp;TEXT(AL193/AK193-1,"+0%")&amp;" sobre norma. ","")&amp;IF(AND(AM193&gt;0,AN193/AM193-1&gt;Tolerancia_Comb),"Combustible distribución Centro "&amp;TEXT(AN193/AM193-1,"+0%")&amp;" sobre norma. ","")&amp;IF(AND(AU193&gt;0,AV193/AU193-1&gt;Tolerancia_Comb),"Combustible traslado Oriente "&amp;TEXT(AV193/AU193-1,"+0%")&amp;" sobre norma. ","")&amp;IF(AND(AW193&gt;0,AX193/AW193-1&gt;Tolerancia_Comb),"Combustible distribución Oriente "&amp;TEXT(AX193/AW193-1,"+0%")&amp;" sobre norma. ","")&amp;IF(AND(ENTRADA!$C193&lt;&gt;"",C193&lt;PRECIOS!$A$6),"Fecha anterior a la 1ª vigencia de precios. ","")&amp;IF(CD193&lt;0,"Contenedor con pérdida. ",""))</f>
      </c>
    </row>
    <row r="194">
      <c r="A194" s="60">
        <f>IF(B194="","",ROW()-5)</f>
      </c>
      <c r="B194" s="63">
        <f>IF(ENTRADA!$B194="","",ENTRADA!$B194)</f>
      </c>
      <c r="C194" s="64">
        <f>IF(B194="","",ENTRADA!$C194)</f>
      </c>
      <c r="D194" s="65">
        <f>IF(B194="","",DATE(YEAR(C194),MONTH(C194),1))</f>
      </c>
      <c r="E194" s="66">
        <f>IF(B194="","",ENTRADA!$D194&amp;"")</f>
      </c>
      <c r="F194" s="66">
        <f>IF(B194="","",ENTRADA!$Z194&amp;"")</f>
      </c>
      <c r="G194" s="67">
        <f>IF(B194="","",N(ENTRADA!$G194))</f>
      </c>
      <c r="H194" s="67">
        <f>IF(B194="","",N(ENTRADA!$H194))</f>
      </c>
      <c r="I194" s="67">
        <f>IF(B194="","",N(ENTRADA!$I194))</f>
      </c>
      <c r="J194" s="68">
        <f>IF(B194="","",G194+H194+I194)</f>
      </c>
      <c r="K194" s="60">
        <f>IF(B194="","",IFERROR(MATCH(SUMPRODUCT(MAX((PRECIOS!$A$6:$A$55&lt;=C194)*PRECIOS!$A$6:$A$55)),PRECIOS!$A$6:$A$55,0),1))</f>
      </c>
      <c r="L194" s="69">
        <f>IF(B194="","",INDEX(PRECIOS!$A$6:$A$55,K194))</f>
      </c>
      <c r="M194" s="37">
        <f>IF(B194="","",G194*INDEX(PRECIOS!$B$6:$B$55,K194))</f>
      </c>
      <c r="N194" s="37">
        <f>IF(B194="","",H194*INDEX(PRECIOS!$C$6:$C$55,K194))</f>
      </c>
      <c r="O194" s="37">
        <f>IF(B194="","",I194*INDEX(PRECIOS!$D$6:$D$55,K194))</f>
      </c>
      <c r="P194" s="37">
        <f>IF(B194="","",N(ENTRADA!$X194))</f>
      </c>
      <c r="Q194" s="70">
        <f>IF(B194="","",M194+N194+O194+P194)</f>
      </c>
      <c r="R194" s="71">
        <f>IF(B194="","",IF(ENTRADA!$J194="",Std_Viajes_Puerto,ENTRADA!$J194))</f>
      </c>
      <c r="S194" s="37">
        <f>IF(B194="","",R194*INDEX(PRECIOS!$F$6:$F$55,K194))</f>
      </c>
      <c r="T194" s="71">
        <f>IF(B194="","",R194*Litros_Puerto_Viaje)</f>
      </c>
      <c r="U194" s="71">
        <f>IF(B194="","",IF(ENTRADA!$K194="",T194,ENTRADA!$K194))</f>
      </c>
      <c r="V194" s="37">
        <f>IF(B194="","",U194*INDEX(PRECIOS!$E$6:$E$55,K194))</f>
      </c>
      <c r="W194" s="37">
        <f>IF(B194="","",IF(ENTRADA!$L194="",R194*INDEX(PRECIOS!$G$6:$G$55,K194),ENTRADA!$L194))</f>
      </c>
      <c r="X194" s="37">
        <f>IF(B194="","",R194*Km_Puerto_Viaje*INDEX(PRECIOS!$N$6:$N$55,K194))</f>
      </c>
      <c r="Y194" s="70">
        <f>IF(B194="","",S194+V194+W194+X194)</f>
      </c>
      <c r="Z194" s="71">
        <f>IF(B194="","",IF(J194=0,0,ROUNDUP(J194/Rend_Desagrupe,0)))</f>
      </c>
      <c r="AA194" s="71">
        <f>IF(B194="","",IF(ENTRADA!$M194="",Z194,ENTRADA!$M194))</f>
      </c>
      <c r="AB194" s="37">
        <f>IF(B194="","",AA194*INDEX(PRECIOS!$H$6:$H$55,K194))</f>
      </c>
      <c r="AC194" s="37">
        <f>IF(B194="","",IF(E194="ENCI",INDEX(PRECIOS!$J$6:$J$55,K194),IF(E194="A.V",INDEX(PRECIOS!$K$6:$K$55,K194),0)))</f>
      </c>
      <c r="AD194" s="37">
        <f>IF(B194="","",N(ENTRADA!$N194))</f>
      </c>
      <c r="AE194" s="70">
        <f>IF(B194="","",AB194+AC194+AD194)</f>
      </c>
      <c r="AF194" s="71">
        <f>IF(B194="","",IF(G194=0,0,ROUNDUP(G194/Cap_Camion_OCC,0)))</f>
      </c>
      <c r="AG194" s="71">
        <f>IF(B194="","",AF194*L_Dist_OCC)</f>
      </c>
      <c r="AH194" s="71">
        <f>IF(B194="","",IF(ENTRADA!$O194="",AG194,ENTRADA!$O194))</f>
      </c>
      <c r="AI194" s="37">
        <f>IF(B194="","",AH194*INDEX(PRECIOS!$E$6:$E$55,K194))</f>
      </c>
      <c r="AJ194" s="71">
        <f>IF(B194="","",IF(H194=0,0,ROUNDUP(H194/Cap_Camion_CEN,0)))</f>
      </c>
      <c r="AK194" s="71">
        <f>IF(B194="","",AJ194*L_Tras_CEN)</f>
      </c>
      <c r="AL194" s="71">
        <f>IF(B194="","",IF(ENTRADA!$P194="",AK194,ENTRADA!$P194))</f>
      </c>
      <c r="AM194" s="71">
        <f>IF(B194="","",AJ194*L_Dist_CEN)</f>
      </c>
      <c r="AN194" s="71">
        <f>IF(B194="","",IF(ENTRADA!$Q194="",AM194,ENTRADA!$Q194))</f>
      </c>
      <c r="AO194" s="37">
        <f>IF(B194="","",(AL194+AN194)*INDEX(PRECIOS!$E$6:$E$55,K194))</f>
      </c>
      <c r="AP194" s="71">
        <f>IF(B194="","",IF(H194=0,0,ROUNDUP(H194/Rend_Desagrupe_CT,0)))</f>
      </c>
      <c r="AQ194" s="71">
        <f>IF(B194="","",IF(ENTRADA!$R194="",AP194,ENTRADA!$R194))</f>
      </c>
      <c r="AR194" s="37">
        <f>IF(B194="","",AQ194*INDEX(PRECIOS!$I$6:$I$55,K194))</f>
      </c>
      <c r="AS194" s="37">
        <f>IF(B194="","",AO194+AR194)</f>
      </c>
      <c r="AT194" s="71">
        <f>IF(B194="","",IF(I194=0,0,ROUNDUP(I194/Cap_Camion_ORI,0)))</f>
      </c>
      <c r="AU194" s="71">
        <f>IF(B194="","",AT194*L_Tras_ORI)</f>
      </c>
      <c r="AV194" s="71">
        <f>IF(B194="","",IF(ENTRADA!$S194="",AU194,ENTRADA!$S194))</f>
      </c>
      <c r="AW194" s="71">
        <f>IF(B194="","",AT194*L_Dist_ORI)</f>
      </c>
      <c r="AX194" s="71">
        <f>IF(B194="","",IF(ENTRADA!$T194="",AW194,ENTRADA!$T194))</f>
      </c>
      <c r="AY194" s="37">
        <f>IF(B194="","",(AV194+AX194)*INDEX(PRECIOS!$E$6:$E$55,K194))</f>
      </c>
      <c r="AZ194" s="71">
        <f>IF(B194="","",IF(I194=0,0,ROUNDUP(I194/Rend_Desagrupe_CT,0)))</f>
      </c>
      <c r="BA194" s="71">
        <f>IF(B194="","",IF(ENTRADA!$U194="",AZ194,ENTRADA!$U194))</f>
      </c>
      <c r="BB194" s="37">
        <f>IF(B194="","",BA194*INDEX(PRECIOS!$I$6:$I$55,K194))</f>
      </c>
      <c r="BC194" s="37">
        <f>IF(B194="","",AY194+BB194)</f>
      </c>
      <c r="BD194" s="70">
        <f>IF(B194="","",AI194+AS194+BC194)</f>
      </c>
      <c r="BE194" s="37">
        <f>IF(B194="","",IF(Base_Comision="% DEL INGRESO",M194*INDEX(PRECIOS!$L$6:$L$55,K194),G194*INDEX(PRECIOS!$M$6:$M$55,K194)))</f>
      </c>
      <c r="BF194" s="37">
        <f>IF(B194="","",IF(Base_Comision="% DEL INGRESO",N194*INDEX(PRECIOS!$L$6:$L$55,K194),H194*INDEX(PRECIOS!$M$6:$M$55,K194)))</f>
      </c>
      <c r="BG194" s="37">
        <f>IF(B194="","",IF(Base_Comision="% DEL INGRESO",O194*INDEX(PRECIOS!$L$6:$L$55,K194),I194*INDEX(PRECIOS!$M$6:$M$55,K194)))</f>
      </c>
      <c r="BH194" s="70">
        <f>IF(B194="","",BE194+BF194+BG194)</f>
      </c>
      <c r="BI194" s="37">
        <f>IF(B194="","",Q194*Pct_Reclamaciones)</f>
      </c>
      <c r="BJ194" s="37">
        <f>IF(B194="","",Q194*Pct_Banco)</f>
      </c>
      <c r="BK194" s="37">
        <f>IF(B194="","",N(ENTRADA!$V194))</f>
      </c>
      <c r="BL194" s="70">
        <f>IF(B194="","",Y194+AE194+BD194+BH194+BI194+BJ194+BK194)</f>
      </c>
      <c r="BM194" s="70">
        <f>IF(B194="","",Q194-BL194)</f>
      </c>
      <c r="BN194" s="72">
        <f>IF(B194="","",IF(Q194=0,0,BM194/Q194))</f>
      </c>
      <c r="BO194" s="73">
        <f>IF(B194="","",IF(J194=0,0,BM194/J194))</f>
      </c>
      <c r="BP194" s="60">
        <f>IF(B194="","",IFERROR(MATCH(D194,COSTOS_FIJOS!$G$5:$AD$5,0),0))</f>
      </c>
      <c r="BQ194" s="60">
        <f>IF(B194="","",COUNTIFS($D$6:$D$305,D194))</f>
      </c>
      <c r="BR194" s="67">
        <f>IF(B194="","",SUMIFS($J$6:$J$305,$D$6:$D$305,D194))</f>
      </c>
      <c r="BS194" s="72">
        <f>IF(B194="","",IF(Metodo_Prorrateo="KG",IF(BR194=0,0,J194/BR194),1/BQ194))</f>
      </c>
      <c r="BT194" s="37">
        <f>IF(B194="","",IF(BP194=0,0,INDEX(COSTOS_FIJOS!$G$38:$AD$38,BP194))*BS194)</f>
      </c>
      <c r="BU194" s="72">
        <f>IF(B194="","",IF(Metodo_Prorrateo="KG",IF(SUMIFS($G$6:$G$305,$D$6:$D$305,D194)=0,0,G194/SUMIFS($G$6:$G$305,$D$6:$D$305,D194)),IF(G194&gt;0,1/COUNTIFS($D$6:$D$305,D194,$G$6:$G$305,"&gt;0"),0)))</f>
      </c>
      <c r="BV194" s="37">
        <f>IF(B194="","",IF(BP194=0,0,INDEX(COSTOS_FIJOS!$G$39:$AD$39,BP194))*BU194)</f>
      </c>
      <c r="BW194" s="72">
        <f>IF(B194="","",IF(Metodo_Prorrateo="KG",IF(SUMIFS($H$6:$H$305,$D$6:$D$305,D194)=0,0,H194/SUMIFS($H$6:$H$305,$D$6:$D$305,D194)),IF(H194&gt;0,1/COUNTIFS($D$6:$D$305,D194,$H$6:$H$305,"&gt;0"),0)))</f>
      </c>
      <c r="BX194" s="37">
        <f>IF(B194="","",IF(BP194=0,0,INDEX(COSTOS_FIJOS!$G$40:$AD$40,BP194))*BW194)</f>
      </c>
      <c r="BY194" s="72">
        <f>IF(B194="","",IF(Metodo_Prorrateo="KG",IF(SUMIFS($I$6:$I$305,$D$6:$D$305,D194)=0,0,I194/SUMIFS($I$6:$I$305,$D$6:$D$305,D194)),IF(I194&gt;0,1/COUNTIFS($D$6:$D$305,D194,$I$6:$I$305,"&gt;0"),0)))</f>
      </c>
      <c r="BZ194" s="37">
        <f>IF(B194="","",IF(BP194=0,0,INDEX(COSTOS_FIJOS!$G$41:$AD$41,BP194))*BY194)</f>
      </c>
      <c r="CA194" s="70">
        <f>IF(B194="","",BT194+BV194+BX194+BZ194)</f>
      </c>
      <c r="CB194" s="37">
        <f>IF(B194="","",Q194*Imp_Ventas_Serv)</f>
      </c>
      <c r="CC194" s="37">
        <f>IF(B194="","",Q194*Contrib_Territorial)</f>
      </c>
      <c r="CD194" s="70">
        <f>IF(B194="","",BM194-CA194-CB194-CC194)</f>
      </c>
      <c r="CE194" s="37">
        <f>IF(B194="","",MAX(0,CD194)*Imp_Utilidades)</f>
      </c>
      <c r="CF194" s="70">
        <f>IF(B194="","",CD194-CE194)</f>
      </c>
      <c r="CG194" s="72">
        <f>IF(B194="","",IF(Q194=0,0,CF194/Q194))</f>
      </c>
      <c r="CH194" s="73">
        <f>IF(B194="","",IF(J194=0,0,(BL194+CA194+CB194+CC194)/J194))</f>
      </c>
      <c r="CI194" s="73">
        <f>IF(B194="","",IF(J194=0,0,Q194/J194))</f>
      </c>
      <c r="CJ194" s="73">
        <f>IF(B194="","",IF(J194=0,0,CD194/J194))</f>
      </c>
      <c r="CK194" s="37">
        <f>IF(B194="","",Y194+AE194+BK194+BT194)</f>
      </c>
      <c r="CL194" s="37">
        <f>IF(B194="","",IF(J194=0,0,(M194+P194*G194/J194)*(1-Pct_Reclamaciones-Pct_Banco-Imp_Ventas_Serv-Contrib_Territorial)-AI194-BE194-BV194-CK194*G194/J194))</f>
      </c>
      <c r="CM194" s="37">
        <f>IF(B194="","",IF(J194=0,0,(N194+P194*H194/J194)*(1-Pct_Reclamaciones-Pct_Banco-Imp_Ventas_Serv-Contrib_Territorial)-AS194-BF194-BX194-CK194*H194/J194))</f>
      </c>
      <c r="CN194" s="37">
        <f>IF(B194="","",IF(J194=0,0,(O194+P194*I194/J194)*(1-Pct_Reclamaciones-Pct_Banco-Imp_Ventas_Serv-Contrib_Territorial)-BC194-BG194-BZ194-CK194*I194/J194))</f>
      </c>
      <c r="CO194" s="37">
        <f>IF(B194="","",IF(J194=0,0,ROUND(CD194-CL194-CM194-CN194,4)))</f>
      </c>
      <c r="CP194" s="71">
        <f>IF(B194="","",T194+AG194+AK194+AM194+AU194+AW194)</f>
      </c>
      <c r="CQ194" s="71">
        <f>IF(B194="","",U194+AH194+AL194+AN194+AV194+AX194)</f>
      </c>
      <c r="CR194" s="72">
        <f>IF(B194="","",IF(CP194=0,0,CQ194/CP194-1))</f>
      </c>
      <c r="CS194" s="60">
        <f>IF(B194="","",IF(ENTRADA!$Y194="","",ENTRADA!$Y194-C194))</f>
      </c>
      <c r="CT194" s="66">
        <f>IF(B194="","",IF(ENTRADA!$C194="","Falta fecha. ","")&amp;IF(BP194=0,"Mes fuera del rango de COSTOS_FIJOS. ","")&amp;IF(J194=0,"Sin kg. ","")&amp;IF(E194="","Falta transitaria. ","")&amp;IF(AND(T194&gt;0,U194/T194-1&gt;Tolerancia_Comb),"Combustible al puerto "&amp;TEXT(U194/T194-1,"+0%")&amp;" sobre norma. ","")&amp;IF(AND(AG194&gt;0,AH194/AG194-1&gt;Tolerancia_Comb),"Combustible distribución Occidente "&amp;TEXT(AH194/AG194-1,"+0%")&amp;" sobre norma. ","")&amp;IF(AND(AK194&gt;0,AL194/AK194-1&gt;Tolerancia_Comb),"Combustible traslado Centro "&amp;TEXT(AL194/AK194-1,"+0%")&amp;" sobre norma. ","")&amp;IF(AND(AM194&gt;0,AN194/AM194-1&gt;Tolerancia_Comb),"Combustible distribución Centro "&amp;TEXT(AN194/AM194-1,"+0%")&amp;" sobre norma. ","")&amp;IF(AND(AU194&gt;0,AV194/AU194-1&gt;Tolerancia_Comb),"Combustible traslado Oriente "&amp;TEXT(AV194/AU194-1,"+0%")&amp;" sobre norma. ","")&amp;IF(AND(AW194&gt;0,AX194/AW194-1&gt;Tolerancia_Comb),"Combustible distribución Oriente "&amp;TEXT(AX194/AW194-1,"+0%")&amp;" sobre norma. ","")&amp;IF(AND(ENTRADA!$C194&lt;&gt;"",C194&lt;PRECIOS!$A$6),"Fecha anterior a la 1ª vigencia de precios. ","")&amp;IF(CD194&lt;0,"Contenedor con pérdida. ",""))</f>
      </c>
    </row>
    <row r="195">
      <c r="A195" s="60">
        <f>IF(B195="","",ROW()-5)</f>
      </c>
      <c r="B195" s="63">
        <f>IF(ENTRADA!$B195="","",ENTRADA!$B195)</f>
      </c>
      <c r="C195" s="64">
        <f>IF(B195="","",ENTRADA!$C195)</f>
      </c>
      <c r="D195" s="65">
        <f>IF(B195="","",DATE(YEAR(C195),MONTH(C195),1))</f>
      </c>
      <c r="E195" s="66">
        <f>IF(B195="","",ENTRADA!$D195&amp;"")</f>
      </c>
      <c r="F195" s="66">
        <f>IF(B195="","",ENTRADA!$Z195&amp;"")</f>
      </c>
      <c r="G195" s="67">
        <f>IF(B195="","",N(ENTRADA!$G195))</f>
      </c>
      <c r="H195" s="67">
        <f>IF(B195="","",N(ENTRADA!$H195))</f>
      </c>
      <c r="I195" s="67">
        <f>IF(B195="","",N(ENTRADA!$I195))</f>
      </c>
      <c r="J195" s="68">
        <f>IF(B195="","",G195+H195+I195)</f>
      </c>
      <c r="K195" s="60">
        <f>IF(B195="","",IFERROR(MATCH(SUMPRODUCT(MAX((PRECIOS!$A$6:$A$55&lt;=C195)*PRECIOS!$A$6:$A$55)),PRECIOS!$A$6:$A$55,0),1))</f>
      </c>
      <c r="L195" s="69">
        <f>IF(B195="","",INDEX(PRECIOS!$A$6:$A$55,K195))</f>
      </c>
      <c r="M195" s="37">
        <f>IF(B195="","",G195*INDEX(PRECIOS!$B$6:$B$55,K195))</f>
      </c>
      <c r="N195" s="37">
        <f>IF(B195="","",H195*INDEX(PRECIOS!$C$6:$C$55,K195))</f>
      </c>
      <c r="O195" s="37">
        <f>IF(B195="","",I195*INDEX(PRECIOS!$D$6:$D$55,K195))</f>
      </c>
      <c r="P195" s="37">
        <f>IF(B195="","",N(ENTRADA!$X195))</f>
      </c>
      <c r="Q195" s="70">
        <f>IF(B195="","",M195+N195+O195+P195)</f>
      </c>
      <c r="R195" s="71">
        <f>IF(B195="","",IF(ENTRADA!$J195="",Std_Viajes_Puerto,ENTRADA!$J195))</f>
      </c>
      <c r="S195" s="37">
        <f>IF(B195="","",R195*INDEX(PRECIOS!$F$6:$F$55,K195))</f>
      </c>
      <c r="T195" s="71">
        <f>IF(B195="","",R195*Litros_Puerto_Viaje)</f>
      </c>
      <c r="U195" s="71">
        <f>IF(B195="","",IF(ENTRADA!$K195="",T195,ENTRADA!$K195))</f>
      </c>
      <c r="V195" s="37">
        <f>IF(B195="","",U195*INDEX(PRECIOS!$E$6:$E$55,K195))</f>
      </c>
      <c r="W195" s="37">
        <f>IF(B195="","",IF(ENTRADA!$L195="",R195*INDEX(PRECIOS!$G$6:$G$55,K195),ENTRADA!$L195))</f>
      </c>
      <c r="X195" s="37">
        <f>IF(B195="","",R195*Km_Puerto_Viaje*INDEX(PRECIOS!$N$6:$N$55,K195))</f>
      </c>
      <c r="Y195" s="70">
        <f>IF(B195="","",S195+V195+W195+X195)</f>
      </c>
      <c r="Z195" s="71">
        <f>IF(B195="","",IF(J195=0,0,ROUNDUP(J195/Rend_Desagrupe,0)))</f>
      </c>
      <c r="AA195" s="71">
        <f>IF(B195="","",IF(ENTRADA!$M195="",Z195,ENTRADA!$M195))</f>
      </c>
      <c r="AB195" s="37">
        <f>IF(B195="","",AA195*INDEX(PRECIOS!$H$6:$H$55,K195))</f>
      </c>
      <c r="AC195" s="37">
        <f>IF(B195="","",IF(E195="ENCI",INDEX(PRECIOS!$J$6:$J$55,K195),IF(E195="A.V",INDEX(PRECIOS!$K$6:$K$55,K195),0)))</f>
      </c>
      <c r="AD195" s="37">
        <f>IF(B195="","",N(ENTRADA!$N195))</f>
      </c>
      <c r="AE195" s="70">
        <f>IF(B195="","",AB195+AC195+AD195)</f>
      </c>
      <c r="AF195" s="71">
        <f>IF(B195="","",IF(G195=0,0,ROUNDUP(G195/Cap_Camion_OCC,0)))</f>
      </c>
      <c r="AG195" s="71">
        <f>IF(B195="","",AF195*L_Dist_OCC)</f>
      </c>
      <c r="AH195" s="71">
        <f>IF(B195="","",IF(ENTRADA!$O195="",AG195,ENTRADA!$O195))</f>
      </c>
      <c r="AI195" s="37">
        <f>IF(B195="","",AH195*INDEX(PRECIOS!$E$6:$E$55,K195))</f>
      </c>
      <c r="AJ195" s="71">
        <f>IF(B195="","",IF(H195=0,0,ROUNDUP(H195/Cap_Camion_CEN,0)))</f>
      </c>
      <c r="AK195" s="71">
        <f>IF(B195="","",AJ195*L_Tras_CEN)</f>
      </c>
      <c r="AL195" s="71">
        <f>IF(B195="","",IF(ENTRADA!$P195="",AK195,ENTRADA!$P195))</f>
      </c>
      <c r="AM195" s="71">
        <f>IF(B195="","",AJ195*L_Dist_CEN)</f>
      </c>
      <c r="AN195" s="71">
        <f>IF(B195="","",IF(ENTRADA!$Q195="",AM195,ENTRADA!$Q195))</f>
      </c>
      <c r="AO195" s="37">
        <f>IF(B195="","",(AL195+AN195)*INDEX(PRECIOS!$E$6:$E$55,K195))</f>
      </c>
      <c r="AP195" s="71">
        <f>IF(B195="","",IF(H195=0,0,ROUNDUP(H195/Rend_Desagrupe_CT,0)))</f>
      </c>
      <c r="AQ195" s="71">
        <f>IF(B195="","",IF(ENTRADA!$R195="",AP195,ENTRADA!$R195))</f>
      </c>
      <c r="AR195" s="37">
        <f>IF(B195="","",AQ195*INDEX(PRECIOS!$I$6:$I$55,K195))</f>
      </c>
      <c r="AS195" s="37">
        <f>IF(B195="","",AO195+AR195)</f>
      </c>
      <c r="AT195" s="71">
        <f>IF(B195="","",IF(I195=0,0,ROUNDUP(I195/Cap_Camion_ORI,0)))</f>
      </c>
      <c r="AU195" s="71">
        <f>IF(B195="","",AT195*L_Tras_ORI)</f>
      </c>
      <c r="AV195" s="71">
        <f>IF(B195="","",IF(ENTRADA!$S195="",AU195,ENTRADA!$S195))</f>
      </c>
      <c r="AW195" s="71">
        <f>IF(B195="","",AT195*L_Dist_ORI)</f>
      </c>
      <c r="AX195" s="71">
        <f>IF(B195="","",IF(ENTRADA!$T195="",AW195,ENTRADA!$T195))</f>
      </c>
      <c r="AY195" s="37">
        <f>IF(B195="","",(AV195+AX195)*INDEX(PRECIOS!$E$6:$E$55,K195))</f>
      </c>
      <c r="AZ195" s="71">
        <f>IF(B195="","",IF(I195=0,0,ROUNDUP(I195/Rend_Desagrupe_CT,0)))</f>
      </c>
      <c r="BA195" s="71">
        <f>IF(B195="","",IF(ENTRADA!$U195="",AZ195,ENTRADA!$U195))</f>
      </c>
      <c r="BB195" s="37">
        <f>IF(B195="","",BA195*INDEX(PRECIOS!$I$6:$I$55,K195))</f>
      </c>
      <c r="BC195" s="37">
        <f>IF(B195="","",AY195+BB195)</f>
      </c>
      <c r="BD195" s="70">
        <f>IF(B195="","",AI195+AS195+BC195)</f>
      </c>
      <c r="BE195" s="37">
        <f>IF(B195="","",IF(Base_Comision="% DEL INGRESO",M195*INDEX(PRECIOS!$L$6:$L$55,K195),G195*INDEX(PRECIOS!$M$6:$M$55,K195)))</f>
      </c>
      <c r="BF195" s="37">
        <f>IF(B195="","",IF(Base_Comision="% DEL INGRESO",N195*INDEX(PRECIOS!$L$6:$L$55,K195),H195*INDEX(PRECIOS!$M$6:$M$55,K195)))</f>
      </c>
      <c r="BG195" s="37">
        <f>IF(B195="","",IF(Base_Comision="% DEL INGRESO",O195*INDEX(PRECIOS!$L$6:$L$55,K195),I195*INDEX(PRECIOS!$M$6:$M$55,K195)))</f>
      </c>
      <c r="BH195" s="70">
        <f>IF(B195="","",BE195+BF195+BG195)</f>
      </c>
      <c r="BI195" s="37">
        <f>IF(B195="","",Q195*Pct_Reclamaciones)</f>
      </c>
      <c r="BJ195" s="37">
        <f>IF(B195="","",Q195*Pct_Banco)</f>
      </c>
      <c r="BK195" s="37">
        <f>IF(B195="","",N(ENTRADA!$V195))</f>
      </c>
      <c r="BL195" s="70">
        <f>IF(B195="","",Y195+AE195+BD195+BH195+BI195+BJ195+BK195)</f>
      </c>
      <c r="BM195" s="70">
        <f>IF(B195="","",Q195-BL195)</f>
      </c>
      <c r="BN195" s="72">
        <f>IF(B195="","",IF(Q195=0,0,BM195/Q195))</f>
      </c>
      <c r="BO195" s="73">
        <f>IF(B195="","",IF(J195=0,0,BM195/J195))</f>
      </c>
      <c r="BP195" s="60">
        <f>IF(B195="","",IFERROR(MATCH(D195,COSTOS_FIJOS!$G$5:$AD$5,0),0))</f>
      </c>
      <c r="BQ195" s="60">
        <f>IF(B195="","",COUNTIFS($D$6:$D$305,D195))</f>
      </c>
      <c r="BR195" s="67">
        <f>IF(B195="","",SUMIFS($J$6:$J$305,$D$6:$D$305,D195))</f>
      </c>
      <c r="BS195" s="72">
        <f>IF(B195="","",IF(Metodo_Prorrateo="KG",IF(BR195=0,0,J195/BR195),1/BQ195))</f>
      </c>
      <c r="BT195" s="37">
        <f>IF(B195="","",IF(BP195=0,0,INDEX(COSTOS_FIJOS!$G$38:$AD$38,BP195))*BS195)</f>
      </c>
      <c r="BU195" s="72">
        <f>IF(B195="","",IF(Metodo_Prorrateo="KG",IF(SUMIFS($G$6:$G$305,$D$6:$D$305,D195)=0,0,G195/SUMIFS($G$6:$G$305,$D$6:$D$305,D195)),IF(G195&gt;0,1/COUNTIFS($D$6:$D$305,D195,$G$6:$G$305,"&gt;0"),0)))</f>
      </c>
      <c r="BV195" s="37">
        <f>IF(B195="","",IF(BP195=0,0,INDEX(COSTOS_FIJOS!$G$39:$AD$39,BP195))*BU195)</f>
      </c>
      <c r="BW195" s="72">
        <f>IF(B195="","",IF(Metodo_Prorrateo="KG",IF(SUMIFS($H$6:$H$305,$D$6:$D$305,D195)=0,0,H195/SUMIFS($H$6:$H$305,$D$6:$D$305,D195)),IF(H195&gt;0,1/COUNTIFS($D$6:$D$305,D195,$H$6:$H$305,"&gt;0"),0)))</f>
      </c>
      <c r="BX195" s="37">
        <f>IF(B195="","",IF(BP195=0,0,INDEX(COSTOS_FIJOS!$G$40:$AD$40,BP195))*BW195)</f>
      </c>
      <c r="BY195" s="72">
        <f>IF(B195="","",IF(Metodo_Prorrateo="KG",IF(SUMIFS($I$6:$I$305,$D$6:$D$305,D195)=0,0,I195/SUMIFS($I$6:$I$305,$D$6:$D$305,D195)),IF(I195&gt;0,1/COUNTIFS($D$6:$D$305,D195,$I$6:$I$305,"&gt;0"),0)))</f>
      </c>
      <c r="BZ195" s="37">
        <f>IF(B195="","",IF(BP195=0,0,INDEX(COSTOS_FIJOS!$G$41:$AD$41,BP195))*BY195)</f>
      </c>
      <c r="CA195" s="70">
        <f>IF(B195="","",BT195+BV195+BX195+BZ195)</f>
      </c>
      <c r="CB195" s="37">
        <f>IF(B195="","",Q195*Imp_Ventas_Serv)</f>
      </c>
      <c r="CC195" s="37">
        <f>IF(B195="","",Q195*Contrib_Territorial)</f>
      </c>
      <c r="CD195" s="70">
        <f>IF(B195="","",BM195-CA195-CB195-CC195)</f>
      </c>
      <c r="CE195" s="37">
        <f>IF(B195="","",MAX(0,CD195)*Imp_Utilidades)</f>
      </c>
      <c r="CF195" s="70">
        <f>IF(B195="","",CD195-CE195)</f>
      </c>
      <c r="CG195" s="72">
        <f>IF(B195="","",IF(Q195=0,0,CF195/Q195))</f>
      </c>
      <c r="CH195" s="73">
        <f>IF(B195="","",IF(J195=0,0,(BL195+CA195+CB195+CC195)/J195))</f>
      </c>
      <c r="CI195" s="73">
        <f>IF(B195="","",IF(J195=0,0,Q195/J195))</f>
      </c>
      <c r="CJ195" s="73">
        <f>IF(B195="","",IF(J195=0,0,CD195/J195))</f>
      </c>
      <c r="CK195" s="37">
        <f>IF(B195="","",Y195+AE195+BK195+BT195)</f>
      </c>
      <c r="CL195" s="37">
        <f>IF(B195="","",IF(J195=0,0,(M195+P195*G195/J195)*(1-Pct_Reclamaciones-Pct_Banco-Imp_Ventas_Serv-Contrib_Territorial)-AI195-BE195-BV195-CK195*G195/J195))</f>
      </c>
      <c r="CM195" s="37">
        <f>IF(B195="","",IF(J195=0,0,(N195+P195*H195/J195)*(1-Pct_Reclamaciones-Pct_Banco-Imp_Ventas_Serv-Contrib_Territorial)-AS195-BF195-BX195-CK195*H195/J195))</f>
      </c>
      <c r="CN195" s="37">
        <f>IF(B195="","",IF(J195=0,0,(O195+P195*I195/J195)*(1-Pct_Reclamaciones-Pct_Banco-Imp_Ventas_Serv-Contrib_Territorial)-BC195-BG195-BZ195-CK195*I195/J195))</f>
      </c>
      <c r="CO195" s="37">
        <f>IF(B195="","",IF(J195=0,0,ROUND(CD195-CL195-CM195-CN195,4)))</f>
      </c>
      <c r="CP195" s="71">
        <f>IF(B195="","",T195+AG195+AK195+AM195+AU195+AW195)</f>
      </c>
      <c r="CQ195" s="71">
        <f>IF(B195="","",U195+AH195+AL195+AN195+AV195+AX195)</f>
      </c>
      <c r="CR195" s="72">
        <f>IF(B195="","",IF(CP195=0,0,CQ195/CP195-1))</f>
      </c>
      <c r="CS195" s="60">
        <f>IF(B195="","",IF(ENTRADA!$Y195="","",ENTRADA!$Y195-C195))</f>
      </c>
      <c r="CT195" s="66">
        <f>IF(B195="","",IF(ENTRADA!$C195="","Falta fecha. ","")&amp;IF(BP195=0,"Mes fuera del rango de COSTOS_FIJOS. ","")&amp;IF(J195=0,"Sin kg. ","")&amp;IF(E195="","Falta transitaria. ","")&amp;IF(AND(T195&gt;0,U195/T195-1&gt;Tolerancia_Comb),"Combustible al puerto "&amp;TEXT(U195/T195-1,"+0%")&amp;" sobre norma. ","")&amp;IF(AND(AG195&gt;0,AH195/AG195-1&gt;Tolerancia_Comb),"Combustible distribución Occidente "&amp;TEXT(AH195/AG195-1,"+0%")&amp;" sobre norma. ","")&amp;IF(AND(AK195&gt;0,AL195/AK195-1&gt;Tolerancia_Comb),"Combustible traslado Centro "&amp;TEXT(AL195/AK195-1,"+0%")&amp;" sobre norma. ","")&amp;IF(AND(AM195&gt;0,AN195/AM195-1&gt;Tolerancia_Comb),"Combustible distribución Centro "&amp;TEXT(AN195/AM195-1,"+0%")&amp;" sobre norma. ","")&amp;IF(AND(AU195&gt;0,AV195/AU195-1&gt;Tolerancia_Comb),"Combustible traslado Oriente "&amp;TEXT(AV195/AU195-1,"+0%")&amp;" sobre norma. ","")&amp;IF(AND(AW195&gt;0,AX195/AW195-1&gt;Tolerancia_Comb),"Combustible distribución Oriente "&amp;TEXT(AX195/AW195-1,"+0%")&amp;" sobre norma. ","")&amp;IF(AND(ENTRADA!$C195&lt;&gt;"",C195&lt;PRECIOS!$A$6),"Fecha anterior a la 1ª vigencia de precios. ","")&amp;IF(CD195&lt;0,"Contenedor con pérdida. ",""))</f>
      </c>
    </row>
    <row r="196">
      <c r="A196" s="60">
        <f>IF(B196="","",ROW()-5)</f>
      </c>
      <c r="B196" s="63">
        <f>IF(ENTRADA!$B196="","",ENTRADA!$B196)</f>
      </c>
      <c r="C196" s="64">
        <f>IF(B196="","",ENTRADA!$C196)</f>
      </c>
      <c r="D196" s="65">
        <f>IF(B196="","",DATE(YEAR(C196),MONTH(C196),1))</f>
      </c>
      <c r="E196" s="66">
        <f>IF(B196="","",ENTRADA!$D196&amp;"")</f>
      </c>
      <c r="F196" s="66">
        <f>IF(B196="","",ENTRADA!$Z196&amp;"")</f>
      </c>
      <c r="G196" s="67">
        <f>IF(B196="","",N(ENTRADA!$G196))</f>
      </c>
      <c r="H196" s="67">
        <f>IF(B196="","",N(ENTRADA!$H196))</f>
      </c>
      <c r="I196" s="67">
        <f>IF(B196="","",N(ENTRADA!$I196))</f>
      </c>
      <c r="J196" s="68">
        <f>IF(B196="","",G196+H196+I196)</f>
      </c>
      <c r="K196" s="60">
        <f>IF(B196="","",IFERROR(MATCH(SUMPRODUCT(MAX((PRECIOS!$A$6:$A$55&lt;=C196)*PRECIOS!$A$6:$A$55)),PRECIOS!$A$6:$A$55,0),1))</f>
      </c>
      <c r="L196" s="69">
        <f>IF(B196="","",INDEX(PRECIOS!$A$6:$A$55,K196))</f>
      </c>
      <c r="M196" s="37">
        <f>IF(B196="","",G196*INDEX(PRECIOS!$B$6:$B$55,K196))</f>
      </c>
      <c r="N196" s="37">
        <f>IF(B196="","",H196*INDEX(PRECIOS!$C$6:$C$55,K196))</f>
      </c>
      <c r="O196" s="37">
        <f>IF(B196="","",I196*INDEX(PRECIOS!$D$6:$D$55,K196))</f>
      </c>
      <c r="P196" s="37">
        <f>IF(B196="","",N(ENTRADA!$X196))</f>
      </c>
      <c r="Q196" s="70">
        <f>IF(B196="","",M196+N196+O196+P196)</f>
      </c>
      <c r="R196" s="71">
        <f>IF(B196="","",IF(ENTRADA!$J196="",Std_Viajes_Puerto,ENTRADA!$J196))</f>
      </c>
      <c r="S196" s="37">
        <f>IF(B196="","",R196*INDEX(PRECIOS!$F$6:$F$55,K196))</f>
      </c>
      <c r="T196" s="71">
        <f>IF(B196="","",R196*Litros_Puerto_Viaje)</f>
      </c>
      <c r="U196" s="71">
        <f>IF(B196="","",IF(ENTRADA!$K196="",T196,ENTRADA!$K196))</f>
      </c>
      <c r="V196" s="37">
        <f>IF(B196="","",U196*INDEX(PRECIOS!$E$6:$E$55,K196))</f>
      </c>
      <c r="W196" s="37">
        <f>IF(B196="","",IF(ENTRADA!$L196="",R196*INDEX(PRECIOS!$G$6:$G$55,K196),ENTRADA!$L196))</f>
      </c>
      <c r="X196" s="37">
        <f>IF(B196="","",R196*Km_Puerto_Viaje*INDEX(PRECIOS!$N$6:$N$55,K196))</f>
      </c>
      <c r="Y196" s="70">
        <f>IF(B196="","",S196+V196+W196+X196)</f>
      </c>
      <c r="Z196" s="71">
        <f>IF(B196="","",IF(J196=0,0,ROUNDUP(J196/Rend_Desagrupe,0)))</f>
      </c>
      <c r="AA196" s="71">
        <f>IF(B196="","",IF(ENTRADA!$M196="",Z196,ENTRADA!$M196))</f>
      </c>
      <c r="AB196" s="37">
        <f>IF(B196="","",AA196*INDEX(PRECIOS!$H$6:$H$55,K196))</f>
      </c>
      <c r="AC196" s="37">
        <f>IF(B196="","",IF(E196="ENCI",INDEX(PRECIOS!$J$6:$J$55,K196),IF(E196="A.V",INDEX(PRECIOS!$K$6:$K$55,K196),0)))</f>
      </c>
      <c r="AD196" s="37">
        <f>IF(B196="","",N(ENTRADA!$N196))</f>
      </c>
      <c r="AE196" s="70">
        <f>IF(B196="","",AB196+AC196+AD196)</f>
      </c>
      <c r="AF196" s="71">
        <f>IF(B196="","",IF(G196=0,0,ROUNDUP(G196/Cap_Camion_OCC,0)))</f>
      </c>
      <c r="AG196" s="71">
        <f>IF(B196="","",AF196*L_Dist_OCC)</f>
      </c>
      <c r="AH196" s="71">
        <f>IF(B196="","",IF(ENTRADA!$O196="",AG196,ENTRADA!$O196))</f>
      </c>
      <c r="AI196" s="37">
        <f>IF(B196="","",AH196*INDEX(PRECIOS!$E$6:$E$55,K196))</f>
      </c>
      <c r="AJ196" s="71">
        <f>IF(B196="","",IF(H196=0,0,ROUNDUP(H196/Cap_Camion_CEN,0)))</f>
      </c>
      <c r="AK196" s="71">
        <f>IF(B196="","",AJ196*L_Tras_CEN)</f>
      </c>
      <c r="AL196" s="71">
        <f>IF(B196="","",IF(ENTRADA!$P196="",AK196,ENTRADA!$P196))</f>
      </c>
      <c r="AM196" s="71">
        <f>IF(B196="","",AJ196*L_Dist_CEN)</f>
      </c>
      <c r="AN196" s="71">
        <f>IF(B196="","",IF(ENTRADA!$Q196="",AM196,ENTRADA!$Q196))</f>
      </c>
      <c r="AO196" s="37">
        <f>IF(B196="","",(AL196+AN196)*INDEX(PRECIOS!$E$6:$E$55,K196))</f>
      </c>
      <c r="AP196" s="71">
        <f>IF(B196="","",IF(H196=0,0,ROUNDUP(H196/Rend_Desagrupe_CT,0)))</f>
      </c>
      <c r="AQ196" s="71">
        <f>IF(B196="","",IF(ENTRADA!$R196="",AP196,ENTRADA!$R196))</f>
      </c>
      <c r="AR196" s="37">
        <f>IF(B196="","",AQ196*INDEX(PRECIOS!$I$6:$I$55,K196))</f>
      </c>
      <c r="AS196" s="37">
        <f>IF(B196="","",AO196+AR196)</f>
      </c>
      <c r="AT196" s="71">
        <f>IF(B196="","",IF(I196=0,0,ROUNDUP(I196/Cap_Camion_ORI,0)))</f>
      </c>
      <c r="AU196" s="71">
        <f>IF(B196="","",AT196*L_Tras_ORI)</f>
      </c>
      <c r="AV196" s="71">
        <f>IF(B196="","",IF(ENTRADA!$S196="",AU196,ENTRADA!$S196))</f>
      </c>
      <c r="AW196" s="71">
        <f>IF(B196="","",AT196*L_Dist_ORI)</f>
      </c>
      <c r="AX196" s="71">
        <f>IF(B196="","",IF(ENTRADA!$T196="",AW196,ENTRADA!$T196))</f>
      </c>
      <c r="AY196" s="37">
        <f>IF(B196="","",(AV196+AX196)*INDEX(PRECIOS!$E$6:$E$55,K196))</f>
      </c>
      <c r="AZ196" s="71">
        <f>IF(B196="","",IF(I196=0,0,ROUNDUP(I196/Rend_Desagrupe_CT,0)))</f>
      </c>
      <c r="BA196" s="71">
        <f>IF(B196="","",IF(ENTRADA!$U196="",AZ196,ENTRADA!$U196))</f>
      </c>
      <c r="BB196" s="37">
        <f>IF(B196="","",BA196*INDEX(PRECIOS!$I$6:$I$55,K196))</f>
      </c>
      <c r="BC196" s="37">
        <f>IF(B196="","",AY196+BB196)</f>
      </c>
      <c r="BD196" s="70">
        <f>IF(B196="","",AI196+AS196+BC196)</f>
      </c>
      <c r="BE196" s="37">
        <f>IF(B196="","",IF(Base_Comision="% DEL INGRESO",M196*INDEX(PRECIOS!$L$6:$L$55,K196),G196*INDEX(PRECIOS!$M$6:$M$55,K196)))</f>
      </c>
      <c r="BF196" s="37">
        <f>IF(B196="","",IF(Base_Comision="% DEL INGRESO",N196*INDEX(PRECIOS!$L$6:$L$55,K196),H196*INDEX(PRECIOS!$M$6:$M$55,K196)))</f>
      </c>
      <c r="BG196" s="37">
        <f>IF(B196="","",IF(Base_Comision="% DEL INGRESO",O196*INDEX(PRECIOS!$L$6:$L$55,K196),I196*INDEX(PRECIOS!$M$6:$M$55,K196)))</f>
      </c>
      <c r="BH196" s="70">
        <f>IF(B196="","",BE196+BF196+BG196)</f>
      </c>
      <c r="BI196" s="37">
        <f>IF(B196="","",Q196*Pct_Reclamaciones)</f>
      </c>
      <c r="BJ196" s="37">
        <f>IF(B196="","",Q196*Pct_Banco)</f>
      </c>
      <c r="BK196" s="37">
        <f>IF(B196="","",N(ENTRADA!$V196))</f>
      </c>
      <c r="BL196" s="70">
        <f>IF(B196="","",Y196+AE196+BD196+BH196+BI196+BJ196+BK196)</f>
      </c>
      <c r="BM196" s="70">
        <f>IF(B196="","",Q196-BL196)</f>
      </c>
      <c r="BN196" s="72">
        <f>IF(B196="","",IF(Q196=0,0,BM196/Q196))</f>
      </c>
      <c r="BO196" s="73">
        <f>IF(B196="","",IF(J196=0,0,BM196/J196))</f>
      </c>
      <c r="BP196" s="60">
        <f>IF(B196="","",IFERROR(MATCH(D196,COSTOS_FIJOS!$G$5:$AD$5,0),0))</f>
      </c>
      <c r="BQ196" s="60">
        <f>IF(B196="","",COUNTIFS($D$6:$D$305,D196))</f>
      </c>
      <c r="BR196" s="67">
        <f>IF(B196="","",SUMIFS($J$6:$J$305,$D$6:$D$305,D196))</f>
      </c>
      <c r="BS196" s="72">
        <f>IF(B196="","",IF(Metodo_Prorrateo="KG",IF(BR196=0,0,J196/BR196),1/BQ196))</f>
      </c>
      <c r="BT196" s="37">
        <f>IF(B196="","",IF(BP196=0,0,INDEX(COSTOS_FIJOS!$G$38:$AD$38,BP196))*BS196)</f>
      </c>
      <c r="BU196" s="72">
        <f>IF(B196="","",IF(Metodo_Prorrateo="KG",IF(SUMIFS($G$6:$G$305,$D$6:$D$305,D196)=0,0,G196/SUMIFS($G$6:$G$305,$D$6:$D$305,D196)),IF(G196&gt;0,1/COUNTIFS($D$6:$D$305,D196,$G$6:$G$305,"&gt;0"),0)))</f>
      </c>
      <c r="BV196" s="37">
        <f>IF(B196="","",IF(BP196=0,0,INDEX(COSTOS_FIJOS!$G$39:$AD$39,BP196))*BU196)</f>
      </c>
      <c r="BW196" s="72">
        <f>IF(B196="","",IF(Metodo_Prorrateo="KG",IF(SUMIFS($H$6:$H$305,$D$6:$D$305,D196)=0,0,H196/SUMIFS($H$6:$H$305,$D$6:$D$305,D196)),IF(H196&gt;0,1/COUNTIFS($D$6:$D$305,D196,$H$6:$H$305,"&gt;0"),0)))</f>
      </c>
      <c r="BX196" s="37">
        <f>IF(B196="","",IF(BP196=0,0,INDEX(COSTOS_FIJOS!$G$40:$AD$40,BP196))*BW196)</f>
      </c>
      <c r="BY196" s="72">
        <f>IF(B196="","",IF(Metodo_Prorrateo="KG",IF(SUMIFS($I$6:$I$305,$D$6:$D$305,D196)=0,0,I196/SUMIFS($I$6:$I$305,$D$6:$D$305,D196)),IF(I196&gt;0,1/COUNTIFS($D$6:$D$305,D196,$I$6:$I$305,"&gt;0"),0)))</f>
      </c>
      <c r="BZ196" s="37">
        <f>IF(B196="","",IF(BP196=0,0,INDEX(COSTOS_FIJOS!$G$41:$AD$41,BP196))*BY196)</f>
      </c>
      <c r="CA196" s="70">
        <f>IF(B196="","",BT196+BV196+BX196+BZ196)</f>
      </c>
      <c r="CB196" s="37">
        <f>IF(B196="","",Q196*Imp_Ventas_Serv)</f>
      </c>
      <c r="CC196" s="37">
        <f>IF(B196="","",Q196*Contrib_Territorial)</f>
      </c>
      <c r="CD196" s="70">
        <f>IF(B196="","",BM196-CA196-CB196-CC196)</f>
      </c>
      <c r="CE196" s="37">
        <f>IF(B196="","",MAX(0,CD196)*Imp_Utilidades)</f>
      </c>
      <c r="CF196" s="70">
        <f>IF(B196="","",CD196-CE196)</f>
      </c>
      <c r="CG196" s="72">
        <f>IF(B196="","",IF(Q196=0,0,CF196/Q196))</f>
      </c>
      <c r="CH196" s="73">
        <f>IF(B196="","",IF(J196=0,0,(BL196+CA196+CB196+CC196)/J196))</f>
      </c>
      <c r="CI196" s="73">
        <f>IF(B196="","",IF(J196=0,0,Q196/J196))</f>
      </c>
      <c r="CJ196" s="73">
        <f>IF(B196="","",IF(J196=0,0,CD196/J196))</f>
      </c>
      <c r="CK196" s="37">
        <f>IF(B196="","",Y196+AE196+BK196+BT196)</f>
      </c>
      <c r="CL196" s="37">
        <f>IF(B196="","",IF(J196=0,0,(M196+P196*G196/J196)*(1-Pct_Reclamaciones-Pct_Banco-Imp_Ventas_Serv-Contrib_Territorial)-AI196-BE196-BV196-CK196*G196/J196))</f>
      </c>
      <c r="CM196" s="37">
        <f>IF(B196="","",IF(J196=0,0,(N196+P196*H196/J196)*(1-Pct_Reclamaciones-Pct_Banco-Imp_Ventas_Serv-Contrib_Territorial)-AS196-BF196-BX196-CK196*H196/J196))</f>
      </c>
      <c r="CN196" s="37">
        <f>IF(B196="","",IF(J196=0,0,(O196+P196*I196/J196)*(1-Pct_Reclamaciones-Pct_Banco-Imp_Ventas_Serv-Contrib_Territorial)-BC196-BG196-BZ196-CK196*I196/J196))</f>
      </c>
      <c r="CO196" s="37">
        <f>IF(B196="","",IF(J196=0,0,ROUND(CD196-CL196-CM196-CN196,4)))</f>
      </c>
      <c r="CP196" s="71">
        <f>IF(B196="","",T196+AG196+AK196+AM196+AU196+AW196)</f>
      </c>
      <c r="CQ196" s="71">
        <f>IF(B196="","",U196+AH196+AL196+AN196+AV196+AX196)</f>
      </c>
      <c r="CR196" s="72">
        <f>IF(B196="","",IF(CP196=0,0,CQ196/CP196-1))</f>
      </c>
      <c r="CS196" s="60">
        <f>IF(B196="","",IF(ENTRADA!$Y196="","",ENTRADA!$Y196-C196))</f>
      </c>
      <c r="CT196" s="66">
        <f>IF(B196="","",IF(ENTRADA!$C196="","Falta fecha. ","")&amp;IF(BP196=0,"Mes fuera del rango de COSTOS_FIJOS. ","")&amp;IF(J196=0,"Sin kg. ","")&amp;IF(E196="","Falta transitaria. ","")&amp;IF(AND(T196&gt;0,U196/T196-1&gt;Tolerancia_Comb),"Combustible al puerto "&amp;TEXT(U196/T196-1,"+0%")&amp;" sobre norma. ","")&amp;IF(AND(AG196&gt;0,AH196/AG196-1&gt;Tolerancia_Comb),"Combustible distribución Occidente "&amp;TEXT(AH196/AG196-1,"+0%")&amp;" sobre norma. ","")&amp;IF(AND(AK196&gt;0,AL196/AK196-1&gt;Tolerancia_Comb),"Combustible traslado Centro "&amp;TEXT(AL196/AK196-1,"+0%")&amp;" sobre norma. ","")&amp;IF(AND(AM196&gt;0,AN196/AM196-1&gt;Tolerancia_Comb),"Combustible distribución Centro "&amp;TEXT(AN196/AM196-1,"+0%")&amp;" sobre norma. ","")&amp;IF(AND(AU196&gt;0,AV196/AU196-1&gt;Tolerancia_Comb),"Combustible traslado Oriente "&amp;TEXT(AV196/AU196-1,"+0%")&amp;" sobre norma. ","")&amp;IF(AND(AW196&gt;0,AX196/AW196-1&gt;Tolerancia_Comb),"Combustible distribución Oriente "&amp;TEXT(AX196/AW196-1,"+0%")&amp;" sobre norma. ","")&amp;IF(AND(ENTRADA!$C196&lt;&gt;"",C196&lt;PRECIOS!$A$6),"Fecha anterior a la 1ª vigencia de precios. ","")&amp;IF(CD196&lt;0,"Contenedor con pérdida. ",""))</f>
      </c>
    </row>
    <row r="197">
      <c r="A197" s="60">
        <f>IF(B197="","",ROW()-5)</f>
      </c>
      <c r="B197" s="63">
        <f>IF(ENTRADA!$B197="","",ENTRADA!$B197)</f>
      </c>
      <c r="C197" s="64">
        <f>IF(B197="","",ENTRADA!$C197)</f>
      </c>
      <c r="D197" s="65">
        <f>IF(B197="","",DATE(YEAR(C197),MONTH(C197),1))</f>
      </c>
      <c r="E197" s="66">
        <f>IF(B197="","",ENTRADA!$D197&amp;"")</f>
      </c>
      <c r="F197" s="66">
        <f>IF(B197="","",ENTRADA!$Z197&amp;"")</f>
      </c>
      <c r="G197" s="67">
        <f>IF(B197="","",N(ENTRADA!$G197))</f>
      </c>
      <c r="H197" s="67">
        <f>IF(B197="","",N(ENTRADA!$H197))</f>
      </c>
      <c r="I197" s="67">
        <f>IF(B197="","",N(ENTRADA!$I197))</f>
      </c>
      <c r="J197" s="68">
        <f>IF(B197="","",G197+H197+I197)</f>
      </c>
      <c r="K197" s="60">
        <f>IF(B197="","",IFERROR(MATCH(SUMPRODUCT(MAX((PRECIOS!$A$6:$A$55&lt;=C197)*PRECIOS!$A$6:$A$55)),PRECIOS!$A$6:$A$55,0),1))</f>
      </c>
      <c r="L197" s="69">
        <f>IF(B197="","",INDEX(PRECIOS!$A$6:$A$55,K197))</f>
      </c>
      <c r="M197" s="37">
        <f>IF(B197="","",G197*INDEX(PRECIOS!$B$6:$B$55,K197))</f>
      </c>
      <c r="N197" s="37">
        <f>IF(B197="","",H197*INDEX(PRECIOS!$C$6:$C$55,K197))</f>
      </c>
      <c r="O197" s="37">
        <f>IF(B197="","",I197*INDEX(PRECIOS!$D$6:$D$55,K197))</f>
      </c>
      <c r="P197" s="37">
        <f>IF(B197="","",N(ENTRADA!$X197))</f>
      </c>
      <c r="Q197" s="70">
        <f>IF(B197="","",M197+N197+O197+P197)</f>
      </c>
      <c r="R197" s="71">
        <f>IF(B197="","",IF(ENTRADA!$J197="",Std_Viajes_Puerto,ENTRADA!$J197))</f>
      </c>
      <c r="S197" s="37">
        <f>IF(B197="","",R197*INDEX(PRECIOS!$F$6:$F$55,K197))</f>
      </c>
      <c r="T197" s="71">
        <f>IF(B197="","",R197*Litros_Puerto_Viaje)</f>
      </c>
      <c r="U197" s="71">
        <f>IF(B197="","",IF(ENTRADA!$K197="",T197,ENTRADA!$K197))</f>
      </c>
      <c r="V197" s="37">
        <f>IF(B197="","",U197*INDEX(PRECIOS!$E$6:$E$55,K197))</f>
      </c>
      <c r="W197" s="37">
        <f>IF(B197="","",IF(ENTRADA!$L197="",R197*INDEX(PRECIOS!$G$6:$G$55,K197),ENTRADA!$L197))</f>
      </c>
      <c r="X197" s="37">
        <f>IF(B197="","",R197*Km_Puerto_Viaje*INDEX(PRECIOS!$N$6:$N$55,K197))</f>
      </c>
      <c r="Y197" s="70">
        <f>IF(B197="","",S197+V197+W197+X197)</f>
      </c>
      <c r="Z197" s="71">
        <f>IF(B197="","",IF(J197=0,0,ROUNDUP(J197/Rend_Desagrupe,0)))</f>
      </c>
      <c r="AA197" s="71">
        <f>IF(B197="","",IF(ENTRADA!$M197="",Z197,ENTRADA!$M197))</f>
      </c>
      <c r="AB197" s="37">
        <f>IF(B197="","",AA197*INDEX(PRECIOS!$H$6:$H$55,K197))</f>
      </c>
      <c r="AC197" s="37">
        <f>IF(B197="","",IF(E197="ENCI",INDEX(PRECIOS!$J$6:$J$55,K197),IF(E197="A.V",INDEX(PRECIOS!$K$6:$K$55,K197),0)))</f>
      </c>
      <c r="AD197" s="37">
        <f>IF(B197="","",N(ENTRADA!$N197))</f>
      </c>
      <c r="AE197" s="70">
        <f>IF(B197="","",AB197+AC197+AD197)</f>
      </c>
      <c r="AF197" s="71">
        <f>IF(B197="","",IF(G197=0,0,ROUNDUP(G197/Cap_Camion_OCC,0)))</f>
      </c>
      <c r="AG197" s="71">
        <f>IF(B197="","",AF197*L_Dist_OCC)</f>
      </c>
      <c r="AH197" s="71">
        <f>IF(B197="","",IF(ENTRADA!$O197="",AG197,ENTRADA!$O197))</f>
      </c>
      <c r="AI197" s="37">
        <f>IF(B197="","",AH197*INDEX(PRECIOS!$E$6:$E$55,K197))</f>
      </c>
      <c r="AJ197" s="71">
        <f>IF(B197="","",IF(H197=0,0,ROUNDUP(H197/Cap_Camion_CEN,0)))</f>
      </c>
      <c r="AK197" s="71">
        <f>IF(B197="","",AJ197*L_Tras_CEN)</f>
      </c>
      <c r="AL197" s="71">
        <f>IF(B197="","",IF(ENTRADA!$P197="",AK197,ENTRADA!$P197))</f>
      </c>
      <c r="AM197" s="71">
        <f>IF(B197="","",AJ197*L_Dist_CEN)</f>
      </c>
      <c r="AN197" s="71">
        <f>IF(B197="","",IF(ENTRADA!$Q197="",AM197,ENTRADA!$Q197))</f>
      </c>
      <c r="AO197" s="37">
        <f>IF(B197="","",(AL197+AN197)*INDEX(PRECIOS!$E$6:$E$55,K197))</f>
      </c>
      <c r="AP197" s="71">
        <f>IF(B197="","",IF(H197=0,0,ROUNDUP(H197/Rend_Desagrupe_CT,0)))</f>
      </c>
      <c r="AQ197" s="71">
        <f>IF(B197="","",IF(ENTRADA!$R197="",AP197,ENTRADA!$R197))</f>
      </c>
      <c r="AR197" s="37">
        <f>IF(B197="","",AQ197*INDEX(PRECIOS!$I$6:$I$55,K197))</f>
      </c>
      <c r="AS197" s="37">
        <f>IF(B197="","",AO197+AR197)</f>
      </c>
      <c r="AT197" s="71">
        <f>IF(B197="","",IF(I197=0,0,ROUNDUP(I197/Cap_Camion_ORI,0)))</f>
      </c>
      <c r="AU197" s="71">
        <f>IF(B197="","",AT197*L_Tras_ORI)</f>
      </c>
      <c r="AV197" s="71">
        <f>IF(B197="","",IF(ENTRADA!$S197="",AU197,ENTRADA!$S197))</f>
      </c>
      <c r="AW197" s="71">
        <f>IF(B197="","",AT197*L_Dist_ORI)</f>
      </c>
      <c r="AX197" s="71">
        <f>IF(B197="","",IF(ENTRADA!$T197="",AW197,ENTRADA!$T197))</f>
      </c>
      <c r="AY197" s="37">
        <f>IF(B197="","",(AV197+AX197)*INDEX(PRECIOS!$E$6:$E$55,K197))</f>
      </c>
      <c r="AZ197" s="71">
        <f>IF(B197="","",IF(I197=0,0,ROUNDUP(I197/Rend_Desagrupe_CT,0)))</f>
      </c>
      <c r="BA197" s="71">
        <f>IF(B197="","",IF(ENTRADA!$U197="",AZ197,ENTRADA!$U197))</f>
      </c>
      <c r="BB197" s="37">
        <f>IF(B197="","",BA197*INDEX(PRECIOS!$I$6:$I$55,K197))</f>
      </c>
      <c r="BC197" s="37">
        <f>IF(B197="","",AY197+BB197)</f>
      </c>
      <c r="BD197" s="70">
        <f>IF(B197="","",AI197+AS197+BC197)</f>
      </c>
      <c r="BE197" s="37">
        <f>IF(B197="","",IF(Base_Comision="% DEL INGRESO",M197*INDEX(PRECIOS!$L$6:$L$55,K197),G197*INDEX(PRECIOS!$M$6:$M$55,K197)))</f>
      </c>
      <c r="BF197" s="37">
        <f>IF(B197="","",IF(Base_Comision="% DEL INGRESO",N197*INDEX(PRECIOS!$L$6:$L$55,K197),H197*INDEX(PRECIOS!$M$6:$M$55,K197)))</f>
      </c>
      <c r="BG197" s="37">
        <f>IF(B197="","",IF(Base_Comision="% DEL INGRESO",O197*INDEX(PRECIOS!$L$6:$L$55,K197),I197*INDEX(PRECIOS!$M$6:$M$55,K197)))</f>
      </c>
      <c r="BH197" s="70">
        <f>IF(B197="","",BE197+BF197+BG197)</f>
      </c>
      <c r="BI197" s="37">
        <f>IF(B197="","",Q197*Pct_Reclamaciones)</f>
      </c>
      <c r="BJ197" s="37">
        <f>IF(B197="","",Q197*Pct_Banco)</f>
      </c>
      <c r="BK197" s="37">
        <f>IF(B197="","",N(ENTRADA!$V197))</f>
      </c>
      <c r="BL197" s="70">
        <f>IF(B197="","",Y197+AE197+BD197+BH197+BI197+BJ197+BK197)</f>
      </c>
      <c r="BM197" s="70">
        <f>IF(B197="","",Q197-BL197)</f>
      </c>
      <c r="BN197" s="72">
        <f>IF(B197="","",IF(Q197=0,0,BM197/Q197))</f>
      </c>
      <c r="BO197" s="73">
        <f>IF(B197="","",IF(J197=0,0,BM197/J197))</f>
      </c>
      <c r="BP197" s="60">
        <f>IF(B197="","",IFERROR(MATCH(D197,COSTOS_FIJOS!$G$5:$AD$5,0),0))</f>
      </c>
      <c r="BQ197" s="60">
        <f>IF(B197="","",COUNTIFS($D$6:$D$305,D197))</f>
      </c>
      <c r="BR197" s="67">
        <f>IF(B197="","",SUMIFS($J$6:$J$305,$D$6:$D$305,D197))</f>
      </c>
      <c r="BS197" s="72">
        <f>IF(B197="","",IF(Metodo_Prorrateo="KG",IF(BR197=0,0,J197/BR197),1/BQ197))</f>
      </c>
      <c r="BT197" s="37">
        <f>IF(B197="","",IF(BP197=0,0,INDEX(COSTOS_FIJOS!$G$38:$AD$38,BP197))*BS197)</f>
      </c>
      <c r="BU197" s="72">
        <f>IF(B197="","",IF(Metodo_Prorrateo="KG",IF(SUMIFS($G$6:$G$305,$D$6:$D$305,D197)=0,0,G197/SUMIFS($G$6:$G$305,$D$6:$D$305,D197)),IF(G197&gt;0,1/COUNTIFS($D$6:$D$305,D197,$G$6:$G$305,"&gt;0"),0)))</f>
      </c>
      <c r="BV197" s="37">
        <f>IF(B197="","",IF(BP197=0,0,INDEX(COSTOS_FIJOS!$G$39:$AD$39,BP197))*BU197)</f>
      </c>
      <c r="BW197" s="72">
        <f>IF(B197="","",IF(Metodo_Prorrateo="KG",IF(SUMIFS($H$6:$H$305,$D$6:$D$305,D197)=0,0,H197/SUMIFS($H$6:$H$305,$D$6:$D$305,D197)),IF(H197&gt;0,1/COUNTIFS($D$6:$D$305,D197,$H$6:$H$305,"&gt;0"),0)))</f>
      </c>
      <c r="BX197" s="37">
        <f>IF(B197="","",IF(BP197=0,0,INDEX(COSTOS_FIJOS!$G$40:$AD$40,BP197))*BW197)</f>
      </c>
      <c r="BY197" s="72">
        <f>IF(B197="","",IF(Metodo_Prorrateo="KG",IF(SUMIFS($I$6:$I$305,$D$6:$D$305,D197)=0,0,I197/SUMIFS($I$6:$I$305,$D$6:$D$305,D197)),IF(I197&gt;0,1/COUNTIFS($D$6:$D$305,D197,$I$6:$I$305,"&gt;0"),0)))</f>
      </c>
      <c r="BZ197" s="37">
        <f>IF(B197="","",IF(BP197=0,0,INDEX(COSTOS_FIJOS!$G$41:$AD$41,BP197))*BY197)</f>
      </c>
      <c r="CA197" s="70">
        <f>IF(B197="","",BT197+BV197+BX197+BZ197)</f>
      </c>
      <c r="CB197" s="37">
        <f>IF(B197="","",Q197*Imp_Ventas_Serv)</f>
      </c>
      <c r="CC197" s="37">
        <f>IF(B197="","",Q197*Contrib_Territorial)</f>
      </c>
      <c r="CD197" s="70">
        <f>IF(B197="","",BM197-CA197-CB197-CC197)</f>
      </c>
      <c r="CE197" s="37">
        <f>IF(B197="","",MAX(0,CD197)*Imp_Utilidades)</f>
      </c>
      <c r="CF197" s="70">
        <f>IF(B197="","",CD197-CE197)</f>
      </c>
      <c r="CG197" s="72">
        <f>IF(B197="","",IF(Q197=0,0,CF197/Q197))</f>
      </c>
      <c r="CH197" s="73">
        <f>IF(B197="","",IF(J197=0,0,(BL197+CA197+CB197+CC197)/J197))</f>
      </c>
      <c r="CI197" s="73">
        <f>IF(B197="","",IF(J197=0,0,Q197/J197))</f>
      </c>
      <c r="CJ197" s="73">
        <f>IF(B197="","",IF(J197=0,0,CD197/J197))</f>
      </c>
      <c r="CK197" s="37">
        <f>IF(B197="","",Y197+AE197+BK197+BT197)</f>
      </c>
      <c r="CL197" s="37">
        <f>IF(B197="","",IF(J197=0,0,(M197+P197*G197/J197)*(1-Pct_Reclamaciones-Pct_Banco-Imp_Ventas_Serv-Contrib_Territorial)-AI197-BE197-BV197-CK197*G197/J197))</f>
      </c>
      <c r="CM197" s="37">
        <f>IF(B197="","",IF(J197=0,0,(N197+P197*H197/J197)*(1-Pct_Reclamaciones-Pct_Banco-Imp_Ventas_Serv-Contrib_Territorial)-AS197-BF197-BX197-CK197*H197/J197))</f>
      </c>
      <c r="CN197" s="37">
        <f>IF(B197="","",IF(J197=0,0,(O197+P197*I197/J197)*(1-Pct_Reclamaciones-Pct_Banco-Imp_Ventas_Serv-Contrib_Territorial)-BC197-BG197-BZ197-CK197*I197/J197))</f>
      </c>
      <c r="CO197" s="37">
        <f>IF(B197="","",IF(J197=0,0,ROUND(CD197-CL197-CM197-CN197,4)))</f>
      </c>
      <c r="CP197" s="71">
        <f>IF(B197="","",T197+AG197+AK197+AM197+AU197+AW197)</f>
      </c>
      <c r="CQ197" s="71">
        <f>IF(B197="","",U197+AH197+AL197+AN197+AV197+AX197)</f>
      </c>
      <c r="CR197" s="72">
        <f>IF(B197="","",IF(CP197=0,0,CQ197/CP197-1))</f>
      </c>
      <c r="CS197" s="60">
        <f>IF(B197="","",IF(ENTRADA!$Y197="","",ENTRADA!$Y197-C197))</f>
      </c>
      <c r="CT197" s="66">
        <f>IF(B197="","",IF(ENTRADA!$C197="","Falta fecha. ","")&amp;IF(BP197=0,"Mes fuera del rango de COSTOS_FIJOS. ","")&amp;IF(J197=0,"Sin kg. ","")&amp;IF(E197="","Falta transitaria. ","")&amp;IF(AND(T197&gt;0,U197/T197-1&gt;Tolerancia_Comb),"Combustible al puerto "&amp;TEXT(U197/T197-1,"+0%")&amp;" sobre norma. ","")&amp;IF(AND(AG197&gt;0,AH197/AG197-1&gt;Tolerancia_Comb),"Combustible distribución Occidente "&amp;TEXT(AH197/AG197-1,"+0%")&amp;" sobre norma. ","")&amp;IF(AND(AK197&gt;0,AL197/AK197-1&gt;Tolerancia_Comb),"Combustible traslado Centro "&amp;TEXT(AL197/AK197-1,"+0%")&amp;" sobre norma. ","")&amp;IF(AND(AM197&gt;0,AN197/AM197-1&gt;Tolerancia_Comb),"Combustible distribución Centro "&amp;TEXT(AN197/AM197-1,"+0%")&amp;" sobre norma. ","")&amp;IF(AND(AU197&gt;0,AV197/AU197-1&gt;Tolerancia_Comb),"Combustible traslado Oriente "&amp;TEXT(AV197/AU197-1,"+0%")&amp;" sobre norma. ","")&amp;IF(AND(AW197&gt;0,AX197/AW197-1&gt;Tolerancia_Comb),"Combustible distribución Oriente "&amp;TEXT(AX197/AW197-1,"+0%")&amp;" sobre norma. ","")&amp;IF(AND(ENTRADA!$C197&lt;&gt;"",C197&lt;PRECIOS!$A$6),"Fecha anterior a la 1ª vigencia de precios. ","")&amp;IF(CD197&lt;0,"Contenedor con pérdida. ",""))</f>
      </c>
    </row>
    <row r="198">
      <c r="A198" s="60">
        <f>IF(B198="","",ROW()-5)</f>
      </c>
      <c r="B198" s="63">
        <f>IF(ENTRADA!$B198="","",ENTRADA!$B198)</f>
      </c>
      <c r="C198" s="64">
        <f>IF(B198="","",ENTRADA!$C198)</f>
      </c>
      <c r="D198" s="65">
        <f>IF(B198="","",DATE(YEAR(C198),MONTH(C198),1))</f>
      </c>
      <c r="E198" s="66">
        <f>IF(B198="","",ENTRADA!$D198&amp;"")</f>
      </c>
      <c r="F198" s="66">
        <f>IF(B198="","",ENTRADA!$Z198&amp;"")</f>
      </c>
      <c r="G198" s="67">
        <f>IF(B198="","",N(ENTRADA!$G198))</f>
      </c>
      <c r="H198" s="67">
        <f>IF(B198="","",N(ENTRADA!$H198))</f>
      </c>
      <c r="I198" s="67">
        <f>IF(B198="","",N(ENTRADA!$I198))</f>
      </c>
      <c r="J198" s="68">
        <f>IF(B198="","",G198+H198+I198)</f>
      </c>
      <c r="K198" s="60">
        <f>IF(B198="","",IFERROR(MATCH(SUMPRODUCT(MAX((PRECIOS!$A$6:$A$55&lt;=C198)*PRECIOS!$A$6:$A$55)),PRECIOS!$A$6:$A$55,0),1))</f>
      </c>
      <c r="L198" s="69">
        <f>IF(B198="","",INDEX(PRECIOS!$A$6:$A$55,K198))</f>
      </c>
      <c r="M198" s="37">
        <f>IF(B198="","",G198*INDEX(PRECIOS!$B$6:$B$55,K198))</f>
      </c>
      <c r="N198" s="37">
        <f>IF(B198="","",H198*INDEX(PRECIOS!$C$6:$C$55,K198))</f>
      </c>
      <c r="O198" s="37">
        <f>IF(B198="","",I198*INDEX(PRECIOS!$D$6:$D$55,K198))</f>
      </c>
      <c r="P198" s="37">
        <f>IF(B198="","",N(ENTRADA!$X198))</f>
      </c>
      <c r="Q198" s="70">
        <f>IF(B198="","",M198+N198+O198+P198)</f>
      </c>
      <c r="R198" s="71">
        <f>IF(B198="","",IF(ENTRADA!$J198="",Std_Viajes_Puerto,ENTRADA!$J198))</f>
      </c>
      <c r="S198" s="37">
        <f>IF(B198="","",R198*INDEX(PRECIOS!$F$6:$F$55,K198))</f>
      </c>
      <c r="T198" s="71">
        <f>IF(B198="","",R198*Litros_Puerto_Viaje)</f>
      </c>
      <c r="U198" s="71">
        <f>IF(B198="","",IF(ENTRADA!$K198="",T198,ENTRADA!$K198))</f>
      </c>
      <c r="V198" s="37">
        <f>IF(B198="","",U198*INDEX(PRECIOS!$E$6:$E$55,K198))</f>
      </c>
      <c r="W198" s="37">
        <f>IF(B198="","",IF(ENTRADA!$L198="",R198*INDEX(PRECIOS!$G$6:$G$55,K198),ENTRADA!$L198))</f>
      </c>
      <c r="X198" s="37">
        <f>IF(B198="","",R198*Km_Puerto_Viaje*INDEX(PRECIOS!$N$6:$N$55,K198))</f>
      </c>
      <c r="Y198" s="70">
        <f>IF(B198="","",S198+V198+W198+X198)</f>
      </c>
      <c r="Z198" s="71">
        <f>IF(B198="","",IF(J198=0,0,ROUNDUP(J198/Rend_Desagrupe,0)))</f>
      </c>
      <c r="AA198" s="71">
        <f>IF(B198="","",IF(ENTRADA!$M198="",Z198,ENTRADA!$M198))</f>
      </c>
      <c r="AB198" s="37">
        <f>IF(B198="","",AA198*INDEX(PRECIOS!$H$6:$H$55,K198))</f>
      </c>
      <c r="AC198" s="37">
        <f>IF(B198="","",IF(E198="ENCI",INDEX(PRECIOS!$J$6:$J$55,K198),IF(E198="A.V",INDEX(PRECIOS!$K$6:$K$55,K198),0)))</f>
      </c>
      <c r="AD198" s="37">
        <f>IF(B198="","",N(ENTRADA!$N198))</f>
      </c>
      <c r="AE198" s="70">
        <f>IF(B198="","",AB198+AC198+AD198)</f>
      </c>
      <c r="AF198" s="71">
        <f>IF(B198="","",IF(G198=0,0,ROUNDUP(G198/Cap_Camion_OCC,0)))</f>
      </c>
      <c r="AG198" s="71">
        <f>IF(B198="","",AF198*L_Dist_OCC)</f>
      </c>
      <c r="AH198" s="71">
        <f>IF(B198="","",IF(ENTRADA!$O198="",AG198,ENTRADA!$O198))</f>
      </c>
      <c r="AI198" s="37">
        <f>IF(B198="","",AH198*INDEX(PRECIOS!$E$6:$E$55,K198))</f>
      </c>
      <c r="AJ198" s="71">
        <f>IF(B198="","",IF(H198=0,0,ROUNDUP(H198/Cap_Camion_CEN,0)))</f>
      </c>
      <c r="AK198" s="71">
        <f>IF(B198="","",AJ198*L_Tras_CEN)</f>
      </c>
      <c r="AL198" s="71">
        <f>IF(B198="","",IF(ENTRADA!$P198="",AK198,ENTRADA!$P198))</f>
      </c>
      <c r="AM198" s="71">
        <f>IF(B198="","",AJ198*L_Dist_CEN)</f>
      </c>
      <c r="AN198" s="71">
        <f>IF(B198="","",IF(ENTRADA!$Q198="",AM198,ENTRADA!$Q198))</f>
      </c>
      <c r="AO198" s="37">
        <f>IF(B198="","",(AL198+AN198)*INDEX(PRECIOS!$E$6:$E$55,K198))</f>
      </c>
      <c r="AP198" s="71">
        <f>IF(B198="","",IF(H198=0,0,ROUNDUP(H198/Rend_Desagrupe_CT,0)))</f>
      </c>
      <c r="AQ198" s="71">
        <f>IF(B198="","",IF(ENTRADA!$R198="",AP198,ENTRADA!$R198))</f>
      </c>
      <c r="AR198" s="37">
        <f>IF(B198="","",AQ198*INDEX(PRECIOS!$I$6:$I$55,K198))</f>
      </c>
      <c r="AS198" s="37">
        <f>IF(B198="","",AO198+AR198)</f>
      </c>
      <c r="AT198" s="71">
        <f>IF(B198="","",IF(I198=0,0,ROUNDUP(I198/Cap_Camion_ORI,0)))</f>
      </c>
      <c r="AU198" s="71">
        <f>IF(B198="","",AT198*L_Tras_ORI)</f>
      </c>
      <c r="AV198" s="71">
        <f>IF(B198="","",IF(ENTRADA!$S198="",AU198,ENTRADA!$S198))</f>
      </c>
      <c r="AW198" s="71">
        <f>IF(B198="","",AT198*L_Dist_ORI)</f>
      </c>
      <c r="AX198" s="71">
        <f>IF(B198="","",IF(ENTRADA!$T198="",AW198,ENTRADA!$T198))</f>
      </c>
      <c r="AY198" s="37">
        <f>IF(B198="","",(AV198+AX198)*INDEX(PRECIOS!$E$6:$E$55,K198))</f>
      </c>
      <c r="AZ198" s="71">
        <f>IF(B198="","",IF(I198=0,0,ROUNDUP(I198/Rend_Desagrupe_CT,0)))</f>
      </c>
      <c r="BA198" s="71">
        <f>IF(B198="","",IF(ENTRADA!$U198="",AZ198,ENTRADA!$U198))</f>
      </c>
      <c r="BB198" s="37">
        <f>IF(B198="","",BA198*INDEX(PRECIOS!$I$6:$I$55,K198))</f>
      </c>
      <c r="BC198" s="37">
        <f>IF(B198="","",AY198+BB198)</f>
      </c>
      <c r="BD198" s="70">
        <f>IF(B198="","",AI198+AS198+BC198)</f>
      </c>
      <c r="BE198" s="37">
        <f>IF(B198="","",IF(Base_Comision="% DEL INGRESO",M198*INDEX(PRECIOS!$L$6:$L$55,K198),G198*INDEX(PRECIOS!$M$6:$M$55,K198)))</f>
      </c>
      <c r="BF198" s="37">
        <f>IF(B198="","",IF(Base_Comision="% DEL INGRESO",N198*INDEX(PRECIOS!$L$6:$L$55,K198),H198*INDEX(PRECIOS!$M$6:$M$55,K198)))</f>
      </c>
      <c r="BG198" s="37">
        <f>IF(B198="","",IF(Base_Comision="% DEL INGRESO",O198*INDEX(PRECIOS!$L$6:$L$55,K198),I198*INDEX(PRECIOS!$M$6:$M$55,K198)))</f>
      </c>
      <c r="BH198" s="70">
        <f>IF(B198="","",BE198+BF198+BG198)</f>
      </c>
      <c r="BI198" s="37">
        <f>IF(B198="","",Q198*Pct_Reclamaciones)</f>
      </c>
      <c r="BJ198" s="37">
        <f>IF(B198="","",Q198*Pct_Banco)</f>
      </c>
      <c r="BK198" s="37">
        <f>IF(B198="","",N(ENTRADA!$V198))</f>
      </c>
      <c r="BL198" s="70">
        <f>IF(B198="","",Y198+AE198+BD198+BH198+BI198+BJ198+BK198)</f>
      </c>
      <c r="BM198" s="70">
        <f>IF(B198="","",Q198-BL198)</f>
      </c>
      <c r="BN198" s="72">
        <f>IF(B198="","",IF(Q198=0,0,BM198/Q198))</f>
      </c>
      <c r="BO198" s="73">
        <f>IF(B198="","",IF(J198=0,0,BM198/J198))</f>
      </c>
      <c r="BP198" s="60">
        <f>IF(B198="","",IFERROR(MATCH(D198,COSTOS_FIJOS!$G$5:$AD$5,0),0))</f>
      </c>
      <c r="BQ198" s="60">
        <f>IF(B198="","",COUNTIFS($D$6:$D$305,D198))</f>
      </c>
      <c r="BR198" s="67">
        <f>IF(B198="","",SUMIFS($J$6:$J$305,$D$6:$D$305,D198))</f>
      </c>
      <c r="BS198" s="72">
        <f>IF(B198="","",IF(Metodo_Prorrateo="KG",IF(BR198=0,0,J198/BR198),1/BQ198))</f>
      </c>
      <c r="BT198" s="37">
        <f>IF(B198="","",IF(BP198=0,0,INDEX(COSTOS_FIJOS!$G$38:$AD$38,BP198))*BS198)</f>
      </c>
      <c r="BU198" s="72">
        <f>IF(B198="","",IF(Metodo_Prorrateo="KG",IF(SUMIFS($G$6:$G$305,$D$6:$D$305,D198)=0,0,G198/SUMIFS($G$6:$G$305,$D$6:$D$305,D198)),IF(G198&gt;0,1/COUNTIFS($D$6:$D$305,D198,$G$6:$G$305,"&gt;0"),0)))</f>
      </c>
      <c r="BV198" s="37">
        <f>IF(B198="","",IF(BP198=0,0,INDEX(COSTOS_FIJOS!$G$39:$AD$39,BP198))*BU198)</f>
      </c>
      <c r="BW198" s="72">
        <f>IF(B198="","",IF(Metodo_Prorrateo="KG",IF(SUMIFS($H$6:$H$305,$D$6:$D$305,D198)=0,0,H198/SUMIFS($H$6:$H$305,$D$6:$D$305,D198)),IF(H198&gt;0,1/COUNTIFS($D$6:$D$305,D198,$H$6:$H$305,"&gt;0"),0)))</f>
      </c>
      <c r="BX198" s="37">
        <f>IF(B198="","",IF(BP198=0,0,INDEX(COSTOS_FIJOS!$G$40:$AD$40,BP198))*BW198)</f>
      </c>
      <c r="BY198" s="72">
        <f>IF(B198="","",IF(Metodo_Prorrateo="KG",IF(SUMIFS($I$6:$I$305,$D$6:$D$305,D198)=0,0,I198/SUMIFS($I$6:$I$305,$D$6:$D$305,D198)),IF(I198&gt;0,1/COUNTIFS($D$6:$D$305,D198,$I$6:$I$305,"&gt;0"),0)))</f>
      </c>
      <c r="BZ198" s="37">
        <f>IF(B198="","",IF(BP198=0,0,INDEX(COSTOS_FIJOS!$G$41:$AD$41,BP198))*BY198)</f>
      </c>
      <c r="CA198" s="70">
        <f>IF(B198="","",BT198+BV198+BX198+BZ198)</f>
      </c>
      <c r="CB198" s="37">
        <f>IF(B198="","",Q198*Imp_Ventas_Serv)</f>
      </c>
      <c r="CC198" s="37">
        <f>IF(B198="","",Q198*Contrib_Territorial)</f>
      </c>
      <c r="CD198" s="70">
        <f>IF(B198="","",BM198-CA198-CB198-CC198)</f>
      </c>
      <c r="CE198" s="37">
        <f>IF(B198="","",MAX(0,CD198)*Imp_Utilidades)</f>
      </c>
      <c r="CF198" s="70">
        <f>IF(B198="","",CD198-CE198)</f>
      </c>
      <c r="CG198" s="72">
        <f>IF(B198="","",IF(Q198=0,0,CF198/Q198))</f>
      </c>
      <c r="CH198" s="73">
        <f>IF(B198="","",IF(J198=0,0,(BL198+CA198+CB198+CC198)/J198))</f>
      </c>
      <c r="CI198" s="73">
        <f>IF(B198="","",IF(J198=0,0,Q198/J198))</f>
      </c>
      <c r="CJ198" s="73">
        <f>IF(B198="","",IF(J198=0,0,CD198/J198))</f>
      </c>
      <c r="CK198" s="37">
        <f>IF(B198="","",Y198+AE198+BK198+BT198)</f>
      </c>
      <c r="CL198" s="37">
        <f>IF(B198="","",IF(J198=0,0,(M198+P198*G198/J198)*(1-Pct_Reclamaciones-Pct_Banco-Imp_Ventas_Serv-Contrib_Territorial)-AI198-BE198-BV198-CK198*G198/J198))</f>
      </c>
      <c r="CM198" s="37">
        <f>IF(B198="","",IF(J198=0,0,(N198+P198*H198/J198)*(1-Pct_Reclamaciones-Pct_Banco-Imp_Ventas_Serv-Contrib_Territorial)-AS198-BF198-BX198-CK198*H198/J198))</f>
      </c>
      <c r="CN198" s="37">
        <f>IF(B198="","",IF(J198=0,0,(O198+P198*I198/J198)*(1-Pct_Reclamaciones-Pct_Banco-Imp_Ventas_Serv-Contrib_Territorial)-BC198-BG198-BZ198-CK198*I198/J198))</f>
      </c>
      <c r="CO198" s="37">
        <f>IF(B198="","",IF(J198=0,0,ROUND(CD198-CL198-CM198-CN198,4)))</f>
      </c>
      <c r="CP198" s="71">
        <f>IF(B198="","",T198+AG198+AK198+AM198+AU198+AW198)</f>
      </c>
      <c r="CQ198" s="71">
        <f>IF(B198="","",U198+AH198+AL198+AN198+AV198+AX198)</f>
      </c>
      <c r="CR198" s="72">
        <f>IF(B198="","",IF(CP198=0,0,CQ198/CP198-1))</f>
      </c>
      <c r="CS198" s="60">
        <f>IF(B198="","",IF(ENTRADA!$Y198="","",ENTRADA!$Y198-C198))</f>
      </c>
      <c r="CT198" s="66">
        <f>IF(B198="","",IF(ENTRADA!$C198="","Falta fecha. ","")&amp;IF(BP198=0,"Mes fuera del rango de COSTOS_FIJOS. ","")&amp;IF(J198=0,"Sin kg. ","")&amp;IF(E198="","Falta transitaria. ","")&amp;IF(AND(T198&gt;0,U198/T198-1&gt;Tolerancia_Comb),"Combustible al puerto "&amp;TEXT(U198/T198-1,"+0%")&amp;" sobre norma. ","")&amp;IF(AND(AG198&gt;0,AH198/AG198-1&gt;Tolerancia_Comb),"Combustible distribución Occidente "&amp;TEXT(AH198/AG198-1,"+0%")&amp;" sobre norma. ","")&amp;IF(AND(AK198&gt;0,AL198/AK198-1&gt;Tolerancia_Comb),"Combustible traslado Centro "&amp;TEXT(AL198/AK198-1,"+0%")&amp;" sobre norma. ","")&amp;IF(AND(AM198&gt;0,AN198/AM198-1&gt;Tolerancia_Comb),"Combustible distribución Centro "&amp;TEXT(AN198/AM198-1,"+0%")&amp;" sobre norma. ","")&amp;IF(AND(AU198&gt;0,AV198/AU198-1&gt;Tolerancia_Comb),"Combustible traslado Oriente "&amp;TEXT(AV198/AU198-1,"+0%")&amp;" sobre norma. ","")&amp;IF(AND(AW198&gt;0,AX198/AW198-1&gt;Tolerancia_Comb),"Combustible distribución Oriente "&amp;TEXT(AX198/AW198-1,"+0%")&amp;" sobre norma. ","")&amp;IF(AND(ENTRADA!$C198&lt;&gt;"",C198&lt;PRECIOS!$A$6),"Fecha anterior a la 1ª vigencia de precios. ","")&amp;IF(CD198&lt;0,"Contenedor con pérdida. ",""))</f>
      </c>
    </row>
    <row r="199">
      <c r="A199" s="60">
        <f>IF(B199="","",ROW()-5)</f>
      </c>
      <c r="B199" s="63">
        <f>IF(ENTRADA!$B199="","",ENTRADA!$B199)</f>
      </c>
      <c r="C199" s="64">
        <f>IF(B199="","",ENTRADA!$C199)</f>
      </c>
      <c r="D199" s="65">
        <f>IF(B199="","",DATE(YEAR(C199),MONTH(C199),1))</f>
      </c>
      <c r="E199" s="66">
        <f>IF(B199="","",ENTRADA!$D199&amp;"")</f>
      </c>
      <c r="F199" s="66">
        <f>IF(B199="","",ENTRADA!$Z199&amp;"")</f>
      </c>
      <c r="G199" s="67">
        <f>IF(B199="","",N(ENTRADA!$G199))</f>
      </c>
      <c r="H199" s="67">
        <f>IF(B199="","",N(ENTRADA!$H199))</f>
      </c>
      <c r="I199" s="67">
        <f>IF(B199="","",N(ENTRADA!$I199))</f>
      </c>
      <c r="J199" s="68">
        <f>IF(B199="","",G199+H199+I199)</f>
      </c>
      <c r="K199" s="60">
        <f>IF(B199="","",IFERROR(MATCH(SUMPRODUCT(MAX((PRECIOS!$A$6:$A$55&lt;=C199)*PRECIOS!$A$6:$A$55)),PRECIOS!$A$6:$A$55,0),1))</f>
      </c>
      <c r="L199" s="69">
        <f>IF(B199="","",INDEX(PRECIOS!$A$6:$A$55,K199))</f>
      </c>
      <c r="M199" s="37">
        <f>IF(B199="","",G199*INDEX(PRECIOS!$B$6:$B$55,K199))</f>
      </c>
      <c r="N199" s="37">
        <f>IF(B199="","",H199*INDEX(PRECIOS!$C$6:$C$55,K199))</f>
      </c>
      <c r="O199" s="37">
        <f>IF(B199="","",I199*INDEX(PRECIOS!$D$6:$D$55,K199))</f>
      </c>
      <c r="P199" s="37">
        <f>IF(B199="","",N(ENTRADA!$X199))</f>
      </c>
      <c r="Q199" s="70">
        <f>IF(B199="","",M199+N199+O199+P199)</f>
      </c>
      <c r="R199" s="71">
        <f>IF(B199="","",IF(ENTRADA!$J199="",Std_Viajes_Puerto,ENTRADA!$J199))</f>
      </c>
      <c r="S199" s="37">
        <f>IF(B199="","",R199*INDEX(PRECIOS!$F$6:$F$55,K199))</f>
      </c>
      <c r="T199" s="71">
        <f>IF(B199="","",R199*Litros_Puerto_Viaje)</f>
      </c>
      <c r="U199" s="71">
        <f>IF(B199="","",IF(ENTRADA!$K199="",T199,ENTRADA!$K199))</f>
      </c>
      <c r="V199" s="37">
        <f>IF(B199="","",U199*INDEX(PRECIOS!$E$6:$E$55,K199))</f>
      </c>
      <c r="W199" s="37">
        <f>IF(B199="","",IF(ENTRADA!$L199="",R199*INDEX(PRECIOS!$G$6:$G$55,K199),ENTRADA!$L199))</f>
      </c>
      <c r="X199" s="37">
        <f>IF(B199="","",R199*Km_Puerto_Viaje*INDEX(PRECIOS!$N$6:$N$55,K199))</f>
      </c>
      <c r="Y199" s="70">
        <f>IF(B199="","",S199+V199+W199+X199)</f>
      </c>
      <c r="Z199" s="71">
        <f>IF(B199="","",IF(J199=0,0,ROUNDUP(J199/Rend_Desagrupe,0)))</f>
      </c>
      <c r="AA199" s="71">
        <f>IF(B199="","",IF(ENTRADA!$M199="",Z199,ENTRADA!$M199))</f>
      </c>
      <c r="AB199" s="37">
        <f>IF(B199="","",AA199*INDEX(PRECIOS!$H$6:$H$55,K199))</f>
      </c>
      <c r="AC199" s="37">
        <f>IF(B199="","",IF(E199="ENCI",INDEX(PRECIOS!$J$6:$J$55,K199),IF(E199="A.V",INDEX(PRECIOS!$K$6:$K$55,K199),0)))</f>
      </c>
      <c r="AD199" s="37">
        <f>IF(B199="","",N(ENTRADA!$N199))</f>
      </c>
      <c r="AE199" s="70">
        <f>IF(B199="","",AB199+AC199+AD199)</f>
      </c>
      <c r="AF199" s="71">
        <f>IF(B199="","",IF(G199=0,0,ROUNDUP(G199/Cap_Camion_OCC,0)))</f>
      </c>
      <c r="AG199" s="71">
        <f>IF(B199="","",AF199*L_Dist_OCC)</f>
      </c>
      <c r="AH199" s="71">
        <f>IF(B199="","",IF(ENTRADA!$O199="",AG199,ENTRADA!$O199))</f>
      </c>
      <c r="AI199" s="37">
        <f>IF(B199="","",AH199*INDEX(PRECIOS!$E$6:$E$55,K199))</f>
      </c>
      <c r="AJ199" s="71">
        <f>IF(B199="","",IF(H199=0,0,ROUNDUP(H199/Cap_Camion_CEN,0)))</f>
      </c>
      <c r="AK199" s="71">
        <f>IF(B199="","",AJ199*L_Tras_CEN)</f>
      </c>
      <c r="AL199" s="71">
        <f>IF(B199="","",IF(ENTRADA!$P199="",AK199,ENTRADA!$P199))</f>
      </c>
      <c r="AM199" s="71">
        <f>IF(B199="","",AJ199*L_Dist_CEN)</f>
      </c>
      <c r="AN199" s="71">
        <f>IF(B199="","",IF(ENTRADA!$Q199="",AM199,ENTRADA!$Q199))</f>
      </c>
      <c r="AO199" s="37">
        <f>IF(B199="","",(AL199+AN199)*INDEX(PRECIOS!$E$6:$E$55,K199))</f>
      </c>
      <c r="AP199" s="71">
        <f>IF(B199="","",IF(H199=0,0,ROUNDUP(H199/Rend_Desagrupe_CT,0)))</f>
      </c>
      <c r="AQ199" s="71">
        <f>IF(B199="","",IF(ENTRADA!$R199="",AP199,ENTRADA!$R199))</f>
      </c>
      <c r="AR199" s="37">
        <f>IF(B199="","",AQ199*INDEX(PRECIOS!$I$6:$I$55,K199))</f>
      </c>
      <c r="AS199" s="37">
        <f>IF(B199="","",AO199+AR199)</f>
      </c>
      <c r="AT199" s="71">
        <f>IF(B199="","",IF(I199=0,0,ROUNDUP(I199/Cap_Camion_ORI,0)))</f>
      </c>
      <c r="AU199" s="71">
        <f>IF(B199="","",AT199*L_Tras_ORI)</f>
      </c>
      <c r="AV199" s="71">
        <f>IF(B199="","",IF(ENTRADA!$S199="",AU199,ENTRADA!$S199))</f>
      </c>
      <c r="AW199" s="71">
        <f>IF(B199="","",AT199*L_Dist_ORI)</f>
      </c>
      <c r="AX199" s="71">
        <f>IF(B199="","",IF(ENTRADA!$T199="",AW199,ENTRADA!$T199))</f>
      </c>
      <c r="AY199" s="37">
        <f>IF(B199="","",(AV199+AX199)*INDEX(PRECIOS!$E$6:$E$55,K199))</f>
      </c>
      <c r="AZ199" s="71">
        <f>IF(B199="","",IF(I199=0,0,ROUNDUP(I199/Rend_Desagrupe_CT,0)))</f>
      </c>
      <c r="BA199" s="71">
        <f>IF(B199="","",IF(ENTRADA!$U199="",AZ199,ENTRADA!$U199))</f>
      </c>
      <c r="BB199" s="37">
        <f>IF(B199="","",BA199*INDEX(PRECIOS!$I$6:$I$55,K199))</f>
      </c>
      <c r="BC199" s="37">
        <f>IF(B199="","",AY199+BB199)</f>
      </c>
      <c r="BD199" s="70">
        <f>IF(B199="","",AI199+AS199+BC199)</f>
      </c>
      <c r="BE199" s="37">
        <f>IF(B199="","",IF(Base_Comision="% DEL INGRESO",M199*INDEX(PRECIOS!$L$6:$L$55,K199),G199*INDEX(PRECIOS!$M$6:$M$55,K199)))</f>
      </c>
      <c r="BF199" s="37">
        <f>IF(B199="","",IF(Base_Comision="% DEL INGRESO",N199*INDEX(PRECIOS!$L$6:$L$55,K199),H199*INDEX(PRECIOS!$M$6:$M$55,K199)))</f>
      </c>
      <c r="BG199" s="37">
        <f>IF(B199="","",IF(Base_Comision="% DEL INGRESO",O199*INDEX(PRECIOS!$L$6:$L$55,K199),I199*INDEX(PRECIOS!$M$6:$M$55,K199)))</f>
      </c>
      <c r="BH199" s="70">
        <f>IF(B199="","",BE199+BF199+BG199)</f>
      </c>
      <c r="BI199" s="37">
        <f>IF(B199="","",Q199*Pct_Reclamaciones)</f>
      </c>
      <c r="BJ199" s="37">
        <f>IF(B199="","",Q199*Pct_Banco)</f>
      </c>
      <c r="BK199" s="37">
        <f>IF(B199="","",N(ENTRADA!$V199))</f>
      </c>
      <c r="BL199" s="70">
        <f>IF(B199="","",Y199+AE199+BD199+BH199+BI199+BJ199+BK199)</f>
      </c>
      <c r="BM199" s="70">
        <f>IF(B199="","",Q199-BL199)</f>
      </c>
      <c r="BN199" s="72">
        <f>IF(B199="","",IF(Q199=0,0,BM199/Q199))</f>
      </c>
      <c r="BO199" s="73">
        <f>IF(B199="","",IF(J199=0,0,BM199/J199))</f>
      </c>
      <c r="BP199" s="60">
        <f>IF(B199="","",IFERROR(MATCH(D199,COSTOS_FIJOS!$G$5:$AD$5,0),0))</f>
      </c>
      <c r="BQ199" s="60">
        <f>IF(B199="","",COUNTIFS($D$6:$D$305,D199))</f>
      </c>
      <c r="BR199" s="67">
        <f>IF(B199="","",SUMIFS($J$6:$J$305,$D$6:$D$305,D199))</f>
      </c>
      <c r="BS199" s="72">
        <f>IF(B199="","",IF(Metodo_Prorrateo="KG",IF(BR199=0,0,J199/BR199),1/BQ199))</f>
      </c>
      <c r="BT199" s="37">
        <f>IF(B199="","",IF(BP199=0,0,INDEX(COSTOS_FIJOS!$G$38:$AD$38,BP199))*BS199)</f>
      </c>
      <c r="BU199" s="72">
        <f>IF(B199="","",IF(Metodo_Prorrateo="KG",IF(SUMIFS($G$6:$G$305,$D$6:$D$305,D199)=0,0,G199/SUMIFS($G$6:$G$305,$D$6:$D$305,D199)),IF(G199&gt;0,1/COUNTIFS($D$6:$D$305,D199,$G$6:$G$305,"&gt;0"),0)))</f>
      </c>
      <c r="BV199" s="37">
        <f>IF(B199="","",IF(BP199=0,0,INDEX(COSTOS_FIJOS!$G$39:$AD$39,BP199))*BU199)</f>
      </c>
      <c r="BW199" s="72">
        <f>IF(B199="","",IF(Metodo_Prorrateo="KG",IF(SUMIFS($H$6:$H$305,$D$6:$D$305,D199)=0,0,H199/SUMIFS($H$6:$H$305,$D$6:$D$305,D199)),IF(H199&gt;0,1/COUNTIFS($D$6:$D$305,D199,$H$6:$H$305,"&gt;0"),0)))</f>
      </c>
      <c r="BX199" s="37">
        <f>IF(B199="","",IF(BP199=0,0,INDEX(COSTOS_FIJOS!$G$40:$AD$40,BP199))*BW199)</f>
      </c>
      <c r="BY199" s="72">
        <f>IF(B199="","",IF(Metodo_Prorrateo="KG",IF(SUMIFS($I$6:$I$305,$D$6:$D$305,D199)=0,0,I199/SUMIFS($I$6:$I$305,$D$6:$D$305,D199)),IF(I199&gt;0,1/COUNTIFS($D$6:$D$305,D199,$I$6:$I$305,"&gt;0"),0)))</f>
      </c>
      <c r="BZ199" s="37">
        <f>IF(B199="","",IF(BP199=0,0,INDEX(COSTOS_FIJOS!$G$41:$AD$41,BP199))*BY199)</f>
      </c>
      <c r="CA199" s="70">
        <f>IF(B199="","",BT199+BV199+BX199+BZ199)</f>
      </c>
      <c r="CB199" s="37">
        <f>IF(B199="","",Q199*Imp_Ventas_Serv)</f>
      </c>
      <c r="CC199" s="37">
        <f>IF(B199="","",Q199*Contrib_Territorial)</f>
      </c>
      <c r="CD199" s="70">
        <f>IF(B199="","",BM199-CA199-CB199-CC199)</f>
      </c>
      <c r="CE199" s="37">
        <f>IF(B199="","",MAX(0,CD199)*Imp_Utilidades)</f>
      </c>
      <c r="CF199" s="70">
        <f>IF(B199="","",CD199-CE199)</f>
      </c>
      <c r="CG199" s="72">
        <f>IF(B199="","",IF(Q199=0,0,CF199/Q199))</f>
      </c>
      <c r="CH199" s="73">
        <f>IF(B199="","",IF(J199=0,0,(BL199+CA199+CB199+CC199)/J199))</f>
      </c>
      <c r="CI199" s="73">
        <f>IF(B199="","",IF(J199=0,0,Q199/J199))</f>
      </c>
      <c r="CJ199" s="73">
        <f>IF(B199="","",IF(J199=0,0,CD199/J199))</f>
      </c>
      <c r="CK199" s="37">
        <f>IF(B199="","",Y199+AE199+BK199+BT199)</f>
      </c>
      <c r="CL199" s="37">
        <f>IF(B199="","",IF(J199=0,0,(M199+P199*G199/J199)*(1-Pct_Reclamaciones-Pct_Banco-Imp_Ventas_Serv-Contrib_Territorial)-AI199-BE199-BV199-CK199*G199/J199))</f>
      </c>
      <c r="CM199" s="37">
        <f>IF(B199="","",IF(J199=0,0,(N199+P199*H199/J199)*(1-Pct_Reclamaciones-Pct_Banco-Imp_Ventas_Serv-Contrib_Territorial)-AS199-BF199-BX199-CK199*H199/J199))</f>
      </c>
      <c r="CN199" s="37">
        <f>IF(B199="","",IF(J199=0,0,(O199+P199*I199/J199)*(1-Pct_Reclamaciones-Pct_Banco-Imp_Ventas_Serv-Contrib_Territorial)-BC199-BG199-BZ199-CK199*I199/J199))</f>
      </c>
      <c r="CO199" s="37">
        <f>IF(B199="","",IF(J199=0,0,ROUND(CD199-CL199-CM199-CN199,4)))</f>
      </c>
      <c r="CP199" s="71">
        <f>IF(B199="","",T199+AG199+AK199+AM199+AU199+AW199)</f>
      </c>
      <c r="CQ199" s="71">
        <f>IF(B199="","",U199+AH199+AL199+AN199+AV199+AX199)</f>
      </c>
      <c r="CR199" s="72">
        <f>IF(B199="","",IF(CP199=0,0,CQ199/CP199-1))</f>
      </c>
      <c r="CS199" s="60">
        <f>IF(B199="","",IF(ENTRADA!$Y199="","",ENTRADA!$Y199-C199))</f>
      </c>
      <c r="CT199" s="66">
        <f>IF(B199="","",IF(ENTRADA!$C199="","Falta fecha. ","")&amp;IF(BP199=0,"Mes fuera del rango de COSTOS_FIJOS. ","")&amp;IF(J199=0,"Sin kg. ","")&amp;IF(E199="","Falta transitaria. ","")&amp;IF(AND(T199&gt;0,U199/T199-1&gt;Tolerancia_Comb),"Combustible al puerto "&amp;TEXT(U199/T199-1,"+0%")&amp;" sobre norma. ","")&amp;IF(AND(AG199&gt;0,AH199/AG199-1&gt;Tolerancia_Comb),"Combustible distribución Occidente "&amp;TEXT(AH199/AG199-1,"+0%")&amp;" sobre norma. ","")&amp;IF(AND(AK199&gt;0,AL199/AK199-1&gt;Tolerancia_Comb),"Combustible traslado Centro "&amp;TEXT(AL199/AK199-1,"+0%")&amp;" sobre norma. ","")&amp;IF(AND(AM199&gt;0,AN199/AM199-1&gt;Tolerancia_Comb),"Combustible distribución Centro "&amp;TEXT(AN199/AM199-1,"+0%")&amp;" sobre norma. ","")&amp;IF(AND(AU199&gt;0,AV199/AU199-1&gt;Tolerancia_Comb),"Combustible traslado Oriente "&amp;TEXT(AV199/AU199-1,"+0%")&amp;" sobre norma. ","")&amp;IF(AND(AW199&gt;0,AX199/AW199-1&gt;Tolerancia_Comb),"Combustible distribución Oriente "&amp;TEXT(AX199/AW199-1,"+0%")&amp;" sobre norma. ","")&amp;IF(AND(ENTRADA!$C199&lt;&gt;"",C199&lt;PRECIOS!$A$6),"Fecha anterior a la 1ª vigencia de precios. ","")&amp;IF(CD199&lt;0,"Contenedor con pérdida. ",""))</f>
      </c>
    </row>
    <row r="200">
      <c r="A200" s="60">
        <f>IF(B200="","",ROW()-5)</f>
      </c>
      <c r="B200" s="63">
        <f>IF(ENTRADA!$B200="","",ENTRADA!$B200)</f>
      </c>
      <c r="C200" s="64">
        <f>IF(B200="","",ENTRADA!$C200)</f>
      </c>
      <c r="D200" s="65">
        <f>IF(B200="","",DATE(YEAR(C200),MONTH(C200),1))</f>
      </c>
      <c r="E200" s="66">
        <f>IF(B200="","",ENTRADA!$D200&amp;"")</f>
      </c>
      <c r="F200" s="66">
        <f>IF(B200="","",ENTRADA!$Z200&amp;"")</f>
      </c>
      <c r="G200" s="67">
        <f>IF(B200="","",N(ENTRADA!$G200))</f>
      </c>
      <c r="H200" s="67">
        <f>IF(B200="","",N(ENTRADA!$H200))</f>
      </c>
      <c r="I200" s="67">
        <f>IF(B200="","",N(ENTRADA!$I200))</f>
      </c>
      <c r="J200" s="68">
        <f>IF(B200="","",G200+H200+I200)</f>
      </c>
      <c r="K200" s="60">
        <f>IF(B200="","",IFERROR(MATCH(SUMPRODUCT(MAX((PRECIOS!$A$6:$A$55&lt;=C200)*PRECIOS!$A$6:$A$55)),PRECIOS!$A$6:$A$55,0),1))</f>
      </c>
      <c r="L200" s="69">
        <f>IF(B200="","",INDEX(PRECIOS!$A$6:$A$55,K200))</f>
      </c>
      <c r="M200" s="37">
        <f>IF(B200="","",G200*INDEX(PRECIOS!$B$6:$B$55,K200))</f>
      </c>
      <c r="N200" s="37">
        <f>IF(B200="","",H200*INDEX(PRECIOS!$C$6:$C$55,K200))</f>
      </c>
      <c r="O200" s="37">
        <f>IF(B200="","",I200*INDEX(PRECIOS!$D$6:$D$55,K200))</f>
      </c>
      <c r="P200" s="37">
        <f>IF(B200="","",N(ENTRADA!$X200))</f>
      </c>
      <c r="Q200" s="70">
        <f>IF(B200="","",M200+N200+O200+P200)</f>
      </c>
      <c r="R200" s="71">
        <f>IF(B200="","",IF(ENTRADA!$J200="",Std_Viajes_Puerto,ENTRADA!$J200))</f>
      </c>
      <c r="S200" s="37">
        <f>IF(B200="","",R200*INDEX(PRECIOS!$F$6:$F$55,K200))</f>
      </c>
      <c r="T200" s="71">
        <f>IF(B200="","",R200*Litros_Puerto_Viaje)</f>
      </c>
      <c r="U200" s="71">
        <f>IF(B200="","",IF(ENTRADA!$K200="",T200,ENTRADA!$K200))</f>
      </c>
      <c r="V200" s="37">
        <f>IF(B200="","",U200*INDEX(PRECIOS!$E$6:$E$55,K200))</f>
      </c>
      <c r="W200" s="37">
        <f>IF(B200="","",IF(ENTRADA!$L200="",R200*INDEX(PRECIOS!$G$6:$G$55,K200),ENTRADA!$L200))</f>
      </c>
      <c r="X200" s="37">
        <f>IF(B200="","",R200*Km_Puerto_Viaje*INDEX(PRECIOS!$N$6:$N$55,K200))</f>
      </c>
      <c r="Y200" s="70">
        <f>IF(B200="","",S200+V200+W200+X200)</f>
      </c>
      <c r="Z200" s="71">
        <f>IF(B200="","",IF(J200=0,0,ROUNDUP(J200/Rend_Desagrupe,0)))</f>
      </c>
      <c r="AA200" s="71">
        <f>IF(B200="","",IF(ENTRADA!$M200="",Z200,ENTRADA!$M200))</f>
      </c>
      <c r="AB200" s="37">
        <f>IF(B200="","",AA200*INDEX(PRECIOS!$H$6:$H$55,K200))</f>
      </c>
      <c r="AC200" s="37">
        <f>IF(B200="","",IF(E200="ENCI",INDEX(PRECIOS!$J$6:$J$55,K200),IF(E200="A.V",INDEX(PRECIOS!$K$6:$K$55,K200),0)))</f>
      </c>
      <c r="AD200" s="37">
        <f>IF(B200="","",N(ENTRADA!$N200))</f>
      </c>
      <c r="AE200" s="70">
        <f>IF(B200="","",AB200+AC200+AD200)</f>
      </c>
      <c r="AF200" s="71">
        <f>IF(B200="","",IF(G200=0,0,ROUNDUP(G200/Cap_Camion_OCC,0)))</f>
      </c>
      <c r="AG200" s="71">
        <f>IF(B200="","",AF200*L_Dist_OCC)</f>
      </c>
      <c r="AH200" s="71">
        <f>IF(B200="","",IF(ENTRADA!$O200="",AG200,ENTRADA!$O200))</f>
      </c>
      <c r="AI200" s="37">
        <f>IF(B200="","",AH200*INDEX(PRECIOS!$E$6:$E$55,K200))</f>
      </c>
      <c r="AJ200" s="71">
        <f>IF(B200="","",IF(H200=0,0,ROUNDUP(H200/Cap_Camion_CEN,0)))</f>
      </c>
      <c r="AK200" s="71">
        <f>IF(B200="","",AJ200*L_Tras_CEN)</f>
      </c>
      <c r="AL200" s="71">
        <f>IF(B200="","",IF(ENTRADA!$P200="",AK200,ENTRADA!$P200))</f>
      </c>
      <c r="AM200" s="71">
        <f>IF(B200="","",AJ200*L_Dist_CEN)</f>
      </c>
      <c r="AN200" s="71">
        <f>IF(B200="","",IF(ENTRADA!$Q200="",AM200,ENTRADA!$Q200))</f>
      </c>
      <c r="AO200" s="37">
        <f>IF(B200="","",(AL200+AN200)*INDEX(PRECIOS!$E$6:$E$55,K200))</f>
      </c>
      <c r="AP200" s="71">
        <f>IF(B200="","",IF(H200=0,0,ROUNDUP(H200/Rend_Desagrupe_CT,0)))</f>
      </c>
      <c r="AQ200" s="71">
        <f>IF(B200="","",IF(ENTRADA!$R200="",AP200,ENTRADA!$R200))</f>
      </c>
      <c r="AR200" s="37">
        <f>IF(B200="","",AQ200*INDEX(PRECIOS!$I$6:$I$55,K200))</f>
      </c>
      <c r="AS200" s="37">
        <f>IF(B200="","",AO200+AR200)</f>
      </c>
      <c r="AT200" s="71">
        <f>IF(B200="","",IF(I200=0,0,ROUNDUP(I200/Cap_Camion_ORI,0)))</f>
      </c>
      <c r="AU200" s="71">
        <f>IF(B200="","",AT200*L_Tras_ORI)</f>
      </c>
      <c r="AV200" s="71">
        <f>IF(B200="","",IF(ENTRADA!$S200="",AU200,ENTRADA!$S200))</f>
      </c>
      <c r="AW200" s="71">
        <f>IF(B200="","",AT200*L_Dist_ORI)</f>
      </c>
      <c r="AX200" s="71">
        <f>IF(B200="","",IF(ENTRADA!$T200="",AW200,ENTRADA!$T200))</f>
      </c>
      <c r="AY200" s="37">
        <f>IF(B200="","",(AV200+AX200)*INDEX(PRECIOS!$E$6:$E$55,K200))</f>
      </c>
      <c r="AZ200" s="71">
        <f>IF(B200="","",IF(I200=0,0,ROUNDUP(I200/Rend_Desagrupe_CT,0)))</f>
      </c>
      <c r="BA200" s="71">
        <f>IF(B200="","",IF(ENTRADA!$U200="",AZ200,ENTRADA!$U200))</f>
      </c>
      <c r="BB200" s="37">
        <f>IF(B200="","",BA200*INDEX(PRECIOS!$I$6:$I$55,K200))</f>
      </c>
      <c r="BC200" s="37">
        <f>IF(B200="","",AY200+BB200)</f>
      </c>
      <c r="BD200" s="70">
        <f>IF(B200="","",AI200+AS200+BC200)</f>
      </c>
      <c r="BE200" s="37">
        <f>IF(B200="","",IF(Base_Comision="% DEL INGRESO",M200*INDEX(PRECIOS!$L$6:$L$55,K200),G200*INDEX(PRECIOS!$M$6:$M$55,K200)))</f>
      </c>
      <c r="BF200" s="37">
        <f>IF(B200="","",IF(Base_Comision="% DEL INGRESO",N200*INDEX(PRECIOS!$L$6:$L$55,K200),H200*INDEX(PRECIOS!$M$6:$M$55,K200)))</f>
      </c>
      <c r="BG200" s="37">
        <f>IF(B200="","",IF(Base_Comision="% DEL INGRESO",O200*INDEX(PRECIOS!$L$6:$L$55,K200),I200*INDEX(PRECIOS!$M$6:$M$55,K200)))</f>
      </c>
      <c r="BH200" s="70">
        <f>IF(B200="","",BE200+BF200+BG200)</f>
      </c>
      <c r="BI200" s="37">
        <f>IF(B200="","",Q200*Pct_Reclamaciones)</f>
      </c>
      <c r="BJ200" s="37">
        <f>IF(B200="","",Q200*Pct_Banco)</f>
      </c>
      <c r="BK200" s="37">
        <f>IF(B200="","",N(ENTRADA!$V200))</f>
      </c>
      <c r="BL200" s="70">
        <f>IF(B200="","",Y200+AE200+BD200+BH200+BI200+BJ200+BK200)</f>
      </c>
      <c r="BM200" s="70">
        <f>IF(B200="","",Q200-BL200)</f>
      </c>
      <c r="BN200" s="72">
        <f>IF(B200="","",IF(Q200=0,0,BM200/Q200))</f>
      </c>
      <c r="BO200" s="73">
        <f>IF(B200="","",IF(J200=0,0,BM200/J200))</f>
      </c>
      <c r="BP200" s="60">
        <f>IF(B200="","",IFERROR(MATCH(D200,COSTOS_FIJOS!$G$5:$AD$5,0),0))</f>
      </c>
      <c r="BQ200" s="60">
        <f>IF(B200="","",COUNTIFS($D$6:$D$305,D200))</f>
      </c>
      <c r="BR200" s="67">
        <f>IF(B200="","",SUMIFS($J$6:$J$305,$D$6:$D$305,D200))</f>
      </c>
      <c r="BS200" s="72">
        <f>IF(B200="","",IF(Metodo_Prorrateo="KG",IF(BR200=0,0,J200/BR200),1/BQ200))</f>
      </c>
      <c r="BT200" s="37">
        <f>IF(B200="","",IF(BP200=0,0,INDEX(COSTOS_FIJOS!$G$38:$AD$38,BP200))*BS200)</f>
      </c>
      <c r="BU200" s="72">
        <f>IF(B200="","",IF(Metodo_Prorrateo="KG",IF(SUMIFS($G$6:$G$305,$D$6:$D$305,D200)=0,0,G200/SUMIFS($G$6:$G$305,$D$6:$D$305,D200)),IF(G200&gt;0,1/COUNTIFS($D$6:$D$305,D200,$G$6:$G$305,"&gt;0"),0)))</f>
      </c>
      <c r="BV200" s="37">
        <f>IF(B200="","",IF(BP200=0,0,INDEX(COSTOS_FIJOS!$G$39:$AD$39,BP200))*BU200)</f>
      </c>
      <c r="BW200" s="72">
        <f>IF(B200="","",IF(Metodo_Prorrateo="KG",IF(SUMIFS($H$6:$H$305,$D$6:$D$305,D200)=0,0,H200/SUMIFS($H$6:$H$305,$D$6:$D$305,D200)),IF(H200&gt;0,1/COUNTIFS($D$6:$D$305,D200,$H$6:$H$305,"&gt;0"),0)))</f>
      </c>
      <c r="BX200" s="37">
        <f>IF(B200="","",IF(BP200=0,0,INDEX(COSTOS_FIJOS!$G$40:$AD$40,BP200))*BW200)</f>
      </c>
      <c r="BY200" s="72">
        <f>IF(B200="","",IF(Metodo_Prorrateo="KG",IF(SUMIFS($I$6:$I$305,$D$6:$D$305,D200)=0,0,I200/SUMIFS($I$6:$I$305,$D$6:$D$305,D200)),IF(I200&gt;0,1/COUNTIFS($D$6:$D$305,D200,$I$6:$I$305,"&gt;0"),0)))</f>
      </c>
      <c r="BZ200" s="37">
        <f>IF(B200="","",IF(BP200=0,0,INDEX(COSTOS_FIJOS!$G$41:$AD$41,BP200))*BY200)</f>
      </c>
      <c r="CA200" s="70">
        <f>IF(B200="","",BT200+BV200+BX200+BZ200)</f>
      </c>
      <c r="CB200" s="37">
        <f>IF(B200="","",Q200*Imp_Ventas_Serv)</f>
      </c>
      <c r="CC200" s="37">
        <f>IF(B200="","",Q200*Contrib_Territorial)</f>
      </c>
      <c r="CD200" s="70">
        <f>IF(B200="","",BM200-CA200-CB200-CC200)</f>
      </c>
      <c r="CE200" s="37">
        <f>IF(B200="","",MAX(0,CD200)*Imp_Utilidades)</f>
      </c>
      <c r="CF200" s="70">
        <f>IF(B200="","",CD200-CE200)</f>
      </c>
      <c r="CG200" s="72">
        <f>IF(B200="","",IF(Q200=0,0,CF200/Q200))</f>
      </c>
      <c r="CH200" s="73">
        <f>IF(B200="","",IF(J200=0,0,(BL200+CA200+CB200+CC200)/J200))</f>
      </c>
      <c r="CI200" s="73">
        <f>IF(B200="","",IF(J200=0,0,Q200/J200))</f>
      </c>
      <c r="CJ200" s="73">
        <f>IF(B200="","",IF(J200=0,0,CD200/J200))</f>
      </c>
      <c r="CK200" s="37">
        <f>IF(B200="","",Y200+AE200+BK200+BT200)</f>
      </c>
      <c r="CL200" s="37">
        <f>IF(B200="","",IF(J200=0,0,(M200+P200*G200/J200)*(1-Pct_Reclamaciones-Pct_Banco-Imp_Ventas_Serv-Contrib_Territorial)-AI200-BE200-BV200-CK200*G200/J200))</f>
      </c>
      <c r="CM200" s="37">
        <f>IF(B200="","",IF(J200=0,0,(N200+P200*H200/J200)*(1-Pct_Reclamaciones-Pct_Banco-Imp_Ventas_Serv-Contrib_Territorial)-AS200-BF200-BX200-CK200*H200/J200))</f>
      </c>
      <c r="CN200" s="37">
        <f>IF(B200="","",IF(J200=0,0,(O200+P200*I200/J200)*(1-Pct_Reclamaciones-Pct_Banco-Imp_Ventas_Serv-Contrib_Territorial)-BC200-BG200-BZ200-CK200*I200/J200))</f>
      </c>
      <c r="CO200" s="37">
        <f>IF(B200="","",IF(J200=0,0,ROUND(CD200-CL200-CM200-CN200,4)))</f>
      </c>
      <c r="CP200" s="71">
        <f>IF(B200="","",T200+AG200+AK200+AM200+AU200+AW200)</f>
      </c>
      <c r="CQ200" s="71">
        <f>IF(B200="","",U200+AH200+AL200+AN200+AV200+AX200)</f>
      </c>
      <c r="CR200" s="72">
        <f>IF(B200="","",IF(CP200=0,0,CQ200/CP200-1))</f>
      </c>
      <c r="CS200" s="60">
        <f>IF(B200="","",IF(ENTRADA!$Y200="","",ENTRADA!$Y200-C200))</f>
      </c>
      <c r="CT200" s="66">
        <f>IF(B200="","",IF(ENTRADA!$C200="","Falta fecha. ","")&amp;IF(BP200=0,"Mes fuera del rango de COSTOS_FIJOS. ","")&amp;IF(J200=0,"Sin kg. ","")&amp;IF(E200="","Falta transitaria. ","")&amp;IF(AND(T200&gt;0,U200/T200-1&gt;Tolerancia_Comb),"Combustible al puerto "&amp;TEXT(U200/T200-1,"+0%")&amp;" sobre norma. ","")&amp;IF(AND(AG200&gt;0,AH200/AG200-1&gt;Tolerancia_Comb),"Combustible distribución Occidente "&amp;TEXT(AH200/AG200-1,"+0%")&amp;" sobre norma. ","")&amp;IF(AND(AK200&gt;0,AL200/AK200-1&gt;Tolerancia_Comb),"Combustible traslado Centro "&amp;TEXT(AL200/AK200-1,"+0%")&amp;" sobre norma. ","")&amp;IF(AND(AM200&gt;0,AN200/AM200-1&gt;Tolerancia_Comb),"Combustible distribución Centro "&amp;TEXT(AN200/AM200-1,"+0%")&amp;" sobre norma. ","")&amp;IF(AND(AU200&gt;0,AV200/AU200-1&gt;Tolerancia_Comb),"Combustible traslado Oriente "&amp;TEXT(AV200/AU200-1,"+0%")&amp;" sobre norma. ","")&amp;IF(AND(AW200&gt;0,AX200/AW200-1&gt;Tolerancia_Comb),"Combustible distribución Oriente "&amp;TEXT(AX200/AW200-1,"+0%")&amp;" sobre norma. ","")&amp;IF(AND(ENTRADA!$C200&lt;&gt;"",C200&lt;PRECIOS!$A$6),"Fecha anterior a la 1ª vigencia de precios. ","")&amp;IF(CD200&lt;0,"Contenedor con pérdida. ",""))</f>
      </c>
    </row>
    <row r="201">
      <c r="A201" s="60">
        <f>IF(B201="","",ROW()-5)</f>
      </c>
      <c r="B201" s="63">
        <f>IF(ENTRADA!$B201="","",ENTRADA!$B201)</f>
      </c>
      <c r="C201" s="64">
        <f>IF(B201="","",ENTRADA!$C201)</f>
      </c>
      <c r="D201" s="65">
        <f>IF(B201="","",DATE(YEAR(C201),MONTH(C201),1))</f>
      </c>
      <c r="E201" s="66">
        <f>IF(B201="","",ENTRADA!$D201&amp;"")</f>
      </c>
      <c r="F201" s="66">
        <f>IF(B201="","",ENTRADA!$Z201&amp;"")</f>
      </c>
      <c r="G201" s="67">
        <f>IF(B201="","",N(ENTRADA!$G201))</f>
      </c>
      <c r="H201" s="67">
        <f>IF(B201="","",N(ENTRADA!$H201))</f>
      </c>
      <c r="I201" s="67">
        <f>IF(B201="","",N(ENTRADA!$I201))</f>
      </c>
      <c r="J201" s="68">
        <f>IF(B201="","",G201+H201+I201)</f>
      </c>
      <c r="K201" s="60">
        <f>IF(B201="","",IFERROR(MATCH(SUMPRODUCT(MAX((PRECIOS!$A$6:$A$55&lt;=C201)*PRECIOS!$A$6:$A$55)),PRECIOS!$A$6:$A$55,0),1))</f>
      </c>
      <c r="L201" s="69">
        <f>IF(B201="","",INDEX(PRECIOS!$A$6:$A$55,K201))</f>
      </c>
      <c r="M201" s="37">
        <f>IF(B201="","",G201*INDEX(PRECIOS!$B$6:$B$55,K201))</f>
      </c>
      <c r="N201" s="37">
        <f>IF(B201="","",H201*INDEX(PRECIOS!$C$6:$C$55,K201))</f>
      </c>
      <c r="O201" s="37">
        <f>IF(B201="","",I201*INDEX(PRECIOS!$D$6:$D$55,K201))</f>
      </c>
      <c r="P201" s="37">
        <f>IF(B201="","",N(ENTRADA!$X201))</f>
      </c>
      <c r="Q201" s="70">
        <f>IF(B201="","",M201+N201+O201+P201)</f>
      </c>
      <c r="R201" s="71">
        <f>IF(B201="","",IF(ENTRADA!$J201="",Std_Viajes_Puerto,ENTRADA!$J201))</f>
      </c>
      <c r="S201" s="37">
        <f>IF(B201="","",R201*INDEX(PRECIOS!$F$6:$F$55,K201))</f>
      </c>
      <c r="T201" s="71">
        <f>IF(B201="","",R201*Litros_Puerto_Viaje)</f>
      </c>
      <c r="U201" s="71">
        <f>IF(B201="","",IF(ENTRADA!$K201="",T201,ENTRADA!$K201))</f>
      </c>
      <c r="V201" s="37">
        <f>IF(B201="","",U201*INDEX(PRECIOS!$E$6:$E$55,K201))</f>
      </c>
      <c r="W201" s="37">
        <f>IF(B201="","",IF(ENTRADA!$L201="",R201*INDEX(PRECIOS!$G$6:$G$55,K201),ENTRADA!$L201))</f>
      </c>
      <c r="X201" s="37">
        <f>IF(B201="","",R201*Km_Puerto_Viaje*INDEX(PRECIOS!$N$6:$N$55,K201))</f>
      </c>
      <c r="Y201" s="70">
        <f>IF(B201="","",S201+V201+W201+X201)</f>
      </c>
      <c r="Z201" s="71">
        <f>IF(B201="","",IF(J201=0,0,ROUNDUP(J201/Rend_Desagrupe,0)))</f>
      </c>
      <c r="AA201" s="71">
        <f>IF(B201="","",IF(ENTRADA!$M201="",Z201,ENTRADA!$M201))</f>
      </c>
      <c r="AB201" s="37">
        <f>IF(B201="","",AA201*INDEX(PRECIOS!$H$6:$H$55,K201))</f>
      </c>
      <c r="AC201" s="37">
        <f>IF(B201="","",IF(E201="ENCI",INDEX(PRECIOS!$J$6:$J$55,K201),IF(E201="A.V",INDEX(PRECIOS!$K$6:$K$55,K201),0)))</f>
      </c>
      <c r="AD201" s="37">
        <f>IF(B201="","",N(ENTRADA!$N201))</f>
      </c>
      <c r="AE201" s="70">
        <f>IF(B201="","",AB201+AC201+AD201)</f>
      </c>
      <c r="AF201" s="71">
        <f>IF(B201="","",IF(G201=0,0,ROUNDUP(G201/Cap_Camion_OCC,0)))</f>
      </c>
      <c r="AG201" s="71">
        <f>IF(B201="","",AF201*L_Dist_OCC)</f>
      </c>
      <c r="AH201" s="71">
        <f>IF(B201="","",IF(ENTRADA!$O201="",AG201,ENTRADA!$O201))</f>
      </c>
      <c r="AI201" s="37">
        <f>IF(B201="","",AH201*INDEX(PRECIOS!$E$6:$E$55,K201))</f>
      </c>
      <c r="AJ201" s="71">
        <f>IF(B201="","",IF(H201=0,0,ROUNDUP(H201/Cap_Camion_CEN,0)))</f>
      </c>
      <c r="AK201" s="71">
        <f>IF(B201="","",AJ201*L_Tras_CEN)</f>
      </c>
      <c r="AL201" s="71">
        <f>IF(B201="","",IF(ENTRADA!$P201="",AK201,ENTRADA!$P201))</f>
      </c>
      <c r="AM201" s="71">
        <f>IF(B201="","",AJ201*L_Dist_CEN)</f>
      </c>
      <c r="AN201" s="71">
        <f>IF(B201="","",IF(ENTRADA!$Q201="",AM201,ENTRADA!$Q201))</f>
      </c>
      <c r="AO201" s="37">
        <f>IF(B201="","",(AL201+AN201)*INDEX(PRECIOS!$E$6:$E$55,K201))</f>
      </c>
      <c r="AP201" s="71">
        <f>IF(B201="","",IF(H201=0,0,ROUNDUP(H201/Rend_Desagrupe_CT,0)))</f>
      </c>
      <c r="AQ201" s="71">
        <f>IF(B201="","",IF(ENTRADA!$R201="",AP201,ENTRADA!$R201))</f>
      </c>
      <c r="AR201" s="37">
        <f>IF(B201="","",AQ201*INDEX(PRECIOS!$I$6:$I$55,K201))</f>
      </c>
      <c r="AS201" s="37">
        <f>IF(B201="","",AO201+AR201)</f>
      </c>
      <c r="AT201" s="71">
        <f>IF(B201="","",IF(I201=0,0,ROUNDUP(I201/Cap_Camion_ORI,0)))</f>
      </c>
      <c r="AU201" s="71">
        <f>IF(B201="","",AT201*L_Tras_ORI)</f>
      </c>
      <c r="AV201" s="71">
        <f>IF(B201="","",IF(ENTRADA!$S201="",AU201,ENTRADA!$S201))</f>
      </c>
      <c r="AW201" s="71">
        <f>IF(B201="","",AT201*L_Dist_ORI)</f>
      </c>
      <c r="AX201" s="71">
        <f>IF(B201="","",IF(ENTRADA!$T201="",AW201,ENTRADA!$T201))</f>
      </c>
      <c r="AY201" s="37">
        <f>IF(B201="","",(AV201+AX201)*INDEX(PRECIOS!$E$6:$E$55,K201))</f>
      </c>
      <c r="AZ201" s="71">
        <f>IF(B201="","",IF(I201=0,0,ROUNDUP(I201/Rend_Desagrupe_CT,0)))</f>
      </c>
      <c r="BA201" s="71">
        <f>IF(B201="","",IF(ENTRADA!$U201="",AZ201,ENTRADA!$U201))</f>
      </c>
      <c r="BB201" s="37">
        <f>IF(B201="","",BA201*INDEX(PRECIOS!$I$6:$I$55,K201))</f>
      </c>
      <c r="BC201" s="37">
        <f>IF(B201="","",AY201+BB201)</f>
      </c>
      <c r="BD201" s="70">
        <f>IF(B201="","",AI201+AS201+BC201)</f>
      </c>
      <c r="BE201" s="37">
        <f>IF(B201="","",IF(Base_Comision="% DEL INGRESO",M201*INDEX(PRECIOS!$L$6:$L$55,K201),G201*INDEX(PRECIOS!$M$6:$M$55,K201)))</f>
      </c>
      <c r="BF201" s="37">
        <f>IF(B201="","",IF(Base_Comision="% DEL INGRESO",N201*INDEX(PRECIOS!$L$6:$L$55,K201),H201*INDEX(PRECIOS!$M$6:$M$55,K201)))</f>
      </c>
      <c r="BG201" s="37">
        <f>IF(B201="","",IF(Base_Comision="% DEL INGRESO",O201*INDEX(PRECIOS!$L$6:$L$55,K201),I201*INDEX(PRECIOS!$M$6:$M$55,K201)))</f>
      </c>
      <c r="BH201" s="70">
        <f>IF(B201="","",BE201+BF201+BG201)</f>
      </c>
      <c r="BI201" s="37">
        <f>IF(B201="","",Q201*Pct_Reclamaciones)</f>
      </c>
      <c r="BJ201" s="37">
        <f>IF(B201="","",Q201*Pct_Banco)</f>
      </c>
      <c r="BK201" s="37">
        <f>IF(B201="","",N(ENTRADA!$V201))</f>
      </c>
      <c r="BL201" s="70">
        <f>IF(B201="","",Y201+AE201+BD201+BH201+BI201+BJ201+BK201)</f>
      </c>
      <c r="BM201" s="70">
        <f>IF(B201="","",Q201-BL201)</f>
      </c>
      <c r="BN201" s="72">
        <f>IF(B201="","",IF(Q201=0,0,BM201/Q201))</f>
      </c>
      <c r="BO201" s="73">
        <f>IF(B201="","",IF(J201=0,0,BM201/J201))</f>
      </c>
      <c r="BP201" s="60">
        <f>IF(B201="","",IFERROR(MATCH(D201,COSTOS_FIJOS!$G$5:$AD$5,0),0))</f>
      </c>
      <c r="BQ201" s="60">
        <f>IF(B201="","",COUNTIFS($D$6:$D$305,D201))</f>
      </c>
      <c r="BR201" s="67">
        <f>IF(B201="","",SUMIFS($J$6:$J$305,$D$6:$D$305,D201))</f>
      </c>
      <c r="BS201" s="72">
        <f>IF(B201="","",IF(Metodo_Prorrateo="KG",IF(BR201=0,0,J201/BR201),1/BQ201))</f>
      </c>
      <c r="BT201" s="37">
        <f>IF(B201="","",IF(BP201=0,0,INDEX(COSTOS_FIJOS!$G$38:$AD$38,BP201))*BS201)</f>
      </c>
      <c r="BU201" s="72">
        <f>IF(B201="","",IF(Metodo_Prorrateo="KG",IF(SUMIFS($G$6:$G$305,$D$6:$D$305,D201)=0,0,G201/SUMIFS($G$6:$G$305,$D$6:$D$305,D201)),IF(G201&gt;0,1/COUNTIFS($D$6:$D$305,D201,$G$6:$G$305,"&gt;0"),0)))</f>
      </c>
      <c r="BV201" s="37">
        <f>IF(B201="","",IF(BP201=0,0,INDEX(COSTOS_FIJOS!$G$39:$AD$39,BP201))*BU201)</f>
      </c>
      <c r="BW201" s="72">
        <f>IF(B201="","",IF(Metodo_Prorrateo="KG",IF(SUMIFS($H$6:$H$305,$D$6:$D$305,D201)=0,0,H201/SUMIFS($H$6:$H$305,$D$6:$D$305,D201)),IF(H201&gt;0,1/COUNTIFS($D$6:$D$305,D201,$H$6:$H$305,"&gt;0"),0)))</f>
      </c>
      <c r="BX201" s="37">
        <f>IF(B201="","",IF(BP201=0,0,INDEX(COSTOS_FIJOS!$G$40:$AD$40,BP201))*BW201)</f>
      </c>
      <c r="BY201" s="72">
        <f>IF(B201="","",IF(Metodo_Prorrateo="KG",IF(SUMIFS($I$6:$I$305,$D$6:$D$305,D201)=0,0,I201/SUMIFS($I$6:$I$305,$D$6:$D$305,D201)),IF(I201&gt;0,1/COUNTIFS($D$6:$D$305,D201,$I$6:$I$305,"&gt;0"),0)))</f>
      </c>
      <c r="BZ201" s="37">
        <f>IF(B201="","",IF(BP201=0,0,INDEX(COSTOS_FIJOS!$G$41:$AD$41,BP201))*BY201)</f>
      </c>
      <c r="CA201" s="70">
        <f>IF(B201="","",BT201+BV201+BX201+BZ201)</f>
      </c>
      <c r="CB201" s="37">
        <f>IF(B201="","",Q201*Imp_Ventas_Serv)</f>
      </c>
      <c r="CC201" s="37">
        <f>IF(B201="","",Q201*Contrib_Territorial)</f>
      </c>
      <c r="CD201" s="70">
        <f>IF(B201="","",BM201-CA201-CB201-CC201)</f>
      </c>
      <c r="CE201" s="37">
        <f>IF(B201="","",MAX(0,CD201)*Imp_Utilidades)</f>
      </c>
      <c r="CF201" s="70">
        <f>IF(B201="","",CD201-CE201)</f>
      </c>
      <c r="CG201" s="72">
        <f>IF(B201="","",IF(Q201=0,0,CF201/Q201))</f>
      </c>
      <c r="CH201" s="73">
        <f>IF(B201="","",IF(J201=0,0,(BL201+CA201+CB201+CC201)/J201))</f>
      </c>
      <c r="CI201" s="73">
        <f>IF(B201="","",IF(J201=0,0,Q201/J201))</f>
      </c>
      <c r="CJ201" s="73">
        <f>IF(B201="","",IF(J201=0,0,CD201/J201))</f>
      </c>
      <c r="CK201" s="37">
        <f>IF(B201="","",Y201+AE201+BK201+BT201)</f>
      </c>
      <c r="CL201" s="37">
        <f>IF(B201="","",IF(J201=0,0,(M201+P201*G201/J201)*(1-Pct_Reclamaciones-Pct_Banco-Imp_Ventas_Serv-Contrib_Territorial)-AI201-BE201-BV201-CK201*G201/J201))</f>
      </c>
      <c r="CM201" s="37">
        <f>IF(B201="","",IF(J201=0,0,(N201+P201*H201/J201)*(1-Pct_Reclamaciones-Pct_Banco-Imp_Ventas_Serv-Contrib_Territorial)-AS201-BF201-BX201-CK201*H201/J201))</f>
      </c>
      <c r="CN201" s="37">
        <f>IF(B201="","",IF(J201=0,0,(O201+P201*I201/J201)*(1-Pct_Reclamaciones-Pct_Banco-Imp_Ventas_Serv-Contrib_Territorial)-BC201-BG201-BZ201-CK201*I201/J201))</f>
      </c>
      <c r="CO201" s="37">
        <f>IF(B201="","",IF(J201=0,0,ROUND(CD201-CL201-CM201-CN201,4)))</f>
      </c>
      <c r="CP201" s="71">
        <f>IF(B201="","",T201+AG201+AK201+AM201+AU201+AW201)</f>
      </c>
      <c r="CQ201" s="71">
        <f>IF(B201="","",U201+AH201+AL201+AN201+AV201+AX201)</f>
      </c>
      <c r="CR201" s="72">
        <f>IF(B201="","",IF(CP201=0,0,CQ201/CP201-1))</f>
      </c>
      <c r="CS201" s="60">
        <f>IF(B201="","",IF(ENTRADA!$Y201="","",ENTRADA!$Y201-C201))</f>
      </c>
      <c r="CT201" s="66">
        <f>IF(B201="","",IF(ENTRADA!$C201="","Falta fecha. ","")&amp;IF(BP201=0,"Mes fuera del rango de COSTOS_FIJOS. ","")&amp;IF(J201=0,"Sin kg. ","")&amp;IF(E201="","Falta transitaria. ","")&amp;IF(AND(T201&gt;0,U201/T201-1&gt;Tolerancia_Comb),"Combustible al puerto "&amp;TEXT(U201/T201-1,"+0%")&amp;" sobre norma. ","")&amp;IF(AND(AG201&gt;0,AH201/AG201-1&gt;Tolerancia_Comb),"Combustible distribución Occidente "&amp;TEXT(AH201/AG201-1,"+0%")&amp;" sobre norma. ","")&amp;IF(AND(AK201&gt;0,AL201/AK201-1&gt;Tolerancia_Comb),"Combustible traslado Centro "&amp;TEXT(AL201/AK201-1,"+0%")&amp;" sobre norma. ","")&amp;IF(AND(AM201&gt;0,AN201/AM201-1&gt;Tolerancia_Comb),"Combustible distribución Centro "&amp;TEXT(AN201/AM201-1,"+0%")&amp;" sobre norma. ","")&amp;IF(AND(AU201&gt;0,AV201/AU201-1&gt;Tolerancia_Comb),"Combustible traslado Oriente "&amp;TEXT(AV201/AU201-1,"+0%")&amp;" sobre norma. ","")&amp;IF(AND(AW201&gt;0,AX201/AW201-1&gt;Tolerancia_Comb),"Combustible distribución Oriente "&amp;TEXT(AX201/AW201-1,"+0%")&amp;" sobre norma. ","")&amp;IF(AND(ENTRADA!$C201&lt;&gt;"",C201&lt;PRECIOS!$A$6),"Fecha anterior a la 1ª vigencia de precios. ","")&amp;IF(CD201&lt;0,"Contenedor con pérdida. ",""))</f>
      </c>
    </row>
    <row r="202">
      <c r="A202" s="60">
        <f>IF(B202="","",ROW()-5)</f>
      </c>
      <c r="B202" s="63">
        <f>IF(ENTRADA!$B202="","",ENTRADA!$B202)</f>
      </c>
      <c r="C202" s="64">
        <f>IF(B202="","",ENTRADA!$C202)</f>
      </c>
      <c r="D202" s="65">
        <f>IF(B202="","",DATE(YEAR(C202),MONTH(C202),1))</f>
      </c>
      <c r="E202" s="66">
        <f>IF(B202="","",ENTRADA!$D202&amp;"")</f>
      </c>
      <c r="F202" s="66">
        <f>IF(B202="","",ENTRADA!$Z202&amp;"")</f>
      </c>
      <c r="G202" s="67">
        <f>IF(B202="","",N(ENTRADA!$G202))</f>
      </c>
      <c r="H202" s="67">
        <f>IF(B202="","",N(ENTRADA!$H202))</f>
      </c>
      <c r="I202" s="67">
        <f>IF(B202="","",N(ENTRADA!$I202))</f>
      </c>
      <c r="J202" s="68">
        <f>IF(B202="","",G202+H202+I202)</f>
      </c>
      <c r="K202" s="60">
        <f>IF(B202="","",IFERROR(MATCH(SUMPRODUCT(MAX((PRECIOS!$A$6:$A$55&lt;=C202)*PRECIOS!$A$6:$A$55)),PRECIOS!$A$6:$A$55,0),1))</f>
      </c>
      <c r="L202" s="69">
        <f>IF(B202="","",INDEX(PRECIOS!$A$6:$A$55,K202))</f>
      </c>
      <c r="M202" s="37">
        <f>IF(B202="","",G202*INDEX(PRECIOS!$B$6:$B$55,K202))</f>
      </c>
      <c r="N202" s="37">
        <f>IF(B202="","",H202*INDEX(PRECIOS!$C$6:$C$55,K202))</f>
      </c>
      <c r="O202" s="37">
        <f>IF(B202="","",I202*INDEX(PRECIOS!$D$6:$D$55,K202))</f>
      </c>
      <c r="P202" s="37">
        <f>IF(B202="","",N(ENTRADA!$X202))</f>
      </c>
      <c r="Q202" s="70">
        <f>IF(B202="","",M202+N202+O202+P202)</f>
      </c>
      <c r="R202" s="71">
        <f>IF(B202="","",IF(ENTRADA!$J202="",Std_Viajes_Puerto,ENTRADA!$J202))</f>
      </c>
      <c r="S202" s="37">
        <f>IF(B202="","",R202*INDEX(PRECIOS!$F$6:$F$55,K202))</f>
      </c>
      <c r="T202" s="71">
        <f>IF(B202="","",R202*Litros_Puerto_Viaje)</f>
      </c>
      <c r="U202" s="71">
        <f>IF(B202="","",IF(ENTRADA!$K202="",T202,ENTRADA!$K202))</f>
      </c>
      <c r="V202" s="37">
        <f>IF(B202="","",U202*INDEX(PRECIOS!$E$6:$E$55,K202))</f>
      </c>
      <c r="W202" s="37">
        <f>IF(B202="","",IF(ENTRADA!$L202="",R202*INDEX(PRECIOS!$G$6:$G$55,K202),ENTRADA!$L202))</f>
      </c>
      <c r="X202" s="37">
        <f>IF(B202="","",R202*Km_Puerto_Viaje*INDEX(PRECIOS!$N$6:$N$55,K202))</f>
      </c>
      <c r="Y202" s="70">
        <f>IF(B202="","",S202+V202+W202+X202)</f>
      </c>
      <c r="Z202" s="71">
        <f>IF(B202="","",IF(J202=0,0,ROUNDUP(J202/Rend_Desagrupe,0)))</f>
      </c>
      <c r="AA202" s="71">
        <f>IF(B202="","",IF(ENTRADA!$M202="",Z202,ENTRADA!$M202))</f>
      </c>
      <c r="AB202" s="37">
        <f>IF(B202="","",AA202*INDEX(PRECIOS!$H$6:$H$55,K202))</f>
      </c>
      <c r="AC202" s="37">
        <f>IF(B202="","",IF(E202="ENCI",INDEX(PRECIOS!$J$6:$J$55,K202),IF(E202="A.V",INDEX(PRECIOS!$K$6:$K$55,K202),0)))</f>
      </c>
      <c r="AD202" s="37">
        <f>IF(B202="","",N(ENTRADA!$N202))</f>
      </c>
      <c r="AE202" s="70">
        <f>IF(B202="","",AB202+AC202+AD202)</f>
      </c>
      <c r="AF202" s="71">
        <f>IF(B202="","",IF(G202=0,0,ROUNDUP(G202/Cap_Camion_OCC,0)))</f>
      </c>
      <c r="AG202" s="71">
        <f>IF(B202="","",AF202*L_Dist_OCC)</f>
      </c>
      <c r="AH202" s="71">
        <f>IF(B202="","",IF(ENTRADA!$O202="",AG202,ENTRADA!$O202))</f>
      </c>
      <c r="AI202" s="37">
        <f>IF(B202="","",AH202*INDEX(PRECIOS!$E$6:$E$55,K202))</f>
      </c>
      <c r="AJ202" s="71">
        <f>IF(B202="","",IF(H202=0,0,ROUNDUP(H202/Cap_Camion_CEN,0)))</f>
      </c>
      <c r="AK202" s="71">
        <f>IF(B202="","",AJ202*L_Tras_CEN)</f>
      </c>
      <c r="AL202" s="71">
        <f>IF(B202="","",IF(ENTRADA!$P202="",AK202,ENTRADA!$P202))</f>
      </c>
      <c r="AM202" s="71">
        <f>IF(B202="","",AJ202*L_Dist_CEN)</f>
      </c>
      <c r="AN202" s="71">
        <f>IF(B202="","",IF(ENTRADA!$Q202="",AM202,ENTRADA!$Q202))</f>
      </c>
      <c r="AO202" s="37">
        <f>IF(B202="","",(AL202+AN202)*INDEX(PRECIOS!$E$6:$E$55,K202))</f>
      </c>
      <c r="AP202" s="71">
        <f>IF(B202="","",IF(H202=0,0,ROUNDUP(H202/Rend_Desagrupe_CT,0)))</f>
      </c>
      <c r="AQ202" s="71">
        <f>IF(B202="","",IF(ENTRADA!$R202="",AP202,ENTRADA!$R202))</f>
      </c>
      <c r="AR202" s="37">
        <f>IF(B202="","",AQ202*INDEX(PRECIOS!$I$6:$I$55,K202))</f>
      </c>
      <c r="AS202" s="37">
        <f>IF(B202="","",AO202+AR202)</f>
      </c>
      <c r="AT202" s="71">
        <f>IF(B202="","",IF(I202=0,0,ROUNDUP(I202/Cap_Camion_ORI,0)))</f>
      </c>
      <c r="AU202" s="71">
        <f>IF(B202="","",AT202*L_Tras_ORI)</f>
      </c>
      <c r="AV202" s="71">
        <f>IF(B202="","",IF(ENTRADA!$S202="",AU202,ENTRADA!$S202))</f>
      </c>
      <c r="AW202" s="71">
        <f>IF(B202="","",AT202*L_Dist_ORI)</f>
      </c>
      <c r="AX202" s="71">
        <f>IF(B202="","",IF(ENTRADA!$T202="",AW202,ENTRADA!$T202))</f>
      </c>
      <c r="AY202" s="37">
        <f>IF(B202="","",(AV202+AX202)*INDEX(PRECIOS!$E$6:$E$55,K202))</f>
      </c>
      <c r="AZ202" s="71">
        <f>IF(B202="","",IF(I202=0,0,ROUNDUP(I202/Rend_Desagrupe_CT,0)))</f>
      </c>
      <c r="BA202" s="71">
        <f>IF(B202="","",IF(ENTRADA!$U202="",AZ202,ENTRADA!$U202))</f>
      </c>
      <c r="BB202" s="37">
        <f>IF(B202="","",BA202*INDEX(PRECIOS!$I$6:$I$55,K202))</f>
      </c>
      <c r="BC202" s="37">
        <f>IF(B202="","",AY202+BB202)</f>
      </c>
      <c r="BD202" s="70">
        <f>IF(B202="","",AI202+AS202+BC202)</f>
      </c>
      <c r="BE202" s="37">
        <f>IF(B202="","",IF(Base_Comision="% DEL INGRESO",M202*INDEX(PRECIOS!$L$6:$L$55,K202),G202*INDEX(PRECIOS!$M$6:$M$55,K202)))</f>
      </c>
      <c r="BF202" s="37">
        <f>IF(B202="","",IF(Base_Comision="% DEL INGRESO",N202*INDEX(PRECIOS!$L$6:$L$55,K202),H202*INDEX(PRECIOS!$M$6:$M$55,K202)))</f>
      </c>
      <c r="BG202" s="37">
        <f>IF(B202="","",IF(Base_Comision="% DEL INGRESO",O202*INDEX(PRECIOS!$L$6:$L$55,K202),I202*INDEX(PRECIOS!$M$6:$M$55,K202)))</f>
      </c>
      <c r="BH202" s="70">
        <f>IF(B202="","",BE202+BF202+BG202)</f>
      </c>
      <c r="BI202" s="37">
        <f>IF(B202="","",Q202*Pct_Reclamaciones)</f>
      </c>
      <c r="BJ202" s="37">
        <f>IF(B202="","",Q202*Pct_Banco)</f>
      </c>
      <c r="BK202" s="37">
        <f>IF(B202="","",N(ENTRADA!$V202))</f>
      </c>
      <c r="BL202" s="70">
        <f>IF(B202="","",Y202+AE202+BD202+BH202+BI202+BJ202+BK202)</f>
      </c>
      <c r="BM202" s="70">
        <f>IF(B202="","",Q202-BL202)</f>
      </c>
      <c r="BN202" s="72">
        <f>IF(B202="","",IF(Q202=0,0,BM202/Q202))</f>
      </c>
      <c r="BO202" s="73">
        <f>IF(B202="","",IF(J202=0,0,BM202/J202))</f>
      </c>
      <c r="BP202" s="60">
        <f>IF(B202="","",IFERROR(MATCH(D202,COSTOS_FIJOS!$G$5:$AD$5,0),0))</f>
      </c>
      <c r="BQ202" s="60">
        <f>IF(B202="","",COUNTIFS($D$6:$D$305,D202))</f>
      </c>
      <c r="BR202" s="67">
        <f>IF(B202="","",SUMIFS($J$6:$J$305,$D$6:$D$305,D202))</f>
      </c>
      <c r="BS202" s="72">
        <f>IF(B202="","",IF(Metodo_Prorrateo="KG",IF(BR202=0,0,J202/BR202),1/BQ202))</f>
      </c>
      <c r="BT202" s="37">
        <f>IF(B202="","",IF(BP202=0,0,INDEX(COSTOS_FIJOS!$G$38:$AD$38,BP202))*BS202)</f>
      </c>
      <c r="BU202" s="72">
        <f>IF(B202="","",IF(Metodo_Prorrateo="KG",IF(SUMIFS($G$6:$G$305,$D$6:$D$305,D202)=0,0,G202/SUMIFS($G$6:$G$305,$D$6:$D$305,D202)),IF(G202&gt;0,1/COUNTIFS($D$6:$D$305,D202,$G$6:$G$305,"&gt;0"),0)))</f>
      </c>
      <c r="BV202" s="37">
        <f>IF(B202="","",IF(BP202=0,0,INDEX(COSTOS_FIJOS!$G$39:$AD$39,BP202))*BU202)</f>
      </c>
      <c r="BW202" s="72">
        <f>IF(B202="","",IF(Metodo_Prorrateo="KG",IF(SUMIFS($H$6:$H$305,$D$6:$D$305,D202)=0,0,H202/SUMIFS($H$6:$H$305,$D$6:$D$305,D202)),IF(H202&gt;0,1/COUNTIFS($D$6:$D$305,D202,$H$6:$H$305,"&gt;0"),0)))</f>
      </c>
      <c r="BX202" s="37">
        <f>IF(B202="","",IF(BP202=0,0,INDEX(COSTOS_FIJOS!$G$40:$AD$40,BP202))*BW202)</f>
      </c>
      <c r="BY202" s="72">
        <f>IF(B202="","",IF(Metodo_Prorrateo="KG",IF(SUMIFS($I$6:$I$305,$D$6:$D$305,D202)=0,0,I202/SUMIFS($I$6:$I$305,$D$6:$D$305,D202)),IF(I202&gt;0,1/COUNTIFS($D$6:$D$305,D202,$I$6:$I$305,"&gt;0"),0)))</f>
      </c>
      <c r="BZ202" s="37">
        <f>IF(B202="","",IF(BP202=0,0,INDEX(COSTOS_FIJOS!$G$41:$AD$41,BP202))*BY202)</f>
      </c>
      <c r="CA202" s="70">
        <f>IF(B202="","",BT202+BV202+BX202+BZ202)</f>
      </c>
      <c r="CB202" s="37">
        <f>IF(B202="","",Q202*Imp_Ventas_Serv)</f>
      </c>
      <c r="CC202" s="37">
        <f>IF(B202="","",Q202*Contrib_Territorial)</f>
      </c>
      <c r="CD202" s="70">
        <f>IF(B202="","",BM202-CA202-CB202-CC202)</f>
      </c>
      <c r="CE202" s="37">
        <f>IF(B202="","",MAX(0,CD202)*Imp_Utilidades)</f>
      </c>
      <c r="CF202" s="70">
        <f>IF(B202="","",CD202-CE202)</f>
      </c>
      <c r="CG202" s="72">
        <f>IF(B202="","",IF(Q202=0,0,CF202/Q202))</f>
      </c>
      <c r="CH202" s="73">
        <f>IF(B202="","",IF(J202=0,0,(BL202+CA202+CB202+CC202)/J202))</f>
      </c>
      <c r="CI202" s="73">
        <f>IF(B202="","",IF(J202=0,0,Q202/J202))</f>
      </c>
      <c r="CJ202" s="73">
        <f>IF(B202="","",IF(J202=0,0,CD202/J202))</f>
      </c>
      <c r="CK202" s="37">
        <f>IF(B202="","",Y202+AE202+BK202+BT202)</f>
      </c>
      <c r="CL202" s="37">
        <f>IF(B202="","",IF(J202=0,0,(M202+P202*G202/J202)*(1-Pct_Reclamaciones-Pct_Banco-Imp_Ventas_Serv-Contrib_Territorial)-AI202-BE202-BV202-CK202*G202/J202))</f>
      </c>
      <c r="CM202" s="37">
        <f>IF(B202="","",IF(J202=0,0,(N202+P202*H202/J202)*(1-Pct_Reclamaciones-Pct_Banco-Imp_Ventas_Serv-Contrib_Territorial)-AS202-BF202-BX202-CK202*H202/J202))</f>
      </c>
      <c r="CN202" s="37">
        <f>IF(B202="","",IF(J202=0,0,(O202+P202*I202/J202)*(1-Pct_Reclamaciones-Pct_Banco-Imp_Ventas_Serv-Contrib_Territorial)-BC202-BG202-BZ202-CK202*I202/J202))</f>
      </c>
      <c r="CO202" s="37">
        <f>IF(B202="","",IF(J202=0,0,ROUND(CD202-CL202-CM202-CN202,4)))</f>
      </c>
      <c r="CP202" s="71">
        <f>IF(B202="","",T202+AG202+AK202+AM202+AU202+AW202)</f>
      </c>
      <c r="CQ202" s="71">
        <f>IF(B202="","",U202+AH202+AL202+AN202+AV202+AX202)</f>
      </c>
      <c r="CR202" s="72">
        <f>IF(B202="","",IF(CP202=0,0,CQ202/CP202-1))</f>
      </c>
      <c r="CS202" s="60">
        <f>IF(B202="","",IF(ENTRADA!$Y202="","",ENTRADA!$Y202-C202))</f>
      </c>
      <c r="CT202" s="66">
        <f>IF(B202="","",IF(ENTRADA!$C202="","Falta fecha. ","")&amp;IF(BP202=0,"Mes fuera del rango de COSTOS_FIJOS. ","")&amp;IF(J202=0,"Sin kg. ","")&amp;IF(E202="","Falta transitaria. ","")&amp;IF(AND(T202&gt;0,U202/T202-1&gt;Tolerancia_Comb),"Combustible al puerto "&amp;TEXT(U202/T202-1,"+0%")&amp;" sobre norma. ","")&amp;IF(AND(AG202&gt;0,AH202/AG202-1&gt;Tolerancia_Comb),"Combustible distribución Occidente "&amp;TEXT(AH202/AG202-1,"+0%")&amp;" sobre norma. ","")&amp;IF(AND(AK202&gt;0,AL202/AK202-1&gt;Tolerancia_Comb),"Combustible traslado Centro "&amp;TEXT(AL202/AK202-1,"+0%")&amp;" sobre norma. ","")&amp;IF(AND(AM202&gt;0,AN202/AM202-1&gt;Tolerancia_Comb),"Combustible distribución Centro "&amp;TEXT(AN202/AM202-1,"+0%")&amp;" sobre norma. ","")&amp;IF(AND(AU202&gt;0,AV202/AU202-1&gt;Tolerancia_Comb),"Combustible traslado Oriente "&amp;TEXT(AV202/AU202-1,"+0%")&amp;" sobre norma. ","")&amp;IF(AND(AW202&gt;0,AX202/AW202-1&gt;Tolerancia_Comb),"Combustible distribución Oriente "&amp;TEXT(AX202/AW202-1,"+0%")&amp;" sobre norma. ","")&amp;IF(AND(ENTRADA!$C202&lt;&gt;"",C202&lt;PRECIOS!$A$6),"Fecha anterior a la 1ª vigencia de precios. ","")&amp;IF(CD202&lt;0,"Contenedor con pérdida. ",""))</f>
      </c>
    </row>
    <row r="203">
      <c r="A203" s="60">
        <f>IF(B203="","",ROW()-5)</f>
      </c>
      <c r="B203" s="63">
        <f>IF(ENTRADA!$B203="","",ENTRADA!$B203)</f>
      </c>
      <c r="C203" s="64">
        <f>IF(B203="","",ENTRADA!$C203)</f>
      </c>
      <c r="D203" s="65">
        <f>IF(B203="","",DATE(YEAR(C203),MONTH(C203),1))</f>
      </c>
      <c r="E203" s="66">
        <f>IF(B203="","",ENTRADA!$D203&amp;"")</f>
      </c>
      <c r="F203" s="66">
        <f>IF(B203="","",ENTRADA!$Z203&amp;"")</f>
      </c>
      <c r="G203" s="67">
        <f>IF(B203="","",N(ENTRADA!$G203))</f>
      </c>
      <c r="H203" s="67">
        <f>IF(B203="","",N(ENTRADA!$H203))</f>
      </c>
      <c r="I203" s="67">
        <f>IF(B203="","",N(ENTRADA!$I203))</f>
      </c>
      <c r="J203" s="68">
        <f>IF(B203="","",G203+H203+I203)</f>
      </c>
      <c r="K203" s="60">
        <f>IF(B203="","",IFERROR(MATCH(SUMPRODUCT(MAX((PRECIOS!$A$6:$A$55&lt;=C203)*PRECIOS!$A$6:$A$55)),PRECIOS!$A$6:$A$55,0),1))</f>
      </c>
      <c r="L203" s="69">
        <f>IF(B203="","",INDEX(PRECIOS!$A$6:$A$55,K203))</f>
      </c>
      <c r="M203" s="37">
        <f>IF(B203="","",G203*INDEX(PRECIOS!$B$6:$B$55,K203))</f>
      </c>
      <c r="N203" s="37">
        <f>IF(B203="","",H203*INDEX(PRECIOS!$C$6:$C$55,K203))</f>
      </c>
      <c r="O203" s="37">
        <f>IF(B203="","",I203*INDEX(PRECIOS!$D$6:$D$55,K203))</f>
      </c>
      <c r="P203" s="37">
        <f>IF(B203="","",N(ENTRADA!$X203))</f>
      </c>
      <c r="Q203" s="70">
        <f>IF(B203="","",M203+N203+O203+P203)</f>
      </c>
      <c r="R203" s="71">
        <f>IF(B203="","",IF(ENTRADA!$J203="",Std_Viajes_Puerto,ENTRADA!$J203))</f>
      </c>
      <c r="S203" s="37">
        <f>IF(B203="","",R203*INDEX(PRECIOS!$F$6:$F$55,K203))</f>
      </c>
      <c r="T203" s="71">
        <f>IF(B203="","",R203*Litros_Puerto_Viaje)</f>
      </c>
      <c r="U203" s="71">
        <f>IF(B203="","",IF(ENTRADA!$K203="",T203,ENTRADA!$K203))</f>
      </c>
      <c r="V203" s="37">
        <f>IF(B203="","",U203*INDEX(PRECIOS!$E$6:$E$55,K203))</f>
      </c>
      <c r="W203" s="37">
        <f>IF(B203="","",IF(ENTRADA!$L203="",R203*INDEX(PRECIOS!$G$6:$G$55,K203),ENTRADA!$L203))</f>
      </c>
      <c r="X203" s="37">
        <f>IF(B203="","",R203*Km_Puerto_Viaje*INDEX(PRECIOS!$N$6:$N$55,K203))</f>
      </c>
      <c r="Y203" s="70">
        <f>IF(B203="","",S203+V203+W203+X203)</f>
      </c>
      <c r="Z203" s="71">
        <f>IF(B203="","",IF(J203=0,0,ROUNDUP(J203/Rend_Desagrupe,0)))</f>
      </c>
      <c r="AA203" s="71">
        <f>IF(B203="","",IF(ENTRADA!$M203="",Z203,ENTRADA!$M203))</f>
      </c>
      <c r="AB203" s="37">
        <f>IF(B203="","",AA203*INDEX(PRECIOS!$H$6:$H$55,K203))</f>
      </c>
      <c r="AC203" s="37">
        <f>IF(B203="","",IF(E203="ENCI",INDEX(PRECIOS!$J$6:$J$55,K203),IF(E203="A.V",INDEX(PRECIOS!$K$6:$K$55,K203),0)))</f>
      </c>
      <c r="AD203" s="37">
        <f>IF(B203="","",N(ENTRADA!$N203))</f>
      </c>
      <c r="AE203" s="70">
        <f>IF(B203="","",AB203+AC203+AD203)</f>
      </c>
      <c r="AF203" s="71">
        <f>IF(B203="","",IF(G203=0,0,ROUNDUP(G203/Cap_Camion_OCC,0)))</f>
      </c>
      <c r="AG203" s="71">
        <f>IF(B203="","",AF203*L_Dist_OCC)</f>
      </c>
      <c r="AH203" s="71">
        <f>IF(B203="","",IF(ENTRADA!$O203="",AG203,ENTRADA!$O203))</f>
      </c>
      <c r="AI203" s="37">
        <f>IF(B203="","",AH203*INDEX(PRECIOS!$E$6:$E$55,K203))</f>
      </c>
      <c r="AJ203" s="71">
        <f>IF(B203="","",IF(H203=0,0,ROUNDUP(H203/Cap_Camion_CEN,0)))</f>
      </c>
      <c r="AK203" s="71">
        <f>IF(B203="","",AJ203*L_Tras_CEN)</f>
      </c>
      <c r="AL203" s="71">
        <f>IF(B203="","",IF(ENTRADA!$P203="",AK203,ENTRADA!$P203))</f>
      </c>
      <c r="AM203" s="71">
        <f>IF(B203="","",AJ203*L_Dist_CEN)</f>
      </c>
      <c r="AN203" s="71">
        <f>IF(B203="","",IF(ENTRADA!$Q203="",AM203,ENTRADA!$Q203))</f>
      </c>
      <c r="AO203" s="37">
        <f>IF(B203="","",(AL203+AN203)*INDEX(PRECIOS!$E$6:$E$55,K203))</f>
      </c>
      <c r="AP203" s="71">
        <f>IF(B203="","",IF(H203=0,0,ROUNDUP(H203/Rend_Desagrupe_CT,0)))</f>
      </c>
      <c r="AQ203" s="71">
        <f>IF(B203="","",IF(ENTRADA!$R203="",AP203,ENTRADA!$R203))</f>
      </c>
      <c r="AR203" s="37">
        <f>IF(B203="","",AQ203*INDEX(PRECIOS!$I$6:$I$55,K203))</f>
      </c>
      <c r="AS203" s="37">
        <f>IF(B203="","",AO203+AR203)</f>
      </c>
      <c r="AT203" s="71">
        <f>IF(B203="","",IF(I203=0,0,ROUNDUP(I203/Cap_Camion_ORI,0)))</f>
      </c>
      <c r="AU203" s="71">
        <f>IF(B203="","",AT203*L_Tras_ORI)</f>
      </c>
      <c r="AV203" s="71">
        <f>IF(B203="","",IF(ENTRADA!$S203="",AU203,ENTRADA!$S203))</f>
      </c>
      <c r="AW203" s="71">
        <f>IF(B203="","",AT203*L_Dist_ORI)</f>
      </c>
      <c r="AX203" s="71">
        <f>IF(B203="","",IF(ENTRADA!$T203="",AW203,ENTRADA!$T203))</f>
      </c>
      <c r="AY203" s="37">
        <f>IF(B203="","",(AV203+AX203)*INDEX(PRECIOS!$E$6:$E$55,K203))</f>
      </c>
      <c r="AZ203" s="71">
        <f>IF(B203="","",IF(I203=0,0,ROUNDUP(I203/Rend_Desagrupe_CT,0)))</f>
      </c>
      <c r="BA203" s="71">
        <f>IF(B203="","",IF(ENTRADA!$U203="",AZ203,ENTRADA!$U203))</f>
      </c>
      <c r="BB203" s="37">
        <f>IF(B203="","",BA203*INDEX(PRECIOS!$I$6:$I$55,K203))</f>
      </c>
      <c r="BC203" s="37">
        <f>IF(B203="","",AY203+BB203)</f>
      </c>
      <c r="BD203" s="70">
        <f>IF(B203="","",AI203+AS203+BC203)</f>
      </c>
      <c r="BE203" s="37">
        <f>IF(B203="","",IF(Base_Comision="% DEL INGRESO",M203*INDEX(PRECIOS!$L$6:$L$55,K203),G203*INDEX(PRECIOS!$M$6:$M$55,K203)))</f>
      </c>
      <c r="BF203" s="37">
        <f>IF(B203="","",IF(Base_Comision="% DEL INGRESO",N203*INDEX(PRECIOS!$L$6:$L$55,K203),H203*INDEX(PRECIOS!$M$6:$M$55,K203)))</f>
      </c>
      <c r="BG203" s="37">
        <f>IF(B203="","",IF(Base_Comision="% DEL INGRESO",O203*INDEX(PRECIOS!$L$6:$L$55,K203),I203*INDEX(PRECIOS!$M$6:$M$55,K203)))</f>
      </c>
      <c r="BH203" s="70">
        <f>IF(B203="","",BE203+BF203+BG203)</f>
      </c>
      <c r="BI203" s="37">
        <f>IF(B203="","",Q203*Pct_Reclamaciones)</f>
      </c>
      <c r="BJ203" s="37">
        <f>IF(B203="","",Q203*Pct_Banco)</f>
      </c>
      <c r="BK203" s="37">
        <f>IF(B203="","",N(ENTRADA!$V203))</f>
      </c>
      <c r="BL203" s="70">
        <f>IF(B203="","",Y203+AE203+BD203+BH203+BI203+BJ203+BK203)</f>
      </c>
      <c r="BM203" s="70">
        <f>IF(B203="","",Q203-BL203)</f>
      </c>
      <c r="BN203" s="72">
        <f>IF(B203="","",IF(Q203=0,0,BM203/Q203))</f>
      </c>
      <c r="BO203" s="73">
        <f>IF(B203="","",IF(J203=0,0,BM203/J203))</f>
      </c>
      <c r="BP203" s="60">
        <f>IF(B203="","",IFERROR(MATCH(D203,COSTOS_FIJOS!$G$5:$AD$5,0),0))</f>
      </c>
      <c r="BQ203" s="60">
        <f>IF(B203="","",COUNTIFS($D$6:$D$305,D203))</f>
      </c>
      <c r="BR203" s="67">
        <f>IF(B203="","",SUMIFS($J$6:$J$305,$D$6:$D$305,D203))</f>
      </c>
      <c r="BS203" s="72">
        <f>IF(B203="","",IF(Metodo_Prorrateo="KG",IF(BR203=0,0,J203/BR203),1/BQ203))</f>
      </c>
      <c r="BT203" s="37">
        <f>IF(B203="","",IF(BP203=0,0,INDEX(COSTOS_FIJOS!$G$38:$AD$38,BP203))*BS203)</f>
      </c>
      <c r="BU203" s="72">
        <f>IF(B203="","",IF(Metodo_Prorrateo="KG",IF(SUMIFS($G$6:$G$305,$D$6:$D$305,D203)=0,0,G203/SUMIFS($G$6:$G$305,$D$6:$D$305,D203)),IF(G203&gt;0,1/COUNTIFS($D$6:$D$305,D203,$G$6:$G$305,"&gt;0"),0)))</f>
      </c>
      <c r="BV203" s="37">
        <f>IF(B203="","",IF(BP203=0,0,INDEX(COSTOS_FIJOS!$G$39:$AD$39,BP203))*BU203)</f>
      </c>
      <c r="BW203" s="72">
        <f>IF(B203="","",IF(Metodo_Prorrateo="KG",IF(SUMIFS($H$6:$H$305,$D$6:$D$305,D203)=0,0,H203/SUMIFS($H$6:$H$305,$D$6:$D$305,D203)),IF(H203&gt;0,1/COUNTIFS($D$6:$D$305,D203,$H$6:$H$305,"&gt;0"),0)))</f>
      </c>
      <c r="BX203" s="37">
        <f>IF(B203="","",IF(BP203=0,0,INDEX(COSTOS_FIJOS!$G$40:$AD$40,BP203))*BW203)</f>
      </c>
      <c r="BY203" s="72">
        <f>IF(B203="","",IF(Metodo_Prorrateo="KG",IF(SUMIFS($I$6:$I$305,$D$6:$D$305,D203)=0,0,I203/SUMIFS($I$6:$I$305,$D$6:$D$305,D203)),IF(I203&gt;0,1/COUNTIFS($D$6:$D$305,D203,$I$6:$I$305,"&gt;0"),0)))</f>
      </c>
      <c r="BZ203" s="37">
        <f>IF(B203="","",IF(BP203=0,0,INDEX(COSTOS_FIJOS!$G$41:$AD$41,BP203))*BY203)</f>
      </c>
      <c r="CA203" s="70">
        <f>IF(B203="","",BT203+BV203+BX203+BZ203)</f>
      </c>
      <c r="CB203" s="37">
        <f>IF(B203="","",Q203*Imp_Ventas_Serv)</f>
      </c>
      <c r="CC203" s="37">
        <f>IF(B203="","",Q203*Contrib_Territorial)</f>
      </c>
      <c r="CD203" s="70">
        <f>IF(B203="","",BM203-CA203-CB203-CC203)</f>
      </c>
      <c r="CE203" s="37">
        <f>IF(B203="","",MAX(0,CD203)*Imp_Utilidades)</f>
      </c>
      <c r="CF203" s="70">
        <f>IF(B203="","",CD203-CE203)</f>
      </c>
      <c r="CG203" s="72">
        <f>IF(B203="","",IF(Q203=0,0,CF203/Q203))</f>
      </c>
      <c r="CH203" s="73">
        <f>IF(B203="","",IF(J203=0,0,(BL203+CA203+CB203+CC203)/J203))</f>
      </c>
      <c r="CI203" s="73">
        <f>IF(B203="","",IF(J203=0,0,Q203/J203))</f>
      </c>
      <c r="CJ203" s="73">
        <f>IF(B203="","",IF(J203=0,0,CD203/J203))</f>
      </c>
      <c r="CK203" s="37">
        <f>IF(B203="","",Y203+AE203+BK203+BT203)</f>
      </c>
      <c r="CL203" s="37">
        <f>IF(B203="","",IF(J203=0,0,(M203+P203*G203/J203)*(1-Pct_Reclamaciones-Pct_Banco-Imp_Ventas_Serv-Contrib_Territorial)-AI203-BE203-BV203-CK203*G203/J203))</f>
      </c>
      <c r="CM203" s="37">
        <f>IF(B203="","",IF(J203=0,0,(N203+P203*H203/J203)*(1-Pct_Reclamaciones-Pct_Banco-Imp_Ventas_Serv-Contrib_Territorial)-AS203-BF203-BX203-CK203*H203/J203))</f>
      </c>
      <c r="CN203" s="37">
        <f>IF(B203="","",IF(J203=0,0,(O203+P203*I203/J203)*(1-Pct_Reclamaciones-Pct_Banco-Imp_Ventas_Serv-Contrib_Territorial)-BC203-BG203-BZ203-CK203*I203/J203))</f>
      </c>
      <c r="CO203" s="37">
        <f>IF(B203="","",IF(J203=0,0,ROUND(CD203-CL203-CM203-CN203,4)))</f>
      </c>
      <c r="CP203" s="71">
        <f>IF(B203="","",T203+AG203+AK203+AM203+AU203+AW203)</f>
      </c>
      <c r="CQ203" s="71">
        <f>IF(B203="","",U203+AH203+AL203+AN203+AV203+AX203)</f>
      </c>
      <c r="CR203" s="72">
        <f>IF(B203="","",IF(CP203=0,0,CQ203/CP203-1))</f>
      </c>
      <c r="CS203" s="60">
        <f>IF(B203="","",IF(ENTRADA!$Y203="","",ENTRADA!$Y203-C203))</f>
      </c>
      <c r="CT203" s="66">
        <f>IF(B203="","",IF(ENTRADA!$C203="","Falta fecha. ","")&amp;IF(BP203=0,"Mes fuera del rango de COSTOS_FIJOS. ","")&amp;IF(J203=0,"Sin kg. ","")&amp;IF(E203="","Falta transitaria. ","")&amp;IF(AND(T203&gt;0,U203/T203-1&gt;Tolerancia_Comb),"Combustible al puerto "&amp;TEXT(U203/T203-1,"+0%")&amp;" sobre norma. ","")&amp;IF(AND(AG203&gt;0,AH203/AG203-1&gt;Tolerancia_Comb),"Combustible distribución Occidente "&amp;TEXT(AH203/AG203-1,"+0%")&amp;" sobre norma. ","")&amp;IF(AND(AK203&gt;0,AL203/AK203-1&gt;Tolerancia_Comb),"Combustible traslado Centro "&amp;TEXT(AL203/AK203-1,"+0%")&amp;" sobre norma. ","")&amp;IF(AND(AM203&gt;0,AN203/AM203-1&gt;Tolerancia_Comb),"Combustible distribución Centro "&amp;TEXT(AN203/AM203-1,"+0%")&amp;" sobre norma. ","")&amp;IF(AND(AU203&gt;0,AV203/AU203-1&gt;Tolerancia_Comb),"Combustible traslado Oriente "&amp;TEXT(AV203/AU203-1,"+0%")&amp;" sobre norma. ","")&amp;IF(AND(AW203&gt;0,AX203/AW203-1&gt;Tolerancia_Comb),"Combustible distribución Oriente "&amp;TEXT(AX203/AW203-1,"+0%")&amp;" sobre norma. ","")&amp;IF(AND(ENTRADA!$C203&lt;&gt;"",C203&lt;PRECIOS!$A$6),"Fecha anterior a la 1ª vigencia de precios. ","")&amp;IF(CD203&lt;0,"Contenedor con pérdida. ",""))</f>
      </c>
    </row>
    <row r="204">
      <c r="A204" s="60">
        <f>IF(B204="","",ROW()-5)</f>
      </c>
      <c r="B204" s="63">
        <f>IF(ENTRADA!$B204="","",ENTRADA!$B204)</f>
      </c>
      <c r="C204" s="64">
        <f>IF(B204="","",ENTRADA!$C204)</f>
      </c>
      <c r="D204" s="65">
        <f>IF(B204="","",DATE(YEAR(C204),MONTH(C204),1))</f>
      </c>
      <c r="E204" s="66">
        <f>IF(B204="","",ENTRADA!$D204&amp;"")</f>
      </c>
      <c r="F204" s="66">
        <f>IF(B204="","",ENTRADA!$Z204&amp;"")</f>
      </c>
      <c r="G204" s="67">
        <f>IF(B204="","",N(ENTRADA!$G204))</f>
      </c>
      <c r="H204" s="67">
        <f>IF(B204="","",N(ENTRADA!$H204))</f>
      </c>
      <c r="I204" s="67">
        <f>IF(B204="","",N(ENTRADA!$I204))</f>
      </c>
      <c r="J204" s="68">
        <f>IF(B204="","",G204+H204+I204)</f>
      </c>
      <c r="K204" s="60">
        <f>IF(B204="","",IFERROR(MATCH(SUMPRODUCT(MAX((PRECIOS!$A$6:$A$55&lt;=C204)*PRECIOS!$A$6:$A$55)),PRECIOS!$A$6:$A$55,0),1))</f>
      </c>
      <c r="L204" s="69">
        <f>IF(B204="","",INDEX(PRECIOS!$A$6:$A$55,K204))</f>
      </c>
      <c r="M204" s="37">
        <f>IF(B204="","",G204*INDEX(PRECIOS!$B$6:$B$55,K204))</f>
      </c>
      <c r="N204" s="37">
        <f>IF(B204="","",H204*INDEX(PRECIOS!$C$6:$C$55,K204))</f>
      </c>
      <c r="O204" s="37">
        <f>IF(B204="","",I204*INDEX(PRECIOS!$D$6:$D$55,K204))</f>
      </c>
      <c r="P204" s="37">
        <f>IF(B204="","",N(ENTRADA!$X204))</f>
      </c>
      <c r="Q204" s="70">
        <f>IF(B204="","",M204+N204+O204+P204)</f>
      </c>
      <c r="R204" s="71">
        <f>IF(B204="","",IF(ENTRADA!$J204="",Std_Viajes_Puerto,ENTRADA!$J204))</f>
      </c>
      <c r="S204" s="37">
        <f>IF(B204="","",R204*INDEX(PRECIOS!$F$6:$F$55,K204))</f>
      </c>
      <c r="T204" s="71">
        <f>IF(B204="","",R204*Litros_Puerto_Viaje)</f>
      </c>
      <c r="U204" s="71">
        <f>IF(B204="","",IF(ENTRADA!$K204="",T204,ENTRADA!$K204))</f>
      </c>
      <c r="V204" s="37">
        <f>IF(B204="","",U204*INDEX(PRECIOS!$E$6:$E$55,K204))</f>
      </c>
      <c r="W204" s="37">
        <f>IF(B204="","",IF(ENTRADA!$L204="",R204*INDEX(PRECIOS!$G$6:$G$55,K204),ENTRADA!$L204))</f>
      </c>
      <c r="X204" s="37">
        <f>IF(B204="","",R204*Km_Puerto_Viaje*INDEX(PRECIOS!$N$6:$N$55,K204))</f>
      </c>
      <c r="Y204" s="70">
        <f>IF(B204="","",S204+V204+W204+X204)</f>
      </c>
      <c r="Z204" s="71">
        <f>IF(B204="","",IF(J204=0,0,ROUNDUP(J204/Rend_Desagrupe,0)))</f>
      </c>
      <c r="AA204" s="71">
        <f>IF(B204="","",IF(ENTRADA!$M204="",Z204,ENTRADA!$M204))</f>
      </c>
      <c r="AB204" s="37">
        <f>IF(B204="","",AA204*INDEX(PRECIOS!$H$6:$H$55,K204))</f>
      </c>
      <c r="AC204" s="37">
        <f>IF(B204="","",IF(E204="ENCI",INDEX(PRECIOS!$J$6:$J$55,K204),IF(E204="A.V",INDEX(PRECIOS!$K$6:$K$55,K204),0)))</f>
      </c>
      <c r="AD204" s="37">
        <f>IF(B204="","",N(ENTRADA!$N204))</f>
      </c>
      <c r="AE204" s="70">
        <f>IF(B204="","",AB204+AC204+AD204)</f>
      </c>
      <c r="AF204" s="71">
        <f>IF(B204="","",IF(G204=0,0,ROUNDUP(G204/Cap_Camion_OCC,0)))</f>
      </c>
      <c r="AG204" s="71">
        <f>IF(B204="","",AF204*L_Dist_OCC)</f>
      </c>
      <c r="AH204" s="71">
        <f>IF(B204="","",IF(ENTRADA!$O204="",AG204,ENTRADA!$O204))</f>
      </c>
      <c r="AI204" s="37">
        <f>IF(B204="","",AH204*INDEX(PRECIOS!$E$6:$E$55,K204))</f>
      </c>
      <c r="AJ204" s="71">
        <f>IF(B204="","",IF(H204=0,0,ROUNDUP(H204/Cap_Camion_CEN,0)))</f>
      </c>
      <c r="AK204" s="71">
        <f>IF(B204="","",AJ204*L_Tras_CEN)</f>
      </c>
      <c r="AL204" s="71">
        <f>IF(B204="","",IF(ENTRADA!$P204="",AK204,ENTRADA!$P204))</f>
      </c>
      <c r="AM204" s="71">
        <f>IF(B204="","",AJ204*L_Dist_CEN)</f>
      </c>
      <c r="AN204" s="71">
        <f>IF(B204="","",IF(ENTRADA!$Q204="",AM204,ENTRADA!$Q204))</f>
      </c>
      <c r="AO204" s="37">
        <f>IF(B204="","",(AL204+AN204)*INDEX(PRECIOS!$E$6:$E$55,K204))</f>
      </c>
      <c r="AP204" s="71">
        <f>IF(B204="","",IF(H204=0,0,ROUNDUP(H204/Rend_Desagrupe_CT,0)))</f>
      </c>
      <c r="AQ204" s="71">
        <f>IF(B204="","",IF(ENTRADA!$R204="",AP204,ENTRADA!$R204))</f>
      </c>
      <c r="AR204" s="37">
        <f>IF(B204="","",AQ204*INDEX(PRECIOS!$I$6:$I$55,K204))</f>
      </c>
      <c r="AS204" s="37">
        <f>IF(B204="","",AO204+AR204)</f>
      </c>
      <c r="AT204" s="71">
        <f>IF(B204="","",IF(I204=0,0,ROUNDUP(I204/Cap_Camion_ORI,0)))</f>
      </c>
      <c r="AU204" s="71">
        <f>IF(B204="","",AT204*L_Tras_ORI)</f>
      </c>
      <c r="AV204" s="71">
        <f>IF(B204="","",IF(ENTRADA!$S204="",AU204,ENTRADA!$S204))</f>
      </c>
      <c r="AW204" s="71">
        <f>IF(B204="","",AT204*L_Dist_ORI)</f>
      </c>
      <c r="AX204" s="71">
        <f>IF(B204="","",IF(ENTRADA!$T204="",AW204,ENTRADA!$T204))</f>
      </c>
      <c r="AY204" s="37">
        <f>IF(B204="","",(AV204+AX204)*INDEX(PRECIOS!$E$6:$E$55,K204))</f>
      </c>
      <c r="AZ204" s="71">
        <f>IF(B204="","",IF(I204=0,0,ROUNDUP(I204/Rend_Desagrupe_CT,0)))</f>
      </c>
      <c r="BA204" s="71">
        <f>IF(B204="","",IF(ENTRADA!$U204="",AZ204,ENTRADA!$U204))</f>
      </c>
      <c r="BB204" s="37">
        <f>IF(B204="","",BA204*INDEX(PRECIOS!$I$6:$I$55,K204))</f>
      </c>
      <c r="BC204" s="37">
        <f>IF(B204="","",AY204+BB204)</f>
      </c>
      <c r="BD204" s="70">
        <f>IF(B204="","",AI204+AS204+BC204)</f>
      </c>
      <c r="BE204" s="37">
        <f>IF(B204="","",IF(Base_Comision="% DEL INGRESO",M204*INDEX(PRECIOS!$L$6:$L$55,K204),G204*INDEX(PRECIOS!$M$6:$M$55,K204)))</f>
      </c>
      <c r="BF204" s="37">
        <f>IF(B204="","",IF(Base_Comision="% DEL INGRESO",N204*INDEX(PRECIOS!$L$6:$L$55,K204),H204*INDEX(PRECIOS!$M$6:$M$55,K204)))</f>
      </c>
      <c r="BG204" s="37">
        <f>IF(B204="","",IF(Base_Comision="% DEL INGRESO",O204*INDEX(PRECIOS!$L$6:$L$55,K204),I204*INDEX(PRECIOS!$M$6:$M$55,K204)))</f>
      </c>
      <c r="BH204" s="70">
        <f>IF(B204="","",BE204+BF204+BG204)</f>
      </c>
      <c r="BI204" s="37">
        <f>IF(B204="","",Q204*Pct_Reclamaciones)</f>
      </c>
      <c r="BJ204" s="37">
        <f>IF(B204="","",Q204*Pct_Banco)</f>
      </c>
      <c r="BK204" s="37">
        <f>IF(B204="","",N(ENTRADA!$V204))</f>
      </c>
      <c r="BL204" s="70">
        <f>IF(B204="","",Y204+AE204+BD204+BH204+BI204+BJ204+BK204)</f>
      </c>
      <c r="BM204" s="70">
        <f>IF(B204="","",Q204-BL204)</f>
      </c>
      <c r="BN204" s="72">
        <f>IF(B204="","",IF(Q204=0,0,BM204/Q204))</f>
      </c>
      <c r="BO204" s="73">
        <f>IF(B204="","",IF(J204=0,0,BM204/J204))</f>
      </c>
      <c r="BP204" s="60">
        <f>IF(B204="","",IFERROR(MATCH(D204,COSTOS_FIJOS!$G$5:$AD$5,0),0))</f>
      </c>
      <c r="BQ204" s="60">
        <f>IF(B204="","",COUNTIFS($D$6:$D$305,D204))</f>
      </c>
      <c r="BR204" s="67">
        <f>IF(B204="","",SUMIFS($J$6:$J$305,$D$6:$D$305,D204))</f>
      </c>
      <c r="BS204" s="72">
        <f>IF(B204="","",IF(Metodo_Prorrateo="KG",IF(BR204=0,0,J204/BR204),1/BQ204))</f>
      </c>
      <c r="BT204" s="37">
        <f>IF(B204="","",IF(BP204=0,0,INDEX(COSTOS_FIJOS!$G$38:$AD$38,BP204))*BS204)</f>
      </c>
      <c r="BU204" s="72">
        <f>IF(B204="","",IF(Metodo_Prorrateo="KG",IF(SUMIFS($G$6:$G$305,$D$6:$D$305,D204)=0,0,G204/SUMIFS($G$6:$G$305,$D$6:$D$305,D204)),IF(G204&gt;0,1/COUNTIFS($D$6:$D$305,D204,$G$6:$G$305,"&gt;0"),0)))</f>
      </c>
      <c r="BV204" s="37">
        <f>IF(B204="","",IF(BP204=0,0,INDEX(COSTOS_FIJOS!$G$39:$AD$39,BP204))*BU204)</f>
      </c>
      <c r="BW204" s="72">
        <f>IF(B204="","",IF(Metodo_Prorrateo="KG",IF(SUMIFS($H$6:$H$305,$D$6:$D$305,D204)=0,0,H204/SUMIFS($H$6:$H$305,$D$6:$D$305,D204)),IF(H204&gt;0,1/COUNTIFS($D$6:$D$305,D204,$H$6:$H$305,"&gt;0"),0)))</f>
      </c>
      <c r="BX204" s="37">
        <f>IF(B204="","",IF(BP204=0,0,INDEX(COSTOS_FIJOS!$G$40:$AD$40,BP204))*BW204)</f>
      </c>
      <c r="BY204" s="72">
        <f>IF(B204="","",IF(Metodo_Prorrateo="KG",IF(SUMIFS($I$6:$I$305,$D$6:$D$305,D204)=0,0,I204/SUMIFS($I$6:$I$305,$D$6:$D$305,D204)),IF(I204&gt;0,1/COUNTIFS($D$6:$D$305,D204,$I$6:$I$305,"&gt;0"),0)))</f>
      </c>
      <c r="BZ204" s="37">
        <f>IF(B204="","",IF(BP204=0,0,INDEX(COSTOS_FIJOS!$G$41:$AD$41,BP204))*BY204)</f>
      </c>
      <c r="CA204" s="70">
        <f>IF(B204="","",BT204+BV204+BX204+BZ204)</f>
      </c>
      <c r="CB204" s="37">
        <f>IF(B204="","",Q204*Imp_Ventas_Serv)</f>
      </c>
      <c r="CC204" s="37">
        <f>IF(B204="","",Q204*Contrib_Territorial)</f>
      </c>
      <c r="CD204" s="70">
        <f>IF(B204="","",BM204-CA204-CB204-CC204)</f>
      </c>
      <c r="CE204" s="37">
        <f>IF(B204="","",MAX(0,CD204)*Imp_Utilidades)</f>
      </c>
      <c r="CF204" s="70">
        <f>IF(B204="","",CD204-CE204)</f>
      </c>
      <c r="CG204" s="72">
        <f>IF(B204="","",IF(Q204=0,0,CF204/Q204))</f>
      </c>
      <c r="CH204" s="73">
        <f>IF(B204="","",IF(J204=0,0,(BL204+CA204+CB204+CC204)/J204))</f>
      </c>
      <c r="CI204" s="73">
        <f>IF(B204="","",IF(J204=0,0,Q204/J204))</f>
      </c>
      <c r="CJ204" s="73">
        <f>IF(B204="","",IF(J204=0,0,CD204/J204))</f>
      </c>
      <c r="CK204" s="37">
        <f>IF(B204="","",Y204+AE204+BK204+BT204)</f>
      </c>
      <c r="CL204" s="37">
        <f>IF(B204="","",IF(J204=0,0,(M204+P204*G204/J204)*(1-Pct_Reclamaciones-Pct_Banco-Imp_Ventas_Serv-Contrib_Territorial)-AI204-BE204-BV204-CK204*G204/J204))</f>
      </c>
      <c r="CM204" s="37">
        <f>IF(B204="","",IF(J204=0,0,(N204+P204*H204/J204)*(1-Pct_Reclamaciones-Pct_Banco-Imp_Ventas_Serv-Contrib_Territorial)-AS204-BF204-BX204-CK204*H204/J204))</f>
      </c>
      <c r="CN204" s="37">
        <f>IF(B204="","",IF(J204=0,0,(O204+P204*I204/J204)*(1-Pct_Reclamaciones-Pct_Banco-Imp_Ventas_Serv-Contrib_Territorial)-BC204-BG204-BZ204-CK204*I204/J204))</f>
      </c>
      <c r="CO204" s="37">
        <f>IF(B204="","",IF(J204=0,0,ROUND(CD204-CL204-CM204-CN204,4)))</f>
      </c>
      <c r="CP204" s="71">
        <f>IF(B204="","",T204+AG204+AK204+AM204+AU204+AW204)</f>
      </c>
      <c r="CQ204" s="71">
        <f>IF(B204="","",U204+AH204+AL204+AN204+AV204+AX204)</f>
      </c>
      <c r="CR204" s="72">
        <f>IF(B204="","",IF(CP204=0,0,CQ204/CP204-1))</f>
      </c>
      <c r="CS204" s="60">
        <f>IF(B204="","",IF(ENTRADA!$Y204="","",ENTRADA!$Y204-C204))</f>
      </c>
      <c r="CT204" s="66">
        <f>IF(B204="","",IF(ENTRADA!$C204="","Falta fecha. ","")&amp;IF(BP204=0,"Mes fuera del rango de COSTOS_FIJOS. ","")&amp;IF(J204=0,"Sin kg. ","")&amp;IF(E204="","Falta transitaria. ","")&amp;IF(AND(T204&gt;0,U204/T204-1&gt;Tolerancia_Comb),"Combustible al puerto "&amp;TEXT(U204/T204-1,"+0%")&amp;" sobre norma. ","")&amp;IF(AND(AG204&gt;0,AH204/AG204-1&gt;Tolerancia_Comb),"Combustible distribución Occidente "&amp;TEXT(AH204/AG204-1,"+0%")&amp;" sobre norma. ","")&amp;IF(AND(AK204&gt;0,AL204/AK204-1&gt;Tolerancia_Comb),"Combustible traslado Centro "&amp;TEXT(AL204/AK204-1,"+0%")&amp;" sobre norma. ","")&amp;IF(AND(AM204&gt;0,AN204/AM204-1&gt;Tolerancia_Comb),"Combustible distribución Centro "&amp;TEXT(AN204/AM204-1,"+0%")&amp;" sobre norma. ","")&amp;IF(AND(AU204&gt;0,AV204/AU204-1&gt;Tolerancia_Comb),"Combustible traslado Oriente "&amp;TEXT(AV204/AU204-1,"+0%")&amp;" sobre norma. ","")&amp;IF(AND(AW204&gt;0,AX204/AW204-1&gt;Tolerancia_Comb),"Combustible distribución Oriente "&amp;TEXT(AX204/AW204-1,"+0%")&amp;" sobre norma. ","")&amp;IF(AND(ENTRADA!$C204&lt;&gt;"",C204&lt;PRECIOS!$A$6),"Fecha anterior a la 1ª vigencia de precios. ","")&amp;IF(CD204&lt;0,"Contenedor con pérdida. ",""))</f>
      </c>
    </row>
    <row r="205">
      <c r="A205" s="60">
        <f>IF(B205="","",ROW()-5)</f>
      </c>
      <c r="B205" s="63">
        <f>IF(ENTRADA!$B205="","",ENTRADA!$B205)</f>
      </c>
      <c r="C205" s="64">
        <f>IF(B205="","",ENTRADA!$C205)</f>
      </c>
      <c r="D205" s="65">
        <f>IF(B205="","",DATE(YEAR(C205),MONTH(C205),1))</f>
      </c>
      <c r="E205" s="66">
        <f>IF(B205="","",ENTRADA!$D205&amp;"")</f>
      </c>
      <c r="F205" s="66">
        <f>IF(B205="","",ENTRADA!$Z205&amp;"")</f>
      </c>
      <c r="G205" s="67">
        <f>IF(B205="","",N(ENTRADA!$G205))</f>
      </c>
      <c r="H205" s="67">
        <f>IF(B205="","",N(ENTRADA!$H205))</f>
      </c>
      <c r="I205" s="67">
        <f>IF(B205="","",N(ENTRADA!$I205))</f>
      </c>
      <c r="J205" s="68">
        <f>IF(B205="","",G205+H205+I205)</f>
      </c>
      <c r="K205" s="60">
        <f>IF(B205="","",IFERROR(MATCH(SUMPRODUCT(MAX((PRECIOS!$A$6:$A$55&lt;=C205)*PRECIOS!$A$6:$A$55)),PRECIOS!$A$6:$A$55,0),1))</f>
      </c>
      <c r="L205" s="69">
        <f>IF(B205="","",INDEX(PRECIOS!$A$6:$A$55,K205))</f>
      </c>
      <c r="M205" s="37">
        <f>IF(B205="","",G205*INDEX(PRECIOS!$B$6:$B$55,K205))</f>
      </c>
      <c r="N205" s="37">
        <f>IF(B205="","",H205*INDEX(PRECIOS!$C$6:$C$55,K205))</f>
      </c>
      <c r="O205" s="37">
        <f>IF(B205="","",I205*INDEX(PRECIOS!$D$6:$D$55,K205))</f>
      </c>
      <c r="P205" s="37">
        <f>IF(B205="","",N(ENTRADA!$X205))</f>
      </c>
      <c r="Q205" s="70">
        <f>IF(B205="","",M205+N205+O205+P205)</f>
      </c>
      <c r="R205" s="71">
        <f>IF(B205="","",IF(ENTRADA!$J205="",Std_Viajes_Puerto,ENTRADA!$J205))</f>
      </c>
      <c r="S205" s="37">
        <f>IF(B205="","",R205*INDEX(PRECIOS!$F$6:$F$55,K205))</f>
      </c>
      <c r="T205" s="71">
        <f>IF(B205="","",R205*Litros_Puerto_Viaje)</f>
      </c>
      <c r="U205" s="71">
        <f>IF(B205="","",IF(ENTRADA!$K205="",T205,ENTRADA!$K205))</f>
      </c>
      <c r="V205" s="37">
        <f>IF(B205="","",U205*INDEX(PRECIOS!$E$6:$E$55,K205))</f>
      </c>
      <c r="W205" s="37">
        <f>IF(B205="","",IF(ENTRADA!$L205="",R205*INDEX(PRECIOS!$G$6:$G$55,K205),ENTRADA!$L205))</f>
      </c>
      <c r="X205" s="37">
        <f>IF(B205="","",R205*Km_Puerto_Viaje*INDEX(PRECIOS!$N$6:$N$55,K205))</f>
      </c>
      <c r="Y205" s="70">
        <f>IF(B205="","",S205+V205+W205+X205)</f>
      </c>
      <c r="Z205" s="71">
        <f>IF(B205="","",IF(J205=0,0,ROUNDUP(J205/Rend_Desagrupe,0)))</f>
      </c>
      <c r="AA205" s="71">
        <f>IF(B205="","",IF(ENTRADA!$M205="",Z205,ENTRADA!$M205))</f>
      </c>
      <c r="AB205" s="37">
        <f>IF(B205="","",AA205*INDEX(PRECIOS!$H$6:$H$55,K205))</f>
      </c>
      <c r="AC205" s="37">
        <f>IF(B205="","",IF(E205="ENCI",INDEX(PRECIOS!$J$6:$J$55,K205),IF(E205="A.V",INDEX(PRECIOS!$K$6:$K$55,K205),0)))</f>
      </c>
      <c r="AD205" s="37">
        <f>IF(B205="","",N(ENTRADA!$N205))</f>
      </c>
      <c r="AE205" s="70">
        <f>IF(B205="","",AB205+AC205+AD205)</f>
      </c>
      <c r="AF205" s="71">
        <f>IF(B205="","",IF(G205=0,0,ROUNDUP(G205/Cap_Camion_OCC,0)))</f>
      </c>
      <c r="AG205" s="71">
        <f>IF(B205="","",AF205*L_Dist_OCC)</f>
      </c>
      <c r="AH205" s="71">
        <f>IF(B205="","",IF(ENTRADA!$O205="",AG205,ENTRADA!$O205))</f>
      </c>
      <c r="AI205" s="37">
        <f>IF(B205="","",AH205*INDEX(PRECIOS!$E$6:$E$55,K205))</f>
      </c>
      <c r="AJ205" s="71">
        <f>IF(B205="","",IF(H205=0,0,ROUNDUP(H205/Cap_Camion_CEN,0)))</f>
      </c>
      <c r="AK205" s="71">
        <f>IF(B205="","",AJ205*L_Tras_CEN)</f>
      </c>
      <c r="AL205" s="71">
        <f>IF(B205="","",IF(ENTRADA!$P205="",AK205,ENTRADA!$P205))</f>
      </c>
      <c r="AM205" s="71">
        <f>IF(B205="","",AJ205*L_Dist_CEN)</f>
      </c>
      <c r="AN205" s="71">
        <f>IF(B205="","",IF(ENTRADA!$Q205="",AM205,ENTRADA!$Q205))</f>
      </c>
      <c r="AO205" s="37">
        <f>IF(B205="","",(AL205+AN205)*INDEX(PRECIOS!$E$6:$E$55,K205))</f>
      </c>
      <c r="AP205" s="71">
        <f>IF(B205="","",IF(H205=0,0,ROUNDUP(H205/Rend_Desagrupe_CT,0)))</f>
      </c>
      <c r="AQ205" s="71">
        <f>IF(B205="","",IF(ENTRADA!$R205="",AP205,ENTRADA!$R205))</f>
      </c>
      <c r="AR205" s="37">
        <f>IF(B205="","",AQ205*INDEX(PRECIOS!$I$6:$I$55,K205))</f>
      </c>
      <c r="AS205" s="37">
        <f>IF(B205="","",AO205+AR205)</f>
      </c>
      <c r="AT205" s="71">
        <f>IF(B205="","",IF(I205=0,0,ROUNDUP(I205/Cap_Camion_ORI,0)))</f>
      </c>
      <c r="AU205" s="71">
        <f>IF(B205="","",AT205*L_Tras_ORI)</f>
      </c>
      <c r="AV205" s="71">
        <f>IF(B205="","",IF(ENTRADA!$S205="",AU205,ENTRADA!$S205))</f>
      </c>
      <c r="AW205" s="71">
        <f>IF(B205="","",AT205*L_Dist_ORI)</f>
      </c>
      <c r="AX205" s="71">
        <f>IF(B205="","",IF(ENTRADA!$T205="",AW205,ENTRADA!$T205))</f>
      </c>
      <c r="AY205" s="37">
        <f>IF(B205="","",(AV205+AX205)*INDEX(PRECIOS!$E$6:$E$55,K205))</f>
      </c>
      <c r="AZ205" s="71">
        <f>IF(B205="","",IF(I205=0,0,ROUNDUP(I205/Rend_Desagrupe_CT,0)))</f>
      </c>
      <c r="BA205" s="71">
        <f>IF(B205="","",IF(ENTRADA!$U205="",AZ205,ENTRADA!$U205))</f>
      </c>
      <c r="BB205" s="37">
        <f>IF(B205="","",BA205*INDEX(PRECIOS!$I$6:$I$55,K205))</f>
      </c>
      <c r="BC205" s="37">
        <f>IF(B205="","",AY205+BB205)</f>
      </c>
      <c r="BD205" s="70">
        <f>IF(B205="","",AI205+AS205+BC205)</f>
      </c>
      <c r="BE205" s="37">
        <f>IF(B205="","",IF(Base_Comision="% DEL INGRESO",M205*INDEX(PRECIOS!$L$6:$L$55,K205),G205*INDEX(PRECIOS!$M$6:$M$55,K205)))</f>
      </c>
      <c r="BF205" s="37">
        <f>IF(B205="","",IF(Base_Comision="% DEL INGRESO",N205*INDEX(PRECIOS!$L$6:$L$55,K205),H205*INDEX(PRECIOS!$M$6:$M$55,K205)))</f>
      </c>
      <c r="BG205" s="37">
        <f>IF(B205="","",IF(Base_Comision="% DEL INGRESO",O205*INDEX(PRECIOS!$L$6:$L$55,K205),I205*INDEX(PRECIOS!$M$6:$M$55,K205)))</f>
      </c>
      <c r="BH205" s="70">
        <f>IF(B205="","",BE205+BF205+BG205)</f>
      </c>
      <c r="BI205" s="37">
        <f>IF(B205="","",Q205*Pct_Reclamaciones)</f>
      </c>
      <c r="BJ205" s="37">
        <f>IF(B205="","",Q205*Pct_Banco)</f>
      </c>
      <c r="BK205" s="37">
        <f>IF(B205="","",N(ENTRADA!$V205))</f>
      </c>
      <c r="BL205" s="70">
        <f>IF(B205="","",Y205+AE205+BD205+BH205+BI205+BJ205+BK205)</f>
      </c>
      <c r="BM205" s="70">
        <f>IF(B205="","",Q205-BL205)</f>
      </c>
      <c r="BN205" s="72">
        <f>IF(B205="","",IF(Q205=0,0,BM205/Q205))</f>
      </c>
      <c r="BO205" s="73">
        <f>IF(B205="","",IF(J205=0,0,BM205/J205))</f>
      </c>
      <c r="BP205" s="60">
        <f>IF(B205="","",IFERROR(MATCH(D205,COSTOS_FIJOS!$G$5:$AD$5,0),0))</f>
      </c>
      <c r="BQ205" s="60">
        <f>IF(B205="","",COUNTIFS($D$6:$D$305,D205))</f>
      </c>
      <c r="BR205" s="67">
        <f>IF(B205="","",SUMIFS($J$6:$J$305,$D$6:$D$305,D205))</f>
      </c>
      <c r="BS205" s="72">
        <f>IF(B205="","",IF(Metodo_Prorrateo="KG",IF(BR205=0,0,J205/BR205),1/BQ205))</f>
      </c>
      <c r="BT205" s="37">
        <f>IF(B205="","",IF(BP205=0,0,INDEX(COSTOS_FIJOS!$G$38:$AD$38,BP205))*BS205)</f>
      </c>
      <c r="BU205" s="72">
        <f>IF(B205="","",IF(Metodo_Prorrateo="KG",IF(SUMIFS($G$6:$G$305,$D$6:$D$305,D205)=0,0,G205/SUMIFS($G$6:$G$305,$D$6:$D$305,D205)),IF(G205&gt;0,1/COUNTIFS($D$6:$D$305,D205,$G$6:$G$305,"&gt;0"),0)))</f>
      </c>
      <c r="BV205" s="37">
        <f>IF(B205="","",IF(BP205=0,0,INDEX(COSTOS_FIJOS!$G$39:$AD$39,BP205))*BU205)</f>
      </c>
      <c r="BW205" s="72">
        <f>IF(B205="","",IF(Metodo_Prorrateo="KG",IF(SUMIFS($H$6:$H$305,$D$6:$D$305,D205)=0,0,H205/SUMIFS($H$6:$H$305,$D$6:$D$305,D205)),IF(H205&gt;0,1/COUNTIFS($D$6:$D$305,D205,$H$6:$H$305,"&gt;0"),0)))</f>
      </c>
      <c r="BX205" s="37">
        <f>IF(B205="","",IF(BP205=0,0,INDEX(COSTOS_FIJOS!$G$40:$AD$40,BP205))*BW205)</f>
      </c>
      <c r="BY205" s="72">
        <f>IF(B205="","",IF(Metodo_Prorrateo="KG",IF(SUMIFS($I$6:$I$305,$D$6:$D$305,D205)=0,0,I205/SUMIFS($I$6:$I$305,$D$6:$D$305,D205)),IF(I205&gt;0,1/COUNTIFS($D$6:$D$305,D205,$I$6:$I$305,"&gt;0"),0)))</f>
      </c>
      <c r="BZ205" s="37">
        <f>IF(B205="","",IF(BP205=0,0,INDEX(COSTOS_FIJOS!$G$41:$AD$41,BP205))*BY205)</f>
      </c>
      <c r="CA205" s="70">
        <f>IF(B205="","",BT205+BV205+BX205+BZ205)</f>
      </c>
      <c r="CB205" s="37">
        <f>IF(B205="","",Q205*Imp_Ventas_Serv)</f>
      </c>
      <c r="CC205" s="37">
        <f>IF(B205="","",Q205*Contrib_Territorial)</f>
      </c>
      <c r="CD205" s="70">
        <f>IF(B205="","",BM205-CA205-CB205-CC205)</f>
      </c>
      <c r="CE205" s="37">
        <f>IF(B205="","",MAX(0,CD205)*Imp_Utilidades)</f>
      </c>
      <c r="CF205" s="70">
        <f>IF(B205="","",CD205-CE205)</f>
      </c>
      <c r="CG205" s="72">
        <f>IF(B205="","",IF(Q205=0,0,CF205/Q205))</f>
      </c>
      <c r="CH205" s="73">
        <f>IF(B205="","",IF(J205=0,0,(BL205+CA205+CB205+CC205)/J205))</f>
      </c>
      <c r="CI205" s="73">
        <f>IF(B205="","",IF(J205=0,0,Q205/J205))</f>
      </c>
      <c r="CJ205" s="73">
        <f>IF(B205="","",IF(J205=0,0,CD205/J205))</f>
      </c>
      <c r="CK205" s="37">
        <f>IF(B205="","",Y205+AE205+BK205+BT205)</f>
      </c>
      <c r="CL205" s="37">
        <f>IF(B205="","",IF(J205=0,0,(M205+P205*G205/J205)*(1-Pct_Reclamaciones-Pct_Banco-Imp_Ventas_Serv-Contrib_Territorial)-AI205-BE205-BV205-CK205*G205/J205))</f>
      </c>
      <c r="CM205" s="37">
        <f>IF(B205="","",IF(J205=0,0,(N205+P205*H205/J205)*(1-Pct_Reclamaciones-Pct_Banco-Imp_Ventas_Serv-Contrib_Territorial)-AS205-BF205-BX205-CK205*H205/J205))</f>
      </c>
      <c r="CN205" s="37">
        <f>IF(B205="","",IF(J205=0,0,(O205+P205*I205/J205)*(1-Pct_Reclamaciones-Pct_Banco-Imp_Ventas_Serv-Contrib_Territorial)-BC205-BG205-BZ205-CK205*I205/J205))</f>
      </c>
      <c r="CO205" s="37">
        <f>IF(B205="","",IF(J205=0,0,ROUND(CD205-CL205-CM205-CN205,4)))</f>
      </c>
      <c r="CP205" s="71">
        <f>IF(B205="","",T205+AG205+AK205+AM205+AU205+AW205)</f>
      </c>
      <c r="CQ205" s="71">
        <f>IF(B205="","",U205+AH205+AL205+AN205+AV205+AX205)</f>
      </c>
      <c r="CR205" s="72">
        <f>IF(B205="","",IF(CP205=0,0,CQ205/CP205-1))</f>
      </c>
      <c r="CS205" s="60">
        <f>IF(B205="","",IF(ENTRADA!$Y205="","",ENTRADA!$Y205-C205))</f>
      </c>
      <c r="CT205" s="66">
        <f>IF(B205="","",IF(ENTRADA!$C205="","Falta fecha. ","")&amp;IF(BP205=0,"Mes fuera del rango de COSTOS_FIJOS. ","")&amp;IF(J205=0,"Sin kg. ","")&amp;IF(E205="","Falta transitaria. ","")&amp;IF(AND(T205&gt;0,U205/T205-1&gt;Tolerancia_Comb),"Combustible al puerto "&amp;TEXT(U205/T205-1,"+0%")&amp;" sobre norma. ","")&amp;IF(AND(AG205&gt;0,AH205/AG205-1&gt;Tolerancia_Comb),"Combustible distribución Occidente "&amp;TEXT(AH205/AG205-1,"+0%")&amp;" sobre norma. ","")&amp;IF(AND(AK205&gt;0,AL205/AK205-1&gt;Tolerancia_Comb),"Combustible traslado Centro "&amp;TEXT(AL205/AK205-1,"+0%")&amp;" sobre norma. ","")&amp;IF(AND(AM205&gt;0,AN205/AM205-1&gt;Tolerancia_Comb),"Combustible distribución Centro "&amp;TEXT(AN205/AM205-1,"+0%")&amp;" sobre norma. ","")&amp;IF(AND(AU205&gt;0,AV205/AU205-1&gt;Tolerancia_Comb),"Combustible traslado Oriente "&amp;TEXT(AV205/AU205-1,"+0%")&amp;" sobre norma. ","")&amp;IF(AND(AW205&gt;0,AX205/AW205-1&gt;Tolerancia_Comb),"Combustible distribución Oriente "&amp;TEXT(AX205/AW205-1,"+0%")&amp;" sobre norma. ","")&amp;IF(AND(ENTRADA!$C205&lt;&gt;"",C205&lt;PRECIOS!$A$6),"Fecha anterior a la 1ª vigencia de precios. ","")&amp;IF(CD205&lt;0,"Contenedor con pérdida. ",""))</f>
      </c>
    </row>
    <row r="206">
      <c r="A206" s="60">
        <f>IF(B206="","",ROW()-5)</f>
      </c>
      <c r="B206" s="63">
        <f>IF(ENTRADA!$B206="","",ENTRADA!$B206)</f>
      </c>
      <c r="C206" s="64">
        <f>IF(B206="","",ENTRADA!$C206)</f>
      </c>
      <c r="D206" s="65">
        <f>IF(B206="","",DATE(YEAR(C206),MONTH(C206),1))</f>
      </c>
      <c r="E206" s="66">
        <f>IF(B206="","",ENTRADA!$D206&amp;"")</f>
      </c>
      <c r="F206" s="66">
        <f>IF(B206="","",ENTRADA!$Z206&amp;"")</f>
      </c>
      <c r="G206" s="67">
        <f>IF(B206="","",N(ENTRADA!$G206))</f>
      </c>
      <c r="H206" s="67">
        <f>IF(B206="","",N(ENTRADA!$H206))</f>
      </c>
      <c r="I206" s="67">
        <f>IF(B206="","",N(ENTRADA!$I206))</f>
      </c>
      <c r="J206" s="68">
        <f>IF(B206="","",G206+H206+I206)</f>
      </c>
      <c r="K206" s="60">
        <f>IF(B206="","",IFERROR(MATCH(SUMPRODUCT(MAX((PRECIOS!$A$6:$A$55&lt;=C206)*PRECIOS!$A$6:$A$55)),PRECIOS!$A$6:$A$55,0),1))</f>
      </c>
      <c r="L206" s="69">
        <f>IF(B206="","",INDEX(PRECIOS!$A$6:$A$55,K206))</f>
      </c>
      <c r="M206" s="37">
        <f>IF(B206="","",G206*INDEX(PRECIOS!$B$6:$B$55,K206))</f>
      </c>
      <c r="N206" s="37">
        <f>IF(B206="","",H206*INDEX(PRECIOS!$C$6:$C$55,K206))</f>
      </c>
      <c r="O206" s="37">
        <f>IF(B206="","",I206*INDEX(PRECIOS!$D$6:$D$55,K206))</f>
      </c>
      <c r="P206" s="37">
        <f>IF(B206="","",N(ENTRADA!$X206))</f>
      </c>
      <c r="Q206" s="70">
        <f>IF(B206="","",M206+N206+O206+P206)</f>
      </c>
      <c r="R206" s="71">
        <f>IF(B206="","",IF(ENTRADA!$J206="",Std_Viajes_Puerto,ENTRADA!$J206))</f>
      </c>
      <c r="S206" s="37">
        <f>IF(B206="","",R206*INDEX(PRECIOS!$F$6:$F$55,K206))</f>
      </c>
      <c r="T206" s="71">
        <f>IF(B206="","",R206*Litros_Puerto_Viaje)</f>
      </c>
      <c r="U206" s="71">
        <f>IF(B206="","",IF(ENTRADA!$K206="",T206,ENTRADA!$K206))</f>
      </c>
      <c r="V206" s="37">
        <f>IF(B206="","",U206*INDEX(PRECIOS!$E$6:$E$55,K206))</f>
      </c>
      <c r="W206" s="37">
        <f>IF(B206="","",IF(ENTRADA!$L206="",R206*INDEX(PRECIOS!$G$6:$G$55,K206),ENTRADA!$L206))</f>
      </c>
      <c r="X206" s="37">
        <f>IF(B206="","",R206*Km_Puerto_Viaje*INDEX(PRECIOS!$N$6:$N$55,K206))</f>
      </c>
      <c r="Y206" s="70">
        <f>IF(B206="","",S206+V206+W206+X206)</f>
      </c>
      <c r="Z206" s="71">
        <f>IF(B206="","",IF(J206=0,0,ROUNDUP(J206/Rend_Desagrupe,0)))</f>
      </c>
      <c r="AA206" s="71">
        <f>IF(B206="","",IF(ENTRADA!$M206="",Z206,ENTRADA!$M206))</f>
      </c>
      <c r="AB206" s="37">
        <f>IF(B206="","",AA206*INDEX(PRECIOS!$H$6:$H$55,K206))</f>
      </c>
      <c r="AC206" s="37">
        <f>IF(B206="","",IF(E206="ENCI",INDEX(PRECIOS!$J$6:$J$55,K206),IF(E206="A.V",INDEX(PRECIOS!$K$6:$K$55,K206),0)))</f>
      </c>
      <c r="AD206" s="37">
        <f>IF(B206="","",N(ENTRADA!$N206))</f>
      </c>
      <c r="AE206" s="70">
        <f>IF(B206="","",AB206+AC206+AD206)</f>
      </c>
      <c r="AF206" s="71">
        <f>IF(B206="","",IF(G206=0,0,ROUNDUP(G206/Cap_Camion_OCC,0)))</f>
      </c>
      <c r="AG206" s="71">
        <f>IF(B206="","",AF206*L_Dist_OCC)</f>
      </c>
      <c r="AH206" s="71">
        <f>IF(B206="","",IF(ENTRADA!$O206="",AG206,ENTRADA!$O206))</f>
      </c>
      <c r="AI206" s="37">
        <f>IF(B206="","",AH206*INDEX(PRECIOS!$E$6:$E$55,K206))</f>
      </c>
      <c r="AJ206" s="71">
        <f>IF(B206="","",IF(H206=0,0,ROUNDUP(H206/Cap_Camion_CEN,0)))</f>
      </c>
      <c r="AK206" s="71">
        <f>IF(B206="","",AJ206*L_Tras_CEN)</f>
      </c>
      <c r="AL206" s="71">
        <f>IF(B206="","",IF(ENTRADA!$P206="",AK206,ENTRADA!$P206))</f>
      </c>
      <c r="AM206" s="71">
        <f>IF(B206="","",AJ206*L_Dist_CEN)</f>
      </c>
      <c r="AN206" s="71">
        <f>IF(B206="","",IF(ENTRADA!$Q206="",AM206,ENTRADA!$Q206))</f>
      </c>
      <c r="AO206" s="37">
        <f>IF(B206="","",(AL206+AN206)*INDEX(PRECIOS!$E$6:$E$55,K206))</f>
      </c>
      <c r="AP206" s="71">
        <f>IF(B206="","",IF(H206=0,0,ROUNDUP(H206/Rend_Desagrupe_CT,0)))</f>
      </c>
      <c r="AQ206" s="71">
        <f>IF(B206="","",IF(ENTRADA!$R206="",AP206,ENTRADA!$R206))</f>
      </c>
      <c r="AR206" s="37">
        <f>IF(B206="","",AQ206*INDEX(PRECIOS!$I$6:$I$55,K206))</f>
      </c>
      <c r="AS206" s="37">
        <f>IF(B206="","",AO206+AR206)</f>
      </c>
      <c r="AT206" s="71">
        <f>IF(B206="","",IF(I206=0,0,ROUNDUP(I206/Cap_Camion_ORI,0)))</f>
      </c>
      <c r="AU206" s="71">
        <f>IF(B206="","",AT206*L_Tras_ORI)</f>
      </c>
      <c r="AV206" s="71">
        <f>IF(B206="","",IF(ENTRADA!$S206="",AU206,ENTRADA!$S206))</f>
      </c>
      <c r="AW206" s="71">
        <f>IF(B206="","",AT206*L_Dist_ORI)</f>
      </c>
      <c r="AX206" s="71">
        <f>IF(B206="","",IF(ENTRADA!$T206="",AW206,ENTRADA!$T206))</f>
      </c>
      <c r="AY206" s="37">
        <f>IF(B206="","",(AV206+AX206)*INDEX(PRECIOS!$E$6:$E$55,K206))</f>
      </c>
      <c r="AZ206" s="71">
        <f>IF(B206="","",IF(I206=0,0,ROUNDUP(I206/Rend_Desagrupe_CT,0)))</f>
      </c>
      <c r="BA206" s="71">
        <f>IF(B206="","",IF(ENTRADA!$U206="",AZ206,ENTRADA!$U206))</f>
      </c>
      <c r="BB206" s="37">
        <f>IF(B206="","",BA206*INDEX(PRECIOS!$I$6:$I$55,K206))</f>
      </c>
      <c r="BC206" s="37">
        <f>IF(B206="","",AY206+BB206)</f>
      </c>
      <c r="BD206" s="70">
        <f>IF(B206="","",AI206+AS206+BC206)</f>
      </c>
      <c r="BE206" s="37">
        <f>IF(B206="","",IF(Base_Comision="% DEL INGRESO",M206*INDEX(PRECIOS!$L$6:$L$55,K206),G206*INDEX(PRECIOS!$M$6:$M$55,K206)))</f>
      </c>
      <c r="BF206" s="37">
        <f>IF(B206="","",IF(Base_Comision="% DEL INGRESO",N206*INDEX(PRECIOS!$L$6:$L$55,K206),H206*INDEX(PRECIOS!$M$6:$M$55,K206)))</f>
      </c>
      <c r="BG206" s="37">
        <f>IF(B206="","",IF(Base_Comision="% DEL INGRESO",O206*INDEX(PRECIOS!$L$6:$L$55,K206),I206*INDEX(PRECIOS!$M$6:$M$55,K206)))</f>
      </c>
      <c r="BH206" s="70">
        <f>IF(B206="","",BE206+BF206+BG206)</f>
      </c>
      <c r="BI206" s="37">
        <f>IF(B206="","",Q206*Pct_Reclamaciones)</f>
      </c>
      <c r="BJ206" s="37">
        <f>IF(B206="","",Q206*Pct_Banco)</f>
      </c>
      <c r="BK206" s="37">
        <f>IF(B206="","",N(ENTRADA!$V206))</f>
      </c>
      <c r="BL206" s="70">
        <f>IF(B206="","",Y206+AE206+BD206+BH206+BI206+BJ206+BK206)</f>
      </c>
      <c r="BM206" s="70">
        <f>IF(B206="","",Q206-BL206)</f>
      </c>
      <c r="BN206" s="72">
        <f>IF(B206="","",IF(Q206=0,0,BM206/Q206))</f>
      </c>
      <c r="BO206" s="73">
        <f>IF(B206="","",IF(J206=0,0,BM206/J206))</f>
      </c>
      <c r="BP206" s="60">
        <f>IF(B206="","",IFERROR(MATCH(D206,COSTOS_FIJOS!$G$5:$AD$5,0),0))</f>
      </c>
      <c r="BQ206" s="60">
        <f>IF(B206="","",COUNTIFS($D$6:$D$305,D206))</f>
      </c>
      <c r="BR206" s="67">
        <f>IF(B206="","",SUMIFS($J$6:$J$305,$D$6:$D$305,D206))</f>
      </c>
      <c r="BS206" s="72">
        <f>IF(B206="","",IF(Metodo_Prorrateo="KG",IF(BR206=0,0,J206/BR206),1/BQ206))</f>
      </c>
      <c r="BT206" s="37">
        <f>IF(B206="","",IF(BP206=0,0,INDEX(COSTOS_FIJOS!$G$38:$AD$38,BP206))*BS206)</f>
      </c>
      <c r="BU206" s="72">
        <f>IF(B206="","",IF(Metodo_Prorrateo="KG",IF(SUMIFS($G$6:$G$305,$D$6:$D$305,D206)=0,0,G206/SUMIFS($G$6:$G$305,$D$6:$D$305,D206)),IF(G206&gt;0,1/COUNTIFS($D$6:$D$305,D206,$G$6:$G$305,"&gt;0"),0)))</f>
      </c>
      <c r="BV206" s="37">
        <f>IF(B206="","",IF(BP206=0,0,INDEX(COSTOS_FIJOS!$G$39:$AD$39,BP206))*BU206)</f>
      </c>
      <c r="BW206" s="72">
        <f>IF(B206="","",IF(Metodo_Prorrateo="KG",IF(SUMIFS($H$6:$H$305,$D$6:$D$305,D206)=0,0,H206/SUMIFS($H$6:$H$305,$D$6:$D$305,D206)),IF(H206&gt;0,1/COUNTIFS($D$6:$D$305,D206,$H$6:$H$305,"&gt;0"),0)))</f>
      </c>
      <c r="BX206" s="37">
        <f>IF(B206="","",IF(BP206=0,0,INDEX(COSTOS_FIJOS!$G$40:$AD$40,BP206))*BW206)</f>
      </c>
      <c r="BY206" s="72">
        <f>IF(B206="","",IF(Metodo_Prorrateo="KG",IF(SUMIFS($I$6:$I$305,$D$6:$D$305,D206)=0,0,I206/SUMIFS($I$6:$I$305,$D$6:$D$305,D206)),IF(I206&gt;0,1/COUNTIFS($D$6:$D$305,D206,$I$6:$I$305,"&gt;0"),0)))</f>
      </c>
      <c r="BZ206" s="37">
        <f>IF(B206="","",IF(BP206=0,0,INDEX(COSTOS_FIJOS!$G$41:$AD$41,BP206))*BY206)</f>
      </c>
      <c r="CA206" s="70">
        <f>IF(B206="","",BT206+BV206+BX206+BZ206)</f>
      </c>
      <c r="CB206" s="37">
        <f>IF(B206="","",Q206*Imp_Ventas_Serv)</f>
      </c>
      <c r="CC206" s="37">
        <f>IF(B206="","",Q206*Contrib_Territorial)</f>
      </c>
      <c r="CD206" s="70">
        <f>IF(B206="","",BM206-CA206-CB206-CC206)</f>
      </c>
      <c r="CE206" s="37">
        <f>IF(B206="","",MAX(0,CD206)*Imp_Utilidades)</f>
      </c>
      <c r="CF206" s="70">
        <f>IF(B206="","",CD206-CE206)</f>
      </c>
      <c r="CG206" s="72">
        <f>IF(B206="","",IF(Q206=0,0,CF206/Q206))</f>
      </c>
      <c r="CH206" s="73">
        <f>IF(B206="","",IF(J206=0,0,(BL206+CA206+CB206+CC206)/J206))</f>
      </c>
      <c r="CI206" s="73">
        <f>IF(B206="","",IF(J206=0,0,Q206/J206))</f>
      </c>
      <c r="CJ206" s="73">
        <f>IF(B206="","",IF(J206=0,0,CD206/J206))</f>
      </c>
      <c r="CK206" s="37">
        <f>IF(B206="","",Y206+AE206+BK206+BT206)</f>
      </c>
      <c r="CL206" s="37">
        <f>IF(B206="","",IF(J206=0,0,(M206+P206*G206/J206)*(1-Pct_Reclamaciones-Pct_Banco-Imp_Ventas_Serv-Contrib_Territorial)-AI206-BE206-BV206-CK206*G206/J206))</f>
      </c>
      <c r="CM206" s="37">
        <f>IF(B206="","",IF(J206=0,0,(N206+P206*H206/J206)*(1-Pct_Reclamaciones-Pct_Banco-Imp_Ventas_Serv-Contrib_Territorial)-AS206-BF206-BX206-CK206*H206/J206))</f>
      </c>
      <c r="CN206" s="37">
        <f>IF(B206="","",IF(J206=0,0,(O206+P206*I206/J206)*(1-Pct_Reclamaciones-Pct_Banco-Imp_Ventas_Serv-Contrib_Territorial)-BC206-BG206-BZ206-CK206*I206/J206))</f>
      </c>
      <c r="CO206" s="37">
        <f>IF(B206="","",IF(J206=0,0,ROUND(CD206-CL206-CM206-CN206,4)))</f>
      </c>
      <c r="CP206" s="71">
        <f>IF(B206="","",T206+AG206+AK206+AM206+AU206+AW206)</f>
      </c>
      <c r="CQ206" s="71">
        <f>IF(B206="","",U206+AH206+AL206+AN206+AV206+AX206)</f>
      </c>
      <c r="CR206" s="72">
        <f>IF(B206="","",IF(CP206=0,0,CQ206/CP206-1))</f>
      </c>
      <c r="CS206" s="60">
        <f>IF(B206="","",IF(ENTRADA!$Y206="","",ENTRADA!$Y206-C206))</f>
      </c>
      <c r="CT206" s="66">
        <f>IF(B206="","",IF(ENTRADA!$C206="","Falta fecha. ","")&amp;IF(BP206=0,"Mes fuera del rango de COSTOS_FIJOS. ","")&amp;IF(J206=0,"Sin kg. ","")&amp;IF(E206="","Falta transitaria. ","")&amp;IF(AND(T206&gt;0,U206/T206-1&gt;Tolerancia_Comb),"Combustible al puerto "&amp;TEXT(U206/T206-1,"+0%")&amp;" sobre norma. ","")&amp;IF(AND(AG206&gt;0,AH206/AG206-1&gt;Tolerancia_Comb),"Combustible distribución Occidente "&amp;TEXT(AH206/AG206-1,"+0%")&amp;" sobre norma. ","")&amp;IF(AND(AK206&gt;0,AL206/AK206-1&gt;Tolerancia_Comb),"Combustible traslado Centro "&amp;TEXT(AL206/AK206-1,"+0%")&amp;" sobre norma. ","")&amp;IF(AND(AM206&gt;0,AN206/AM206-1&gt;Tolerancia_Comb),"Combustible distribución Centro "&amp;TEXT(AN206/AM206-1,"+0%")&amp;" sobre norma. ","")&amp;IF(AND(AU206&gt;0,AV206/AU206-1&gt;Tolerancia_Comb),"Combustible traslado Oriente "&amp;TEXT(AV206/AU206-1,"+0%")&amp;" sobre norma. ","")&amp;IF(AND(AW206&gt;0,AX206/AW206-1&gt;Tolerancia_Comb),"Combustible distribución Oriente "&amp;TEXT(AX206/AW206-1,"+0%")&amp;" sobre norma. ","")&amp;IF(AND(ENTRADA!$C206&lt;&gt;"",C206&lt;PRECIOS!$A$6),"Fecha anterior a la 1ª vigencia de precios. ","")&amp;IF(CD206&lt;0,"Contenedor con pérdida. ",""))</f>
      </c>
    </row>
    <row r="207">
      <c r="A207" s="60">
        <f>IF(B207="","",ROW()-5)</f>
      </c>
      <c r="B207" s="63">
        <f>IF(ENTRADA!$B207="","",ENTRADA!$B207)</f>
      </c>
      <c r="C207" s="64">
        <f>IF(B207="","",ENTRADA!$C207)</f>
      </c>
      <c r="D207" s="65">
        <f>IF(B207="","",DATE(YEAR(C207),MONTH(C207),1))</f>
      </c>
      <c r="E207" s="66">
        <f>IF(B207="","",ENTRADA!$D207&amp;"")</f>
      </c>
      <c r="F207" s="66">
        <f>IF(B207="","",ENTRADA!$Z207&amp;"")</f>
      </c>
      <c r="G207" s="67">
        <f>IF(B207="","",N(ENTRADA!$G207))</f>
      </c>
      <c r="H207" s="67">
        <f>IF(B207="","",N(ENTRADA!$H207))</f>
      </c>
      <c r="I207" s="67">
        <f>IF(B207="","",N(ENTRADA!$I207))</f>
      </c>
      <c r="J207" s="68">
        <f>IF(B207="","",G207+H207+I207)</f>
      </c>
      <c r="K207" s="60">
        <f>IF(B207="","",IFERROR(MATCH(SUMPRODUCT(MAX((PRECIOS!$A$6:$A$55&lt;=C207)*PRECIOS!$A$6:$A$55)),PRECIOS!$A$6:$A$55,0),1))</f>
      </c>
      <c r="L207" s="69">
        <f>IF(B207="","",INDEX(PRECIOS!$A$6:$A$55,K207))</f>
      </c>
      <c r="M207" s="37">
        <f>IF(B207="","",G207*INDEX(PRECIOS!$B$6:$B$55,K207))</f>
      </c>
      <c r="N207" s="37">
        <f>IF(B207="","",H207*INDEX(PRECIOS!$C$6:$C$55,K207))</f>
      </c>
      <c r="O207" s="37">
        <f>IF(B207="","",I207*INDEX(PRECIOS!$D$6:$D$55,K207))</f>
      </c>
      <c r="P207" s="37">
        <f>IF(B207="","",N(ENTRADA!$X207))</f>
      </c>
      <c r="Q207" s="70">
        <f>IF(B207="","",M207+N207+O207+P207)</f>
      </c>
      <c r="R207" s="71">
        <f>IF(B207="","",IF(ENTRADA!$J207="",Std_Viajes_Puerto,ENTRADA!$J207))</f>
      </c>
      <c r="S207" s="37">
        <f>IF(B207="","",R207*INDEX(PRECIOS!$F$6:$F$55,K207))</f>
      </c>
      <c r="T207" s="71">
        <f>IF(B207="","",R207*Litros_Puerto_Viaje)</f>
      </c>
      <c r="U207" s="71">
        <f>IF(B207="","",IF(ENTRADA!$K207="",T207,ENTRADA!$K207))</f>
      </c>
      <c r="V207" s="37">
        <f>IF(B207="","",U207*INDEX(PRECIOS!$E$6:$E$55,K207))</f>
      </c>
      <c r="W207" s="37">
        <f>IF(B207="","",IF(ENTRADA!$L207="",R207*INDEX(PRECIOS!$G$6:$G$55,K207),ENTRADA!$L207))</f>
      </c>
      <c r="X207" s="37">
        <f>IF(B207="","",R207*Km_Puerto_Viaje*INDEX(PRECIOS!$N$6:$N$55,K207))</f>
      </c>
      <c r="Y207" s="70">
        <f>IF(B207="","",S207+V207+W207+X207)</f>
      </c>
      <c r="Z207" s="71">
        <f>IF(B207="","",IF(J207=0,0,ROUNDUP(J207/Rend_Desagrupe,0)))</f>
      </c>
      <c r="AA207" s="71">
        <f>IF(B207="","",IF(ENTRADA!$M207="",Z207,ENTRADA!$M207))</f>
      </c>
      <c r="AB207" s="37">
        <f>IF(B207="","",AA207*INDEX(PRECIOS!$H$6:$H$55,K207))</f>
      </c>
      <c r="AC207" s="37">
        <f>IF(B207="","",IF(E207="ENCI",INDEX(PRECIOS!$J$6:$J$55,K207),IF(E207="A.V",INDEX(PRECIOS!$K$6:$K$55,K207),0)))</f>
      </c>
      <c r="AD207" s="37">
        <f>IF(B207="","",N(ENTRADA!$N207))</f>
      </c>
      <c r="AE207" s="70">
        <f>IF(B207="","",AB207+AC207+AD207)</f>
      </c>
      <c r="AF207" s="71">
        <f>IF(B207="","",IF(G207=0,0,ROUNDUP(G207/Cap_Camion_OCC,0)))</f>
      </c>
      <c r="AG207" s="71">
        <f>IF(B207="","",AF207*L_Dist_OCC)</f>
      </c>
      <c r="AH207" s="71">
        <f>IF(B207="","",IF(ENTRADA!$O207="",AG207,ENTRADA!$O207))</f>
      </c>
      <c r="AI207" s="37">
        <f>IF(B207="","",AH207*INDEX(PRECIOS!$E$6:$E$55,K207))</f>
      </c>
      <c r="AJ207" s="71">
        <f>IF(B207="","",IF(H207=0,0,ROUNDUP(H207/Cap_Camion_CEN,0)))</f>
      </c>
      <c r="AK207" s="71">
        <f>IF(B207="","",AJ207*L_Tras_CEN)</f>
      </c>
      <c r="AL207" s="71">
        <f>IF(B207="","",IF(ENTRADA!$P207="",AK207,ENTRADA!$P207))</f>
      </c>
      <c r="AM207" s="71">
        <f>IF(B207="","",AJ207*L_Dist_CEN)</f>
      </c>
      <c r="AN207" s="71">
        <f>IF(B207="","",IF(ENTRADA!$Q207="",AM207,ENTRADA!$Q207))</f>
      </c>
      <c r="AO207" s="37">
        <f>IF(B207="","",(AL207+AN207)*INDEX(PRECIOS!$E$6:$E$55,K207))</f>
      </c>
      <c r="AP207" s="71">
        <f>IF(B207="","",IF(H207=0,0,ROUNDUP(H207/Rend_Desagrupe_CT,0)))</f>
      </c>
      <c r="AQ207" s="71">
        <f>IF(B207="","",IF(ENTRADA!$R207="",AP207,ENTRADA!$R207))</f>
      </c>
      <c r="AR207" s="37">
        <f>IF(B207="","",AQ207*INDEX(PRECIOS!$I$6:$I$55,K207))</f>
      </c>
      <c r="AS207" s="37">
        <f>IF(B207="","",AO207+AR207)</f>
      </c>
      <c r="AT207" s="71">
        <f>IF(B207="","",IF(I207=0,0,ROUNDUP(I207/Cap_Camion_ORI,0)))</f>
      </c>
      <c r="AU207" s="71">
        <f>IF(B207="","",AT207*L_Tras_ORI)</f>
      </c>
      <c r="AV207" s="71">
        <f>IF(B207="","",IF(ENTRADA!$S207="",AU207,ENTRADA!$S207))</f>
      </c>
      <c r="AW207" s="71">
        <f>IF(B207="","",AT207*L_Dist_ORI)</f>
      </c>
      <c r="AX207" s="71">
        <f>IF(B207="","",IF(ENTRADA!$T207="",AW207,ENTRADA!$T207))</f>
      </c>
      <c r="AY207" s="37">
        <f>IF(B207="","",(AV207+AX207)*INDEX(PRECIOS!$E$6:$E$55,K207))</f>
      </c>
      <c r="AZ207" s="71">
        <f>IF(B207="","",IF(I207=0,0,ROUNDUP(I207/Rend_Desagrupe_CT,0)))</f>
      </c>
      <c r="BA207" s="71">
        <f>IF(B207="","",IF(ENTRADA!$U207="",AZ207,ENTRADA!$U207))</f>
      </c>
      <c r="BB207" s="37">
        <f>IF(B207="","",BA207*INDEX(PRECIOS!$I$6:$I$55,K207))</f>
      </c>
      <c r="BC207" s="37">
        <f>IF(B207="","",AY207+BB207)</f>
      </c>
      <c r="BD207" s="70">
        <f>IF(B207="","",AI207+AS207+BC207)</f>
      </c>
      <c r="BE207" s="37">
        <f>IF(B207="","",IF(Base_Comision="% DEL INGRESO",M207*INDEX(PRECIOS!$L$6:$L$55,K207),G207*INDEX(PRECIOS!$M$6:$M$55,K207)))</f>
      </c>
      <c r="BF207" s="37">
        <f>IF(B207="","",IF(Base_Comision="% DEL INGRESO",N207*INDEX(PRECIOS!$L$6:$L$55,K207),H207*INDEX(PRECIOS!$M$6:$M$55,K207)))</f>
      </c>
      <c r="BG207" s="37">
        <f>IF(B207="","",IF(Base_Comision="% DEL INGRESO",O207*INDEX(PRECIOS!$L$6:$L$55,K207),I207*INDEX(PRECIOS!$M$6:$M$55,K207)))</f>
      </c>
      <c r="BH207" s="70">
        <f>IF(B207="","",BE207+BF207+BG207)</f>
      </c>
      <c r="BI207" s="37">
        <f>IF(B207="","",Q207*Pct_Reclamaciones)</f>
      </c>
      <c r="BJ207" s="37">
        <f>IF(B207="","",Q207*Pct_Banco)</f>
      </c>
      <c r="BK207" s="37">
        <f>IF(B207="","",N(ENTRADA!$V207))</f>
      </c>
      <c r="BL207" s="70">
        <f>IF(B207="","",Y207+AE207+BD207+BH207+BI207+BJ207+BK207)</f>
      </c>
      <c r="BM207" s="70">
        <f>IF(B207="","",Q207-BL207)</f>
      </c>
      <c r="BN207" s="72">
        <f>IF(B207="","",IF(Q207=0,0,BM207/Q207))</f>
      </c>
      <c r="BO207" s="73">
        <f>IF(B207="","",IF(J207=0,0,BM207/J207))</f>
      </c>
      <c r="BP207" s="60">
        <f>IF(B207="","",IFERROR(MATCH(D207,COSTOS_FIJOS!$G$5:$AD$5,0),0))</f>
      </c>
      <c r="BQ207" s="60">
        <f>IF(B207="","",COUNTIFS($D$6:$D$305,D207))</f>
      </c>
      <c r="BR207" s="67">
        <f>IF(B207="","",SUMIFS($J$6:$J$305,$D$6:$D$305,D207))</f>
      </c>
      <c r="BS207" s="72">
        <f>IF(B207="","",IF(Metodo_Prorrateo="KG",IF(BR207=0,0,J207/BR207),1/BQ207))</f>
      </c>
      <c r="BT207" s="37">
        <f>IF(B207="","",IF(BP207=0,0,INDEX(COSTOS_FIJOS!$G$38:$AD$38,BP207))*BS207)</f>
      </c>
      <c r="BU207" s="72">
        <f>IF(B207="","",IF(Metodo_Prorrateo="KG",IF(SUMIFS($G$6:$G$305,$D$6:$D$305,D207)=0,0,G207/SUMIFS($G$6:$G$305,$D$6:$D$305,D207)),IF(G207&gt;0,1/COUNTIFS($D$6:$D$305,D207,$G$6:$G$305,"&gt;0"),0)))</f>
      </c>
      <c r="BV207" s="37">
        <f>IF(B207="","",IF(BP207=0,0,INDEX(COSTOS_FIJOS!$G$39:$AD$39,BP207))*BU207)</f>
      </c>
      <c r="BW207" s="72">
        <f>IF(B207="","",IF(Metodo_Prorrateo="KG",IF(SUMIFS($H$6:$H$305,$D$6:$D$305,D207)=0,0,H207/SUMIFS($H$6:$H$305,$D$6:$D$305,D207)),IF(H207&gt;0,1/COUNTIFS($D$6:$D$305,D207,$H$6:$H$305,"&gt;0"),0)))</f>
      </c>
      <c r="BX207" s="37">
        <f>IF(B207="","",IF(BP207=0,0,INDEX(COSTOS_FIJOS!$G$40:$AD$40,BP207))*BW207)</f>
      </c>
      <c r="BY207" s="72">
        <f>IF(B207="","",IF(Metodo_Prorrateo="KG",IF(SUMIFS($I$6:$I$305,$D$6:$D$305,D207)=0,0,I207/SUMIFS($I$6:$I$305,$D$6:$D$305,D207)),IF(I207&gt;0,1/COUNTIFS($D$6:$D$305,D207,$I$6:$I$305,"&gt;0"),0)))</f>
      </c>
      <c r="BZ207" s="37">
        <f>IF(B207="","",IF(BP207=0,0,INDEX(COSTOS_FIJOS!$G$41:$AD$41,BP207))*BY207)</f>
      </c>
      <c r="CA207" s="70">
        <f>IF(B207="","",BT207+BV207+BX207+BZ207)</f>
      </c>
      <c r="CB207" s="37">
        <f>IF(B207="","",Q207*Imp_Ventas_Serv)</f>
      </c>
      <c r="CC207" s="37">
        <f>IF(B207="","",Q207*Contrib_Territorial)</f>
      </c>
      <c r="CD207" s="70">
        <f>IF(B207="","",BM207-CA207-CB207-CC207)</f>
      </c>
      <c r="CE207" s="37">
        <f>IF(B207="","",MAX(0,CD207)*Imp_Utilidades)</f>
      </c>
      <c r="CF207" s="70">
        <f>IF(B207="","",CD207-CE207)</f>
      </c>
      <c r="CG207" s="72">
        <f>IF(B207="","",IF(Q207=0,0,CF207/Q207))</f>
      </c>
      <c r="CH207" s="73">
        <f>IF(B207="","",IF(J207=0,0,(BL207+CA207+CB207+CC207)/J207))</f>
      </c>
      <c r="CI207" s="73">
        <f>IF(B207="","",IF(J207=0,0,Q207/J207))</f>
      </c>
      <c r="CJ207" s="73">
        <f>IF(B207="","",IF(J207=0,0,CD207/J207))</f>
      </c>
      <c r="CK207" s="37">
        <f>IF(B207="","",Y207+AE207+BK207+BT207)</f>
      </c>
      <c r="CL207" s="37">
        <f>IF(B207="","",IF(J207=0,0,(M207+P207*G207/J207)*(1-Pct_Reclamaciones-Pct_Banco-Imp_Ventas_Serv-Contrib_Territorial)-AI207-BE207-BV207-CK207*G207/J207))</f>
      </c>
      <c r="CM207" s="37">
        <f>IF(B207="","",IF(J207=0,0,(N207+P207*H207/J207)*(1-Pct_Reclamaciones-Pct_Banco-Imp_Ventas_Serv-Contrib_Territorial)-AS207-BF207-BX207-CK207*H207/J207))</f>
      </c>
      <c r="CN207" s="37">
        <f>IF(B207="","",IF(J207=0,0,(O207+P207*I207/J207)*(1-Pct_Reclamaciones-Pct_Banco-Imp_Ventas_Serv-Contrib_Territorial)-BC207-BG207-BZ207-CK207*I207/J207))</f>
      </c>
      <c r="CO207" s="37">
        <f>IF(B207="","",IF(J207=0,0,ROUND(CD207-CL207-CM207-CN207,4)))</f>
      </c>
      <c r="CP207" s="71">
        <f>IF(B207="","",T207+AG207+AK207+AM207+AU207+AW207)</f>
      </c>
      <c r="CQ207" s="71">
        <f>IF(B207="","",U207+AH207+AL207+AN207+AV207+AX207)</f>
      </c>
      <c r="CR207" s="72">
        <f>IF(B207="","",IF(CP207=0,0,CQ207/CP207-1))</f>
      </c>
      <c r="CS207" s="60">
        <f>IF(B207="","",IF(ENTRADA!$Y207="","",ENTRADA!$Y207-C207))</f>
      </c>
      <c r="CT207" s="66">
        <f>IF(B207="","",IF(ENTRADA!$C207="","Falta fecha. ","")&amp;IF(BP207=0,"Mes fuera del rango de COSTOS_FIJOS. ","")&amp;IF(J207=0,"Sin kg. ","")&amp;IF(E207="","Falta transitaria. ","")&amp;IF(AND(T207&gt;0,U207/T207-1&gt;Tolerancia_Comb),"Combustible al puerto "&amp;TEXT(U207/T207-1,"+0%")&amp;" sobre norma. ","")&amp;IF(AND(AG207&gt;0,AH207/AG207-1&gt;Tolerancia_Comb),"Combustible distribución Occidente "&amp;TEXT(AH207/AG207-1,"+0%")&amp;" sobre norma. ","")&amp;IF(AND(AK207&gt;0,AL207/AK207-1&gt;Tolerancia_Comb),"Combustible traslado Centro "&amp;TEXT(AL207/AK207-1,"+0%")&amp;" sobre norma. ","")&amp;IF(AND(AM207&gt;0,AN207/AM207-1&gt;Tolerancia_Comb),"Combustible distribución Centro "&amp;TEXT(AN207/AM207-1,"+0%")&amp;" sobre norma. ","")&amp;IF(AND(AU207&gt;0,AV207/AU207-1&gt;Tolerancia_Comb),"Combustible traslado Oriente "&amp;TEXT(AV207/AU207-1,"+0%")&amp;" sobre norma. ","")&amp;IF(AND(AW207&gt;0,AX207/AW207-1&gt;Tolerancia_Comb),"Combustible distribución Oriente "&amp;TEXT(AX207/AW207-1,"+0%")&amp;" sobre norma. ","")&amp;IF(AND(ENTRADA!$C207&lt;&gt;"",C207&lt;PRECIOS!$A$6),"Fecha anterior a la 1ª vigencia de precios. ","")&amp;IF(CD207&lt;0,"Contenedor con pérdida. ",""))</f>
      </c>
    </row>
    <row r="208">
      <c r="A208" s="60">
        <f>IF(B208="","",ROW()-5)</f>
      </c>
      <c r="B208" s="63">
        <f>IF(ENTRADA!$B208="","",ENTRADA!$B208)</f>
      </c>
      <c r="C208" s="64">
        <f>IF(B208="","",ENTRADA!$C208)</f>
      </c>
      <c r="D208" s="65">
        <f>IF(B208="","",DATE(YEAR(C208),MONTH(C208),1))</f>
      </c>
      <c r="E208" s="66">
        <f>IF(B208="","",ENTRADA!$D208&amp;"")</f>
      </c>
      <c r="F208" s="66">
        <f>IF(B208="","",ENTRADA!$Z208&amp;"")</f>
      </c>
      <c r="G208" s="67">
        <f>IF(B208="","",N(ENTRADA!$G208))</f>
      </c>
      <c r="H208" s="67">
        <f>IF(B208="","",N(ENTRADA!$H208))</f>
      </c>
      <c r="I208" s="67">
        <f>IF(B208="","",N(ENTRADA!$I208))</f>
      </c>
      <c r="J208" s="68">
        <f>IF(B208="","",G208+H208+I208)</f>
      </c>
      <c r="K208" s="60">
        <f>IF(B208="","",IFERROR(MATCH(SUMPRODUCT(MAX((PRECIOS!$A$6:$A$55&lt;=C208)*PRECIOS!$A$6:$A$55)),PRECIOS!$A$6:$A$55,0),1))</f>
      </c>
      <c r="L208" s="69">
        <f>IF(B208="","",INDEX(PRECIOS!$A$6:$A$55,K208))</f>
      </c>
      <c r="M208" s="37">
        <f>IF(B208="","",G208*INDEX(PRECIOS!$B$6:$B$55,K208))</f>
      </c>
      <c r="N208" s="37">
        <f>IF(B208="","",H208*INDEX(PRECIOS!$C$6:$C$55,K208))</f>
      </c>
      <c r="O208" s="37">
        <f>IF(B208="","",I208*INDEX(PRECIOS!$D$6:$D$55,K208))</f>
      </c>
      <c r="P208" s="37">
        <f>IF(B208="","",N(ENTRADA!$X208))</f>
      </c>
      <c r="Q208" s="70">
        <f>IF(B208="","",M208+N208+O208+P208)</f>
      </c>
      <c r="R208" s="71">
        <f>IF(B208="","",IF(ENTRADA!$J208="",Std_Viajes_Puerto,ENTRADA!$J208))</f>
      </c>
      <c r="S208" s="37">
        <f>IF(B208="","",R208*INDEX(PRECIOS!$F$6:$F$55,K208))</f>
      </c>
      <c r="T208" s="71">
        <f>IF(B208="","",R208*Litros_Puerto_Viaje)</f>
      </c>
      <c r="U208" s="71">
        <f>IF(B208="","",IF(ENTRADA!$K208="",T208,ENTRADA!$K208))</f>
      </c>
      <c r="V208" s="37">
        <f>IF(B208="","",U208*INDEX(PRECIOS!$E$6:$E$55,K208))</f>
      </c>
      <c r="W208" s="37">
        <f>IF(B208="","",IF(ENTRADA!$L208="",R208*INDEX(PRECIOS!$G$6:$G$55,K208),ENTRADA!$L208))</f>
      </c>
      <c r="X208" s="37">
        <f>IF(B208="","",R208*Km_Puerto_Viaje*INDEX(PRECIOS!$N$6:$N$55,K208))</f>
      </c>
      <c r="Y208" s="70">
        <f>IF(B208="","",S208+V208+W208+X208)</f>
      </c>
      <c r="Z208" s="71">
        <f>IF(B208="","",IF(J208=0,0,ROUNDUP(J208/Rend_Desagrupe,0)))</f>
      </c>
      <c r="AA208" s="71">
        <f>IF(B208="","",IF(ENTRADA!$M208="",Z208,ENTRADA!$M208))</f>
      </c>
      <c r="AB208" s="37">
        <f>IF(B208="","",AA208*INDEX(PRECIOS!$H$6:$H$55,K208))</f>
      </c>
      <c r="AC208" s="37">
        <f>IF(B208="","",IF(E208="ENCI",INDEX(PRECIOS!$J$6:$J$55,K208),IF(E208="A.V",INDEX(PRECIOS!$K$6:$K$55,K208),0)))</f>
      </c>
      <c r="AD208" s="37">
        <f>IF(B208="","",N(ENTRADA!$N208))</f>
      </c>
      <c r="AE208" s="70">
        <f>IF(B208="","",AB208+AC208+AD208)</f>
      </c>
      <c r="AF208" s="71">
        <f>IF(B208="","",IF(G208=0,0,ROUNDUP(G208/Cap_Camion_OCC,0)))</f>
      </c>
      <c r="AG208" s="71">
        <f>IF(B208="","",AF208*L_Dist_OCC)</f>
      </c>
      <c r="AH208" s="71">
        <f>IF(B208="","",IF(ENTRADA!$O208="",AG208,ENTRADA!$O208))</f>
      </c>
      <c r="AI208" s="37">
        <f>IF(B208="","",AH208*INDEX(PRECIOS!$E$6:$E$55,K208))</f>
      </c>
      <c r="AJ208" s="71">
        <f>IF(B208="","",IF(H208=0,0,ROUNDUP(H208/Cap_Camion_CEN,0)))</f>
      </c>
      <c r="AK208" s="71">
        <f>IF(B208="","",AJ208*L_Tras_CEN)</f>
      </c>
      <c r="AL208" s="71">
        <f>IF(B208="","",IF(ENTRADA!$P208="",AK208,ENTRADA!$P208))</f>
      </c>
      <c r="AM208" s="71">
        <f>IF(B208="","",AJ208*L_Dist_CEN)</f>
      </c>
      <c r="AN208" s="71">
        <f>IF(B208="","",IF(ENTRADA!$Q208="",AM208,ENTRADA!$Q208))</f>
      </c>
      <c r="AO208" s="37">
        <f>IF(B208="","",(AL208+AN208)*INDEX(PRECIOS!$E$6:$E$55,K208))</f>
      </c>
      <c r="AP208" s="71">
        <f>IF(B208="","",IF(H208=0,0,ROUNDUP(H208/Rend_Desagrupe_CT,0)))</f>
      </c>
      <c r="AQ208" s="71">
        <f>IF(B208="","",IF(ENTRADA!$R208="",AP208,ENTRADA!$R208))</f>
      </c>
      <c r="AR208" s="37">
        <f>IF(B208="","",AQ208*INDEX(PRECIOS!$I$6:$I$55,K208))</f>
      </c>
      <c r="AS208" s="37">
        <f>IF(B208="","",AO208+AR208)</f>
      </c>
      <c r="AT208" s="71">
        <f>IF(B208="","",IF(I208=0,0,ROUNDUP(I208/Cap_Camion_ORI,0)))</f>
      </c>
      <c r="AU208" s="71">
        <f>IF(B208="","",AT208*L_Tras_ORI)</f>
      </c>
      <c r="AV208" s="71">
        <f>IF(B208="","",IF(ENTRADA!$S208="",AU208,ENTRADA!$S208))</f>
      </c>
      <c r="AW208" s="71">
        <f>IF(B208="","",AT208*L_Dist_ORI)</f>
      </c>
      <c r="AX208" s="71">
        <f>IF(B208="","",IF(ENTRADA!$T208="",AW208,ENTRADA!$T208))</f>
      </c>
      <c r="AY208" s="37">
        <f>IF(B208="","",(AV208+AX208)*INDEX(PRECIOS!$E$6:$E$55,K208))</f>
      </c>
      <c r="AZ208" s="71">
        <f>IF(B208="","",IF(I208=0,0,ROUNDUP(I208/Rend_Desagrupe_CT,0)))</f>
      </c>
      <c r="BA208" s="71">
        <f>IF(B208="","",IF(ENTRADA!$U208="",AZ208,ENTRADA!$U208))</f>
      </c>
      <c r="BB208" s="37">
        <f>IF(B208="","",BA208*INDEX(PRECIOS!$I$6:$I$55,K208))</f>
      </c>
      <c r="BC208" s="37">
        <f>IF(B208="","",AY208+BB208)</f>
      </c>
      <c r="BD208" s="70">
        <f>IF(B208="","",AI208+AS208+BC208)</f>
      </c>
      <c r="BE208" s="37">
        <f>IF(B208="","",IF(Base_Comision="% DEL INGRESO",M208*INDEX(PRECIOS!$L$6:$L$55,K208),G208*INDEX(PRECIOS!$M$6:$M$55,K208)))</f>
      </c>
      <c r="BF208" s="37">
        <f>IF(B208="","",IF(Base_Comision="% DEL INGRESO",N208*INDEX(PRECIOS!$L$6:$L$55,K208),H208*INDEX(PRECIOS!$M$6:$M$55,K208)))</f>
      </c>
      <c r="BG208" s="37">
        <f>IF(B208="","",IF(Base_Comision="% DEL INGRESO",O208*INDEX(PRECIOS!$L$6:$L$55,K208),I208*INDEX(PRECIOS!$M$6:$M$55,K208)))</f>
      </c>
      <c r="BH208" s="70">
        <f>IF(B208="","",BE208+BF208+BG208)</f>
      </c>
      <c r="BI208" s="37">
        <f>IF(B208="","",Q208*Pct_Reclamaciones)</f>
      </c>
      <c r="BJ208" s="37">
        <f>IF(B208="","",Q208*Pct_Banco)</f>
      </c>
      <c r="BK208" s="37">
        <f>IF(B208="","",N(ENTRADA!$V208))</f>
      </c>
      <c r="BL208" s="70">
        <f>IF(B208="","",Y208+AE208+BD208+BH208+BI208+BJ208+BK208)</f>
      </c>
      <c r="BM208" s="70">
        <f>IF(B208="","",Q208-BL208)</f>
      </c>
      <c r="BN208" s="72">
        <f>IF(B208="","",IF(Q208=0,0,BM208/Q208))</f>
      </c>
      <c r="BO208" s="73">
        <f>IF(B208="","",IF(J208=0,0,BM208/J208))</f>
      </c>
      <c r="BP208" s="60">
        <f>IF(B208="","",IFERROR(MATCH(D208,COSTOS_FIJOS!$G$5:$AD$5,0),0))</f>
      </c>
      <c r="BQ208" s="60">
        <f>IF(B208="","",COUNTIFS($D$6:$D$305,D208))</f>
      </c>
      <c r="BR208" s="67">
        <f>IF(B208="","",SUMIFS($J$6:$J$305,$D$6:$D$305,D208))</f>
      </c>
      <c r="BS208" s="72">
        <f>IF(B208="","",IF(Metodo_Prorrateo="KG",IF(BR208=0,0,J208/BR208),1/BQ208))</f>
      </c>
      <c r="BT208" s="37">
        <f>IF(B208="","",IF(BP208=0,0,INDEX(COSTOS_FIJOS!$G$38:$AD$38,BP208))*BS208)</f>
      </c>
      <c r="BU208" s="72">
        <f>IF(B208="","",IF(Metodo_Prorrateo="KG",IF(SUMIFS($G$6:$G$305,$D$6:$D$305,D208)=0,0,G208/SUMIFS($G$6:$G$305,$D$6:$D$305,D208)),IF(G208&gt;0,1/COUNTIFS($D$6:$D$305,D208,$G$6:$G$305,"&gt;0"),0)))</f>
      </c>
      <c r="BV208" s="37">
        <f>IF(B208="","",IF(BP208=0,0,INDEX(COSTOS_FIJOS!$G$39:$AD$39,BP208))*BU208)</f>
      </c>
      <c r="BW208" s="72">
        <f>IF(B208="","",IF(Metodo_Prorrateo="KG",IF(SUMIFS($H$6:$H$305,$D$6:$D$305,D208)=0,0,H208/SUMIFS($H$6:$H$305,$D$6:$D$305,D208)),IF(H208&gt;0,1/COUNTIFS($D$6:$D$305,D208,$H$6:$H$305,"&gt;0"),0)))</f>
      </c>
      <c r="BX208" s="37">
        <f>IF(B208="","",IF(BP208=0,0,INDEX(COSTOS_FIJOS!$G$40:$AD$40,BP208))*BW208)</f>
      </c>
      <c r="BY208" s="72">
        <f>IF(B208="","",IF(Metodo_Prorrateo="KG",IF(SUMIFS($I$6:$I$305,$D$6:$D$305,D208)=0,0,I208/SUMIFS($I$6:$I$305,$D$6:$D$305,D208)),IF(I208&gt;0,1/COUNTIFS($D$6:$D$305,D208,$I$6:$I$305,"&gt;0"),0)))</f>
      </c>
      <c r="BZ208" s="37">
        <f>IF(B208="","",IF(BP208=0,0,INDEX(COSTOS_FIJOS!$G$41:$AD$41,BP208))*BY208)</f>
      </c>
      <c r="CA208" s="70">
        <f>IF(B208="","",BT208+BV208+BX208+BZ208)</f>
      </c>
      <c r="CB208" s="37">
        <f>IF(B208="","",Q208*Imp_Ventas_Serv)</f>
      </c>
      <c r="CC208" s="37">
        <f>IF(B208="","",Q208*Contrib_Territorial)</f>
      </c>
      <c r="CD208" s="70">
        <f>IF(B208="","",BM208-CA208-CB208-CC208)</f>
      </c>
      <c r="CE208" s="37">
        <f>IF(B208="","",MAX(0,CD208)*Imp_Utilidades)</f>
      </c>
      <c r="CF208" s="70">
        <f>IF(B208="","",CD208-CE208)</f>
      </c>
      <c r="CG208" s="72">
        <f>IF(B208="","",IF(Q208=0,0,CF208/Q208))</f>
      </c>
      <c r="CH208" s="73">
        <f>IF(B208="","",IF(J208=0,0,(BL208+CA208+CB208+CC208)/J208))</f>
      </c>
      <c r="CI208" s="73">
        <f>IF(B208="","",IF(J208=0,0,Q208/J208))</f>
      </c>
      <c r="CJ208" s="73">
        <f>IF(B208="","",IF(J208=0,0,CD208/J208))</f>
      </c>
      <c r="CK208" s="37">
        <f>IF(B208="","",Y208+AE208+BK208+BT208)</f>
      </c>
      <c r="CL208" s="37">
        <f>IF(B208="","",IF(J208=0,0,(M208+P208*G208/J208)*(1-Pct_Reclamaciones-Pct_Banco-Imp_Ventas_Serv-Contrib_Territorial)-AI208-BE208-BV208-CK208*G208/J208))</f>
      </c>
      <c r="CM208" s="37">
        <f>IF(B208="","",IF(J208=0,0,(N208+P208*H208/J208)*(1-Pct_Reclamaciones-Pct_Banco-Imp_Ventas_Serv-Contrib_Territorial)-AS208-BF208-BX208-CK208*H208/J208))</f>
      </c>
      <c r="CN208" s="37">
        <f>IF(B208="","",IF(J208=0,0,(O208+P208*I208/J208)*(1-Pct_Reclamaciones-Pct_Banco-Imp_Ventas_Serv-Contrib_Territorial)-BC208-BG208-BZ208-CK208*I208/J208))</f>
      </c>
      <c r="CO208" s="37">
        <f>IF(B208="","",IF(J208=0,0,ROUND(CD208-CL208-CM208-CN208,4)))</f>
      </c>
      <c r="CP208" s="71">
        <f>IF(B208="","",T208+AG208+AK208+AM208+AU208+AW208)</f>
      </c>
      <c r="CQ208" s="71">
        <f>IF(B208="","",U208+AH208+AL208+AN208+AV208+AX208)</f>
      </c>
      <c r="CR208" s="72">
        <f>IF(B208="","",IF(CP208=0,0,CQ208/CP208-1))</f>
      </c>
      <c r="CS208" s="60">
        <f>IF(B208="","",IF(ENTRADA!$Y208="","",ENTRADA!$Y208-C208))</f>
      </c>
      <c r="CT208" s="66">
        <f>IF(B208="","",IF(ENTRADA!$C208="","Falta fecha. ","")&amp;IF(BP208=0,"Mes fuera del rango de COSTOS_FIJOS. ","")&amp;IF(J208=0,"Sin kg. ","")&amp;IF(E208="","Falta transitaria. ","")&amp;IF(AND(T208&gt;0,U208/T208-1&gt;Tolerancia_Comb),"Combustible al puerto "&amp;TEXT(U208/T208-1,"+0%")&amp;" sobre norma. ","")&amp;IF(AND(AG208&gt;0,AH208/AG208-1&gt;Tolerancia_Comb),"Combustible distribución Occidente "&amp;TEXT(AH208/AG208-1,"+0%")&amp;" sobre norma. ","")&amp;IF(AND(AK208&gt;0,AL208/AK208-1&gt;Tolerancia_Comb),"Combustible traslado Centro "&amp;TEXT(AL208/AK208-1,"+0%")&amp;" sobre norma. ","")&amp;IF(AND(AM208&gt;0,AN208/AM208-1&gt;Tolerancia_Comb),"Combustible distribución Centro "&amp;TEXT(AN208/AM208-1,"+0%")&amp;" sobre norma. ","")&amp;IF(AND(AU208&gt;0,AV208/AU208-1&gt;Tolerancia_Comb),"Combustible traslado Oriente "&amp;TEXT(AV208/AU208-1,"+0%")&amp;" sobre norma. ","")&amp;IF(AND(AW208&gt;0,AX208/AW208-1&gt;Tolerancia_Comb),"Combustible distribución Oriente "&amp;TEXT(AX208/AW208-1,"+0%")&amp;" sobre norma. ","")&amp;IF(AND(ENTRADA!$C208&lt;&gt;"",C208&lt;PRECIOS!$A$6),"Fecha anterior a la 1ª vigencia de precios. ","")&amp;IF(CD208&lt;0,"Contenedor con pérdida. ",""))</f>
      </c>
    </row>
    <row r="209">
      <c r="A209" s="60">
        <f>IF(B209="","",ROW()-5)</f>
      </c>
      <c r="B209" s="63">
        <f>IF(ENTRADA!$B209="","",ENTRADA!$B209)</f>
      </c>
      <c r="C209" s="64">
        <f>IF(B209="","",ENTRADA!$C209)</f>
      </c>
      <c r="D209" s="65">
        <f>IF(B209="","",DATE(YEAR(C209),MONTH(C209),1))</f>
      </c>
      <c r="E209" s="66">
        <f>IF(B209="","",ENTRADA!$D209&amp;"")</f>
      </c>
      <c r="F209" s="66">
        <f>IF(B209="","",ENTRADA!$Z209&amp;"")</f>
      </c>
      <c r="G209" s="67">
        <f>IF(B209="","",N(ENTRADA!$G209))</f>
      </c>
      <c r="H209" s="67">
        <f>IF(B209="","",N(ENTRADA!$H209))</f>
      </c>
      <c r="I209" s="67">
        <f>IF(B209="","",N(ENTRADA!$I209))</f>
      </c>
      <c r="J209" s="68">
        <f>IF(B209="","",G209+H209+I209)</f>
      </c>
      <c r="K209" s="60">
        <f>IF(B209="","",IFERROR(MATCH(SUMPRODUCT(MAX((PRECIOS!$A$6:$A$55&lt;=C209)*PRECIOS!$A$6:$A$55)),PRECIOS!$A$6:$A$55,0),1))</f>
      </c>
      <c r="L209" s="69">
        <f>IF(B209="","",INDEX(PRECIOS!$A$6:$A$55,K209))</f>
      </c>
      <c r="M209" s="37">
        <f>IF(B209="","",G209*INDEX(PRECIOS!$B$6:$B$55,K209))</f>
      </c>
      <c r="N209" s="37">
        <f>IF(B209="","",H209*INDEX(PRECIOS!$C$6:$C$55,K209))</f>
      </c>
      <c r="O209" s="37">
        <f>IF(B209="","",I209*INDEX(PRECIOS!$D$6:$D$55,K209))</f>
      </c>
      <c r="P209" s="37">
        <f>IF(B209="","",N(ENTRADA!$X209))</f>
      </c>
      <c r="Q209" s="70">
        <f>IF(B209="","",M209+N209+O209+P209)</f>
      </c>
      <c r="R209" s="71">
        <f>IF(B209="","",IF(ENTRADA!$J209="",Std_Viajes_Puerto,ENTRADA!$J209))</f>
      </c>
      <c r="S209" s="37">
        <f>IF(B209="","",R209*INDEX(PRECIOS!$F$6:$F$55,K209))</f>
      </c>
      <c r="T209" s="71">
        <f>IF(B209="","",R209*Litros_Puerto_Viaje)</f>
      </c>
      <c r="U209" s="71">
        <f>IF(B209="","",IF(ENTRADA!$K209="",T209,ENTRADA!$K209))</f>
      </c>
      <c r="V209" s="37">
        <f>IF(B209="","",U209*INDEX(PRECIOS!$E$6:$E$55,K209))</f>
      </c>
      <c r="W209" s="37">
        <f>IF(B209="","",IF(ENTRADA!$L209="",R209*INDEX(PRECIOS!$G$6:$G$55,K209),ENTRADA!$L209))</f>
      </c>
      <c r="X209" s="37">
        <f>IF(B209="","",R209*Km_Puerto_Viaje*INDEX(PRECIOS!$N$6:$N$55,K209))</f>
      </c>
      <c r="Y209" s="70">
        <f>IF(B209="","",S209+V209+W209+X209)</f>
      </c>
      <c r="Z209" s="71">
        <f>IF(B209="","",IF(J209=0,0,ROUNDUP(J209/Rend_Desagrupe,0)))</f>
      </c>
      <c r="AA209" s="71">
        <f>IF(B209="","",IF(ENTRADA!$M209="",Z209,ENTRADA!$M209))</f>
      </c>
      <c r="AB209" s="37">
        <f>IF(B209="","",AA209*INDEX(PRECIOS!$H$6:$H$55,K209))</f>
      </c>
      <c r="AC209" s="37">
        <f>IF(B209="","",IF(E209="ENCI",INDEX(PRECIOS!$J$6:$J$55,K209),IF(E209="A.V",INDEX(PRECIOS!$K$6:$K$55,K209),0)))</f>
      </c>
      <c r="AD209" s="37">
        <f>IF(B209="","",N(ENTRADA!$N209))</f>
      </c>
      <c r="AE209" s="70">
        <f>IF(B209="","",AB209+AC209+AD209)</f>
      </c>
      <c r="AF209" s="71">
        <f>IF(B209="","",IF(G209=0,0,ROUNDUP(G209/Cap_Camion_OCC,0)))</f>
      </c>
      <c r="AG209" s="71">
        <f>IF(B209="","",AF209*L_Dist_OCC)</f>
      </c>
      <c r="AH209" s="71">
        <f>IF(B209="","",IF(ENTRADA!$O209="",AG209,ENTRADA!$O209))</f>
      </c>
      <c r="AI209" s="37">
        <f>IF(B209="","",AH209*INDEX(PRECIOS!$E$6:$E$55,K209))</f>
      </c>
      <c r="AJ209" s="71">
        <f>IF(B209="","",IF(H209=0,0,ROUNDUP(H209/Cap_Camion_CEN,0)))</f>
      </c>
      <c r="AK209" s="71">
        <f>IF(B209="","",AJ209*L_Tras_CEN)</f>
      </c>
      <c r="AL209" s="71">
        <f>IF(B209="","",IF(ENTRADA!$P209="",AK209,ENTRADA!$P209))</f>
      </c>
      <c r="AM209" s="71">
        <f>IF(B209="","",AJ209*L_Dist_CEN)</f>
      </c>
      <c r="AN209" s="71">
        <f>IF(B209="","",IF(ENTRADA!$Q209="",AM209,ENTRADA!$Q209))</f>
      </c>
      <c r="AO209" s="37">
        <f>IF(B209="","",(AL209+AN209)*INDEX(PRECIOS!$E$6:$E$55,K209))</f>
      </c>
      <c r="AP209" s="71">
        <f>IF(B209="","",IF(H209=0,0,ROUNDUP(H209/Rend_Desagrupe_CT,0)))</f>
      </c>
      <c r="AQ209" s="71">
        <f>IF(B209="","",IF(ENTRADA!$R209="",AP209,ENTRADA!$R209))</f>
      </c>
      <c r="AR209" s="37">
        <f>IF(B209="","",AQ209*INDEX(PRECIOS!$I$6:$I$55,K209))</f>
      </c>
      <c r="AS209" s="37">
        <f>IF(B209="","",AO209+AR209)</f>
      </c>
      <c r="AT209" s="71">
        <f>IF(B209="","",IF(I209=0,0,ROUNDUP(I209/Cap_Camion_ORI,0)))</f>
      </c>
      <c r="AU209" s="71">
        <f>IF(B209="","",AT209*L_Tras_ORI)</f>
      </c>
      <c r="AV209" s="71">
        <f>IF(B209="","",IF(ENTRADA!$S209="",AU209,ENTRADA!$S209))</f>
      </c>
      <c r="AW209" s="71">
        <f>IF(B209="","",AT209*L_Dist_ORI)</f>
      </c>
      <c r="AX209" s="71">
        <f>IF(B209="","",IF(ENTRADA!$T209="",AW209,ENTRADA!$T209))</f>
      </c>
      <c r="AY209" s="37">
        <f>IF(B209="","",(AV209+AX209)*INDEX(PRECIOS!$E$6:$E$55,K209))</f>
      </c>
      <c r="AZ209" s="71">
        <f>IF(B209="","",IF(I209=0,0,ROUNDUP(I209/Rend_Desagrupe_CT,0)))</f>
      </c>
      <c r="BA209" s="71">
        <f>IF(B209="","",IF(ENTRADA!$U209="",AZ209,ENTRADA!$U209))</f>
      </c>
      <c r="BB209" s="37">
        <f>IF(B209="","",BA209*INDEX(PRECIOS!$I$6:$I$55,K209))</f>
      </c>
      <c r="BC209" s="37">
        <f>IF(B209="","",AY209+BB209)</f>
      </c>
      <c r="BD209" s="70">
        <f>IF(B209="","",AI209+AS209+BC209)</f>
      </c>
      <c r="BE209" s="37">
        <f>IF(B209="","",IF(Base_Comision="% DEL INGRESO",M209*INDEX(PRECIOS!$L$6:$L$55,K209),G209*INDEX(PRECIOS!$M$6:$M$55,K209)))</f>
      </c>
      <c r="BF209" s="37">
        <f>IF(B209="","",IF(Base_Comision="% DEL INGRESO",N209*INDEX(PRECIOS!$L$6:$L$55,K209),H209*INDEX(PRECIOS!$M$6:$M$55,K209)))</f>
      </c>
      <c r="BG209" s="37">
        <f>IF(B209="","",IF(Base_Comision="% DEL INGRESO",O209*INDEX(PRECIOS!$L$6:$L$55,K209),I209*INDEX(PRECIOS!$M$6:$M$55,K209)))</f>
      </c>
      <c r="BH209" s="70">
        <f>IF(B209="","",BE209+BF209+BG209)</f>
      </c>
      <c r="BI209" s="37">
        <f>IF(B209="","",Q209*Pct_Reclamaciones)</f>
      </c>
      <c r="BJ209" s="37">
        <f>IF(B209="","",Q209*Pct_Banco)</f>
      </c>
      <c r="BK209" s="37">
        <f>IF(B209="","",N(ENTRADA!$V209))</f>
      </c>
      <c r="BL209" s="70">
        <f>IF(B209="","",Y209+AE209+BD209+BH209+BI209+BJ209+BK209)</f>
      </c>
      <c r="BM209" s="70">
        <f>IF(B209="","",Q209-BL209)</f>
      </c>
      <c r="BN209" s="72">
        <f>IF(B209="","",IF(Q209=0,0,BM209/Q209))</f>
      </c>
      <c r="BO209" s="73">
        <f>IF(B209="","",IF(J209=0,0,BM209/J209))</f>
      </c>
      <c r="BP209" s="60">
        <f>IF(B209="","",IFERROR(MATCH(D209,COSTOS_FIJOS!$G$5:$AD$5,0),0))</f>
      </c>
      <c r="BQ209" s="60">
        <f>IF(B209="","",COUNTIFS($D$6:$D$305,D209))</f>
      </c>
      <c r="BR209" s="67">
        <f>IF(B209="","",SUMIFS($J$6:$J$305,$D$6:$D$305,D209))</f>
      </c>
      <c r="BS209" s="72">
        <f>IF(B209="","",IF(Metodo_Prorrateo="KG",IF(BR209=0,0,J209/BR209),1/BQ209))</f>
      </c>
      <c r="BT209" s="37">
        <f>IF(B209="","",IF(BP209=0,0,INDEX(COSTOS_FIJOS!$G$38:$AD$38,BP209))*BS209)</f>
      </c>
      <c r="BU209" s="72">
        <f>IF(B209="","",IF(Metodo_Prorrateo="KG",IF(SUMIFS($G$6:$G$305,$D$6:$D$305,D209)=0,0,G209/SUMIFS($G$6:$G$305,$D$6:$D$305,D209)),IF(G209&gt;0,1/COUNTIFS($D$6:$D$305,D209,$G$6:$G$305,"&gt;0"),0)))</f>
      </c>
      <c r="BV209" s="37">
        <f>IF(B209="","",IF(BP209=0,0,INDEX(COSTOS_FIJOS!$G$39:$AD$39,BP209))*BU209)</f>
      </c>
      <c r="BW209" s="72">
        <f>IF(B209="","",IF(Metodo_Prorrateo="KG",IF(SUMIFS($H$6:$H$305,$D$6:$D$305,D209)=0,0,H209/SUMIFS($H$6:$H$305,$D$6:$D$305,D209)),IF(H209&gt;0,1/COUNTIFS($D$6:$D$305,D209,$H$6:$H$305,"&gt;0"),0)))</f>
      </c>
      <c r="BX209" s="37">
        <f>IF(B209="","",IF(BP209=0,0,INDEX(COSTOS_FIJOS!$G$40:$AD$40,BP209))*BW209)</f>
      </c>
      <c r="BY209" s="72">
        <f>IF(B209="","",IF(Metodo_Prorrateo="KG",IF(SUMIFS($I$6:$I$305,$D$6:$D$305,D209)=0,0,I209/SUMIFS($I$6:$I$305,$D$6:$D$305,D209)),IF(I209&gt;0,1/COUNTIFS($D$6:$D$305,D209,$I$6:$I$305,"&gt;0"),0)))</f>
      </c>
      <c r="BZ209" s="37">
        <f>IF(B209="","",IF(BP209=0,0,INDEX(COSTOS_FIJOS!$G$41:$AD$41,BP209))*BY209)</f>
      </c>
      <c r="CA209" s="70">
        <f>IF(B209="","",BT209+BV209+BX209+BZ209)</f>
      </c>
      <c r="CB209" s="37">
        <f>IF(B209="","",Q209*Imp_Ventas_Serv)</f>
      </c>
      <c r="CC209" s="37">
        <f>IF(B209="","",Q209*Contrib_Territorial)</f>
      </c>
      <c r="CD209" s="70">
        <f>IF(B209="","",BM209-CA209-CB209-CC209)</f>
      </c>
      <c r="CE209" s="37">
        <f>IF(B209="","",MAX(0,CD209)*Imp_Utilidades)</f>
      </c>
      <c r="CF209" s="70">
        <f>IF(B209="","",CD209-CE209)</f>
      </c>
      <c r="CG209" s="72">
        <f>IF(B209="","",IF(Q209=0,0,CF209/Q209))</f>
      </c>
      <c r="CH209" s="73">
        <f>IF(B209="","",IF(J209=0,0,(BL209+CA209+CB209+CC209)/J209))</f>
      </c>
      <c r="CI209" s="73">
        <f>IF(B209="","",IF(J209=0,0,Q209/J209))</f>
      </c>
      <c r="CJ209" s="73">
        <f>IF(B209="","",IF(J209=0,0,CD209/J209))</f>
      </c>
      <c r="CK209" s="37">
        <f>IF(B209="","",Y209+AE209+BK209+BT209)</f>
      </c>
      <c r="CL209" s="37">
        <f>IF(B209="","",IF(J209=0,0,(M209+P209*G209/J209)*(1-Pct_Reclamaciones-Pct_Banco-Imp_Ventas_Serv-Contrib_Territorial)-AI209-BE209-BV209-CK209*G209/J209))</f>
      </c>
      <c r="CM209" s="37">
        <f>IF(B209="","",IF(J209=0,0,(N209+P209*H209/J209)*(1-Pct_Reclamaciones-Pct_Banco-Imp_Ventas_Serv-Contrib_Territorial)-AS209-BF209-BX209-CK209*H209/J209))</f>
      </c>
      <c r="CN209" s="37">
        <f>IF(B209="","",IF(J209=0,0,(O209+P209*I209/J209)*(1-Pct_Reclamaciones-Pct_Banco-Imp_Ventas_Serv-Contrib_Territorial)-BC209-BG209-BZ209-CK209*I209/J209))</f>
      </c>
      <c r="CO209" s="37">
        <f>IF(B209="","",IF(J209=0,0,ROUND(CD209-CL209-CM209-CN209,4)))</f>
      </c>
      <c r="CP209" s="71">
        <f>IF(B209="","",T209+AG209+AK209+AM209+AU209+AW209)</f>
      </c>
      <c r="CQ209" s="71">
        <f>IF(B209="","",U209+AH209+AL209+AN209+AV209+AX209)</f>
      </c>
      <c r="CR209" s="72">
        <f>IF(B209="","",IF(CP209=0,0,CQ209/CP209-1))</f>
      </c>
      <c r="CS209" s="60">
        <f>IF(B209="","",IF(ENTRADA!$Y209="","",ENTRADA!$Y209-C209))</f>
      </c>
      <c r="CT209" s="66">
        <f>IF(B209="","",IF(ENTRADA!$C209="","Falta fecha. ","")&amp;IF(BP209=0,"Mes fuera del rango de COSTOS_FIJOS. ","")&amp;IF(J209=0,"Sin kg. ","")&amp;IF(E209="","Falta transitaria. ","")&amp;IF(AND(T209&gt;0,U209/T209-1&gt;Tolerancia_Comb),"Combustible al puerto "&amp;TEXT(U209/T209-1,"+0%")&amp;" sobre norma. ","")&amp;IF(AND(AG209&gt;0,AH209/AG209-1&gt;Tolerancia_Comb),"Combustible distribución Occidente "&amp;TEXT(AH209/AG209-1,"+0%")&amp;" sobre norma. ","")&amp;IF(AND(AK209&gt;0,AL209/AK209-1&gt;Tolerancia_Comb),"Combustible traslado Centro "&amp;TEXT(AL209/AK209-1,"+0%")&amp;" sobre norma. ","")&amp;IF(AND(AM209&gt;0,AN209/AM209-1&gt;Tolerancia_Comb),"Combustible distribución Centro "&amp;TEXT(AN209/AM209-1,"+0%")&amp;" sobre norma. ","")&amp;IF(AND(AU209&gt;0,AV209/AU209-1&gt;Tolerancia_Comb),"Combustible traslado Oriente "&amp;TEXT(AV209/AU209-1,"+0%")&amp;" sobre norma. ","")&amp;IF(AND(AW209&gt;0,AX209/AW209-1&gt;Tolerancia_Comb),"Combustible distribución Oriente "&amp;TEXT(AX209/AW209-1,"+0%")&amp;" sobre norma. ","")&amp;IF(AND(ENTRADA!$C209&lt;&gt;"",C209&lt;PRECIOS!$A$6),"Fecha anterior a la 1ª vigencia de precios. ","")&amp;IF(CD209&lt;0,"Contenedor con pérdida. ",""))</f>
      </c>
    </row>
    <row r="210">
      <c r="A210" s="60">
        <f>IF(B210="","",ROW()-5)</f>
      </c>
      <c r="B210" s="63">
        <f>IF(ENTRADA!$B210="","",ENTRADA!$B210)</f>
      </c>
      <c r="C210" s="64">
        <f>IF(B210="","",ENTRADA!$C210)</f>
      </c>
      <c r="D210" s="65">
        <f>IF(B210="","",DATE(YEAR(C210),MONTH(C210),1))</f>
      </c>
      <c r="E210" s="66">
        <f>IF(B210="","",ENTRADA!$D210&amp;"")</f>
      </c>
      <c r="F210" s="66">
        <f>IF(B210="","",ENTRADA!$Z210&amp;"")</f>
      </c>
      <c r="G210" s="67">
        <f>IF(B210="","",N(ENTRADA!$G210))</f>
      </c>
      <c r="H210" s="67">
        <f>IF(B210="","",N(ENTRADA!$H210))</f>
      </c>
      <c r="I210" s="67">
        <f>IF(B210="","",N(ENTRADA!$I210))</f>
      </c>
      <c r="J210" s="68">
        <f>IF(B210="","",G210+H210+I210)</f>
      </c>
      <c r="K210" s="60">
        <f>IF(B210="","",IFERROR(MATCH(SUMPRODUCT(MAX((PRECIOS!$A$6:$A$55&lt;=C210)*PRECIOS!$A$6:$A$55)),PRECIOS!$A$6:$A$55,0),1))</f>
      </c>
      <c r="L210" s="69">
        <f>IF(B210="","",INDEX(PRECIOS!$A$6:$A$55,K210))</f>
      </c>
      <c r="M210" s="37">
        <f>IF(B210="","",G210*INDEX(PRECIOS!$B$6:$B$55,K210))</f>
      </c>
      <c r="N210" s="37">
        <f>IF(B210="","",H210*INDEX(PRECIOS!$C$6:$C$55,K210))</f>
      </c>
      <c r="O210" s="37">
        <f>IF(B210="","",I210*INDEX(PRECIOS!$D$6:$D$55,K210))</f>
      </c>
      <c r="P210" s="37">
        <f>IF(B210="","",N(ENTRADA!$X210))</f>
      </c>
      <c r="Q210" s="70">
        <f>IF(B210="","",M210+N210+O210+P210)</f>
      </c>
      <c r="R210" s="71">
        <f>IF(B210="","",IF(ENTRADA!$J210="",Std_Viajes_Puerto,ENTRADA!$J210))</f>
      </c>
      <c r="S210" s="37">
        <f>IF(B210="","",R210*INDEX(PRECIOS!$F$6:$F$55,K210))</f>
      </c>
      <c r="T210" s="71">
        <f>IF(B210="","",R210*Litros_Puerto_Viaje)</f>
      </c>
      <c r="U210" s="71">
        <f>IF(B210="","",IF(ENTRADA!$K210="",T210,ENTRADA!$K210))</f>
      </c>
      <c r="V210" s="37">
        <f>IF(B210="","",U210*INDEX(PRECIOS!$E$6:$E$55,K210))</f>
      </c>
      <c r="W210" s="37">
        <f>IF(B210="","",IF(ENTRADA!$L210="",R210*INDEX(PRECIOS!$G$6:$G$55,K210),ENTRADA!$L210))</f>
      </c>
      <c r="X210" s="37">
        <f>IF(B210="","",R210*Km_Puerto_Viaje*INDEX(PRECIOS!$N$6:$N$55,K210))</f>
      </c>
      <c r="Y210" s="70">
        <f>IF(B210="","",S210+V210+W210+X210)</f>
      </c>
      <c r="Z210" s="71">
        <f>IF(B210="","",IF(J210=0,0,ROUNDUP(J210/Rend_Desagrupe,0)))</f>
      </c>
      <c r="AA210" s="71">
        <f>IF(B210="","",IF(ENTRADA!$M210="",Z210,ENTRADA!$M210))</f>
      </c>
      <c r="AB210" s="37">
        <f>IF(B210="","",AA210*INDEX(PRECIOS!$H$6:$H$55,K210))</f>
      </c>
      <c r="AC210" s="37">
        <f>IF(B210="","",IF(E210="ENCI",INDEX(PRECIOS!$J$6:$J$55,K210),IF(E210="A.V",INDEX(PRECIOS!$K$6:$K$55,K210),0)))</f>
      </c>
      <c r="AD210" s="37">
        <f>IF(B210="","",N(ENTRADA!$N210))</f>
      </c>
      <c r="AE210" s="70">
        <f>IF(B210="","",AB210+AC210+AD210)</f>
      </c>
      <c r="AF210" s="71">
        <f>IF(B210="","",IF(G210=0,0,ROUNDUP(G210/Cap_Camion_OCC,0)))</f>
      </c>
      <c r="AG210" s="71">
        <f>IF(B210="","",AF210*L_Dist_OCC)</f>
      </c>
      <c r="AH210" s="71">
        <f>IF(B210="","",IF(ENTRADA!$O210="",AG210,ENTRADA!$O210))</f>
      </c>
      <c r="AI210" s="37">
        <f>IF(B210="","",AH210*INDEX(PRECIOS!$E$6:$E$55,K210))</f>
      </c>
      <c r="AJ210" s="71">
        <f>IF(B210="","",IF(H210=0,0,ROUNDUP(H210/Cap_Camion_CEN,0)))</f>
      </c>
      <c r="AK210" s="71">
        <f>IF(B210="","",AJ210*L_Tras_CEN)</f>
      </c>
      <c r="AL210" s="71">
        <f>IF(B210="","",IF(ENTRADA!$P210="",AK210,ENTRADA!$P210))</f>
      </c>
      <c r="AM210" s="71">
        <f>IF(B210="","",AJ210*L_Dist_CEN)</f>
      </c>
      <c r="AN210" s="71">
        <f>IF(B210="","",IF(ENTRADA!$Q210="",AM210,ENTRADA!$Q210))</f>
      </c>
      <c r="AO210" s="37">
        <f>IF(B210="","",(AL210+AN210)*INDEX(PRECIOS!$E$6:$E$55,K210))</f>
      </c>
      <c r="AP210" s="71">
        <f>IF(B210="","",IF(H210=0,0,ROUNDUP(H210/Rend_Desagrupe_CT,0)))</f>
      </c>
      <c r="AQ210" s="71">
        <f>IF(B210="","",IF(ENTRADA!$R210="",AP210,ENTRADA!$R210))</f>
      </c>
      <c r="AR210" s="37">
        <f>IF(B210="","",AQ210*INDEX(PRECIOS!$I$6:$I$55,K210))</f>
      </c>
      <c r="AS210" s="37">
        <f>IF(B210="","",AO210+AR210)</f>
      </c>
      <c r="AT210" s="71">
        <f>IF(B210="","",IF(I210=0,0,ROUNDUP(I210/Cap_Camion_ORI,0)))</f>
      </c>
      <c r="AU210" s="71">
        <f>IF(B210="","",AT210*L_Tras_ORI)</f>
      </c>
      <c r="AV210" s="71">
        <f>IF(B210="","",IF(ENTRADA!$S210="",AU210,ENTRADA!$S210))</f>
      </c>
      <c r="AW210" s="71">
        <f>IF(B210="","",AT210*L_Dist_ORI)</f>
      </c>
      <c r="AX210" s="71">
        <f>IF(B210="","",IF(ENTRADA!$T210="",AW210,ENTRADA!$T210))</f>
      </c>
      <c r="AY210" s="37">
        <f>IF(B210="","",(AV210+AX210)*INDEX(PRECIOS!$E$6:$E$55,K210))</f>
      </c>
      <c r="AZ210" s="71">
        <f>IF(B210="","",IF(I210=0,0,ROUNDUP(I210/Rend_Desagrupe_CT,0)))</f>
      </c>
      <c r="BA210" s="71">
        <f>IF(B210="","",IF(ENTRADA!$U210="",AZ210,ENTRADA!$U210))</f>
      </c>
      <c r="BB210" s="37">
        <f>IF(B210="","",BA210*INDEX(PRECIOS!$I$6:$I$55,K210))</f>
      </c>
      <c r="BC210" s="37">
        <f>IF(B210="","",AY210+BB210)</f>
      </c>
      <c r="BD210" s="70">
        <f>IF(B210="","",AI210+AS210+BC210)</f>
      </c>
      <c r="BE210" s="37">
        <f>IF(B210="","",IF(Base_Comision="% DEL INGRESO",M210*INDEX(PRECIOS!$L$6:$L$55,K210),G210*INDEX(PRECIOS!$M$6:$M$55,K210)))</f>
      </c>
      <c r="BF210" s="37">
        <f>IF(B210="","",IF(Base_Comision="% DEL INGRESO",N210*INDEX(PRECIOS!$L$6:$L$55,K210),H210*INDEX(PRECIOS!$M$6:$M$55,K210)))</f>
      </c>
      <c r="BG210" s="37">
        <f>IF(B210="","",IF(Base_Comision="% DEL INGRESO",O210*INDEX(PRECIOS!$L$6:$L$55,K210),I210*INDEX(PRECIOS!$M$6:$M$55,K210)))</f>
      </c>
      <c r="BH210" s="70">
        <f>IF(B210="","",BE210+BF210+BG210)</f>
      </c>
      <c r="BI210" s="37">
        <f>IF(B210="","",Q210*Pct_Reclamaciones)</f>
      </c>
      <c r="BJ210" s="37">
        <f>IF(B210="","",Q210*Pct_Banco)</f>
      </c>
      <c r="BK210" s="37">
        <f>IF(B210="","",N(ENTRADA!$V210))</f>
      </c>
      <c r="BL210" s="70">
        <f>IF(B210="","",Y210+AE210+BD210+BH210+BI210+BJ210+BK210)</f>
      </c>
      <c r="BM210" s="70">
        <f>IF(B210="","",Q210-BL210)</f>
      </c>
      <c r="BN210" s="72">
        <f>IF(B210="","",IF(Q210=0,0,BM210/Q210))</f>
      </c>
      <c r="BO210" s="73">
        <f>IF(B210="","",IF(J210=0,0,BM210/J210))</f>
      </c>
      <c r="BP210" s="60">
        <f>IF(B210="","",IFERROR(MATCH(D210,COSTOS_FIJOS!$G$5:$AD$5,0),0))</f>
      </c>
      <c r="BQ210" s="60">
        <f>IF(B210="","",COUNTIFS($D$6:$D$305,D210))</f>
      </c>
      <c r="BR210" s="67">
        <f>IF(B210="","",SUMIFS($J$6:$J$305,$D$6:$D$305,D210))</f>
      </c>
      <c r="BS210" s="72">
        <f>IF(B210="","",IF(Metodo_Prorrateo="KG",IF(BR210=0,0,J210/BR210),1/BQ210))</f>
      </c>
      <c r="BT210" s="37">
        <f>IF(B210="","",IF(BP210=0,0,INDEX(COSTOS_FIJOS!$G$38:$AD$38,BP210))*BS210)</f>
      </c>
      <c r="BU210" s="72">
        <f>IF(B210="","",IF(Metodo_Prorrateo="KG",IF(SUMIFS($G$6:$G$305,$D$6:$D$305,D210)=0,0,G210/SUMIFS($G$6:$G$305,$D$6:$D$305,D210)),IF(G210&gt;0,1/COUNTIFS($D$6:$D$305,D210,$G$6:$G$305,"&gt;0"),0)))</f>
      </c>
      <c r="BV210" s="37">
        <f>IF(B210="","",IF(BP210=0,0,INDEX(COSTOS_FIJOS!$G$39:$AD$39,BP210))*BU210)</f>
      </c>
      <c r="BW210" s="72">
        <f>IF(B210="","",IF(Metodo_Prorrateo="KG",IF(SUMIFS($H$6:$H$305,$D$6:$D$305,D210)=0,0,H210/SUMIFS($H$6:$H$305,$D$6:$D$305,D210)),IF(H210&gt;0,1/COUNTIFS($D$6:$D$305,D210,$H$6:$H$305,"&gt;0"),0)))</f>
      </c>
      <c r="BX210" s="37">
        <f>IF(B210="","",IF(BP210=0,0,INDEX(COSTOS_FIJOS!$G$40:$AD$40,BP210))*BW210)</f>
      </c>
      <c r="BY210" s="72">
        <f>IF(B210="","",IF(Metodo_Prorrateo="KG",IF(SUMIFS($I$6:$I$305,$D$6:$D$305,D210)=0,0,I210/SUMIFS($I$6:$I$305,$D$6:$D$305,D210)),IF(I210&gt;0,1/COUNTIFS($D$6:$D$305,D210,$I$6:$I$305,"&gt;0"),0)))</f>
      </c>
      <c r="BZ210" s="37">
        <f>IF(B210="","",IF(BP210=0,0,INDEX(COSTOS_FIJOS!$G$41:$AD$41,BP210))*BY210)</f>
      </c>
      <c r="CA210" s="70">
        <f>IF(B210="","",BT210+BV210+BX210+BZ210)</f>
      </c>
      <c r="CB210" s="37">
        <f>IF(B210="","",Q210*Imp_Ventas_Serv)</f>
      </c>
      <c r="CC210" s="37">
        <f>IF(B210="","",Q210*Contrib_Territorial)</f>
      </c>
      <c r="CD210" s="70">
        <f>IF(B210="","",BM210-CA210-CB210-CC210)</f>
      </c>
      <c r="CE210" s="37">
        <f>IF(B210="","",MAX(0,CD210)*Imp_Utilidades)</f>
      </c>
      <c r="CF210" s="70">
        <f>IF(B210="","",CD210-CE210)</f>
      </c>
      <c r="CG210" s="72">
        <f>IF(B210="","",IF(Q210=0,0,CF210/Q210))</f>
      </c>
      <c r="CH210" s="73">
        <f>IF(B210="","",IF(J210=0,0,(BL210+CA210+CB210+CC210)/J210))</f>
      </c>
      <c r="CI210" s="73">
        <f>IF(B210="","",IF(J210=0,0,Q210/J210))</f>
      </c>
      <c r="CJ210" s="73">
        <f>IF(B210="","",IF(J210=0,0,CD210/J210))</f>
      </c>
      <c r="CK210" s="37">
        <f>IF(B210="","",Y210+AE210+BK210+BT210)</f>
      </c>
      <c r="CL210" s="37">
        <f>IF(B210="","",IF(J210=0,0,(M210+P210*G210/J210)*(1-Pct_Reclamaciones-Pct_Banco-Imp_Ventas_Serv-Contrib_Territorial)-AI210-BE210-BV210-CK210*G210/J210))</f>
      </c>
      <c r="CM210" s="37">
        <f>IF(B210="","",IF(J210=0,0,(N210+P210*H210/J210)*(1-Pct_Reclamaciones-Pct_Banco-Imp_Ventas_Serv-Contrib_Territorial)-AS210-BF210-BX210-CK210*H210/J210))</f>
      </c>
      <c r="CN210" s="37">
        <f>IF(B210="","",IF(J210=0,0,(O210+P210*I210/J210)*(1-Pct_Reclamaciones-Pct_Banco-Imp_Ventas_Serv-Contrib_Territorial)-BC210-BG210-BZ210-CK210*I210/J210))</f>
      </c>
      <c r="CO210" s="37">
        <f>IF(B210="","",IF(J210=0,0,ROUND(CD210-CL210-CM210-CN210,4)))</f>
      </c>
      <c r="CP210" s="71">
        <f>IF(B210="","",T210+AG210+AK210+AM210+AU210+AW210)</f>
      </c>
      <c r="CQ210" s="71">
        <f>IF(B210="","",U210+AH210+AL210+AN210+AV210+AX210)</f>
      </c>
      <c r="CR210" s="72">
        <f>IF(B210="","",IF(CP210=0,0,CQ210/CP210-1))</f>
      </c>
      <c r="CS210" s="60">
        <f>IF(B210="","",IF(ENTRADA!$Y210="","",ENTRADA!$Y210-C210))</f>
      </c>
      <c r="CT210" s="66">
        <f>IF(B210="","",IF(ENTRADA!$C210="","Falta fecha. ","")&amp;IF(BP210=0,"Mes fuera del rango de COSTOS_FIJOS. ","")&amp;IF(J210=0,"Sin kg. ","")&amp;IF(E210="","Falta transitaria. ","")&amp;IF(AND(T210&gt;0,U210/T210-1&gt;Tolerancia_Comb),"Combustible al puerto "&amp;TEXT(U210/T210-1,"+0%")&amp;" sobre norma. ","")&amp;IF(AND(AG210&gt;0,AH210/AG210-1&gt;Tolerancia_Comb),"Combustible distribución Occidente "&amp;TEXT(AH210/AG210-1,"+0%")&amp;" sobre norma. ","")&amp;IF(AND(AK210&gt;0,AL210/AK210-1&gt;Tolerancia_Comb),"Combustible traslado Centro "&amp;TEXT(AL210/AK210-1,"+0%")&amp;" sobre norma. ","")&amp;IF(AND(AM210&gt;0,AN210/AM210-1&gt;Tolerancia_Comb),"Combustible distribución Centro "&amp;TEXT(AN210/AM210-1,"+0%")&amp;" sobre norma. ","")&amp;IF(AND(AU210&gt;0,AV210/AU210-1&gt;Tolerancia_Comb),"Combustible traslado Oriente "&amp;TEXT(AV210/AU210-1,"+0%")&amp;" sobre norma. ","")&amp;IF(AND(AW210&gt;0,AX210/AW210-1&gt;Tolerancia_Comb),"Combustible distribución Oriente "&amp;TEXT(AX210/AW210-1,"+0%")&amp;" sobre norma. ","")&amp;IF(AND(ENTRADA!$C210&lt;&gt;"",C210&lt;PRECIOS!$A$6),"Fecha anterior a la 1ª vigencia de precios. ","")&amp;IF(CD210&lt;0,"Contenedor con pérdida. ",""))</f>
      </c>
    </row>
    <row r="211">
      <c r="A211" s="60">
        <f>IF(B211="","",ROW()-5)</f>
      </c>
      <c r="B211" s="63">
        <f>IF(ENTRADA!$B211="","",ENTRADA!$B211)</f>
      </c>
      <c r="C211" s="64">
        <f>IF(B211="","",ENTRADA!$C211)</f>
      </c>
      <c r="D211" s="65">
        <f>IF(B211="","",DATE(YEAR(C211),MONTH(C211),1))</f>
      </c>
      <c r="E211" s="66">
        <f>IF(B211="","",ENTRADA!$D211&amp;"")</f>
      </c>
      <c r="F211" s="66">
        <f>IF(B211="","",ENTRADA!$Z211&amp;"")</f>
      </c>
      <c r="G211" s="67">
        <f>IF(B211="","",N(ENTRADA!$G211))</f>
      </c>
      <c r="H211" s="67">
        <f>IF(B211="","",N(ENTRADA!$H211))</f>
      </c>
      <c r="I211" s="67">
        <f>IF(B211="","",N(ENTRADA!$I211))</f>
      </c>
      <c r="J211" s="68">
        <f>IF(B211="","",G211+H211+I211)</f>
      </c>
      <c r="K211" s="60">
        <f>IF(B211="","",IFERROR(MATCH(SUMPRODUCT(MAX((PRECIOS!$A$6:$A$55&lt;=C211)*PRECIOS!$A$6:$A$55)),PRECIOS!$A$6:$A$55,0),1))</f>
      </c>
      <c r="L211" s="69">
        <f>IF(B211="","",INDEX(PRECIOS!$A$6:$A$55,K211))</f>
      </c>
      <c r="M211" s="37">
        <f>IF(B211="","",G211*INDEX(PRECIOS!$B$6:$B$55,K211))</f>
      </c>
      <c r="N211" s="37">
        <f>IF(B211="","",H211*INDEX(PRECIOS!$C$6:$C$55,K211))</f>
      </c>
      <c r="O211" s="37">
        <f>IF(B211="","",I211*INDEX(PRECIOS!$D$6:$D$55,K211))</f>
      </c>
      <c r="P211" s="37">
        <f>IF(B211="","",N(ENTRADA!$X211))</f>
      </c>
      <c r="Q211" s="70">
        <f>IF(B211="","",M211+N211+O211+P211)</f>
      </c>
      <c r="R211" s="71">
        <f>IF(B211="","",IF(ENTRADA!$J211="",Std_Viajes_Puerto,ENTRADA!$J211))</f>
      </c>
      <c r="S211" s="37">
        <f>IF(B211="","",R211*INDEX(PRECIOS!$F$6:$F$55,K211))</f>
      </c>
      <c r="T211" s="71">
        <f>IF(B211="","",R211*Litros_Puerto_Viaje)</f>
      </c>
      <c r="U211" s="71">
        <f>IF(B211="","",IF(ENTRADA!$K211="",T211,ENTRADA!$K211))</f>
      </c>
      <c r="V211" s="37">
        <f>IF(B211="","",U211*INDEX(PRECIOS!$E$6:$E$55,K211))</f>
      </c>
      <c r="W211" s="37">
        <f>IF(B211="","",IF(ENTRADA!$L211="",R211*INDEX(PRECIOS!$G$6:$G$55,K211),ENTRADA!$L211))</f>
      </c>
      <c r="X211" s="37">
        <f>IF(B211="","",R211*Km_Puerto_Viaje*INDEX(PRECIOS!$N$6:$N$55,K211))</f>
      </c>
      <c r="Y211" s="70">
        <f>IF(B211="","",S211+V211+W211+X211)</f>
      </c>
      <c r="Z211" s="71">
        <f>IF(B211="","",IF(J211=0,0,ROUNDUP(J211/Rend_Desagrupe,0)))</f>
      </c>
      <c r="AA211" s="71">
        <f>IF(B211="","",IF(ENTRADA!$M211="",Z211,ENTRADA!$M211))</f>
      </c>
      <c r="AB211" s="37">
        <f>IF(B211="","",AA211*INDEX(PRECIOS!$H$6:$H$55,K211))</f>
      </c>
      <c r="AC211" s="37">
        <f>IF(B211="","",IF(E211="ENCI",INDEX(PRECIOS!$J$6:$J$55,K211),IF(E211="A.V",INDEX(PRECIOS!$K$6:$K$55,K211),0)))</f>
      </c>
      <c r="AD211" s="37">
        <f>IF(B211="","",N(ENTRADA!$N211))</f>
      </c>
      <c r="AE211" s="70">
        <f>IF(B211="","",AB211+AC211+AD211)</f>
      </c>
      <c r="AF211" s="71">
        <f>IF(B211="","",IF(G211=0,0,ROUNDUP(G211/Cap_Camion_OCC,0)))</f>
      </c>
      <c r="AG211" s="71">
        <f>IF(B211="","",AF211*L_Dist_OCC)</f>
      </c>
      <c r="AH211" s="71">
        <f>IF(B211="","",IF(ENTRADA!$O211="",AG211,ENTRADA!$O211))</f>
      </c>
      <c r="AI211" s="37">
        <f>IF(B211="","",AH211*INDEX(PRECIOS!$E$6:$E$55,K211))</f>
      </c>
      <c r="AJ211" s="71">
        <f>IF(B211="","",IF(H211=0,0,ROUNDUP(H211/Cap_Camion_CEN,0)))</f>
      </c>
      <c r="AK211" s="71">
        <f>IF(B211="","",AJ211*L_Tras_CEN)</f>
      </c>
      <c r="AL211" s="71">
        <f>IF(B211="","",IF(ENTRADA!$P211="",AK211,ENTRADA!$P211))</f>
      </c>
      <c r="AM211" s="71">
        <f>IF(B211="","",AJ211*L_Dist_CEN)</f>
      </c>
      <c r="AN211" s="71">
        <f>IF(B211="","",IF(ENTRADA!$Q211="",AM211,ENTRADA!$Q211))</f>
      </c>
      <c r="AO211" s="37">
        <f>IF(B211="","",(AL211+AN211)*INDEX(PRECIOS!$E$6:$E$55,K211))</f>
      </c>
      <c r="AP211" s="71">
        <f>IF(B211="","",IF(H211=0,0,ROUNDUP(H211/Rend_Desagrupe_CT,0)))</f>
      </c>
      <c r="AQ211" s="71">
        <f>IF(B211="","",IF(ENTRADA!$R211="",AP211,ENTRADA!$R211))</f>
      </c>
      <c r="AR211" s="37">
        <f>IF(B211="","",AQ211*INDEX(PRECIOS!$I$6:$I$55,K211))</f>
      </c>
      <c r="AS211" s="37">
        <f>IF(B211="","",AO211+AR211)</f>
      </c>
      <c r="AT211" s="71">
        <f>IF(B211="","",IF(I211=0,0,ROUNDUP(I211/Cap_Camion_ORI,0)))</f>
      </c>
      <c r="AU211" s="71">
        <f>IF(B211="","",AT211*L_Tras_ORI)</f>
      </c>
      <c r="AV211" s="71">
        <f>IF(B211="","",IF(ENTRADA!$S211="",AU211,ENTRADA!$S211))</f>
      </c>
      <c r="AW211" s="71">
        <f>IF(B211="","",AT211*L_Dist_ORI)</f>
      </c>
      <c r="AX211" s="71">
        <f>IF(B211="","",IF(ENTRADA!$T211="",AW211,ENTRADA!$T211))</f>
      </c>
      <c r="AY211" s="37">
        <f>IF(B211="","",(AV211+AX211)*INDEX(PRECIOS!$E$6:$E$55,K211))</f>
      </c>
      <c r="AZ211" s="71">
        <f>IF(B211="","",IF(I211=0,0,ROUNDUP(I211/Rend_Desagrupe_CT,0)))</f>
      </c>
      <c r="BA211" s="71">
        <f>IF(B211="","",IF(ENTRADA!$U211="",AZ211,ENTRADA!$U211))</f>
      </c>
      <c r="BB211" s="37">
        <f>IF(B211="","",BA211*INDEX(PRECIOS!$I$6:$I$55,K211))</f>
      </c>
      <c r="BC211" s="37">
        <f>IF(B211="","",AY211+BB211)</f>
      </c>
      <c r="BD211" s="70">
        <f>IF(B211="","",AI211+AS211+BC211)</f>
      </c>
      <c r="BE211" s="37">
        <f>IF(B211="","",IF(Base_Comision="% DEL INGRESO",M211*INDEX(PRECIOS!$L$6:$L$55,K211),G211*INDEX(PRECIOS!$M$6:$M$55,K211)))</f>
      </c>
      <c r="BF211" s="37">
        <f>IF(B211="","",IF(Base_Comision="% DEL INGRESO",N211*INDEX(PRECIOS!$L$6:$L$55,K211),H211*INDEX(PRECIOS!$M$6:$M$55,K211)))</f>
      </c>
      <c r="BG211" s="37">
        <f>IF(B211="","",IF(Base_Comision="% DEL INGRESO",O211*INDEX(PRECIOS!$L$6:$L$55,K211),I211*INDEX(PRECIOS!$M$6:$M$55,K211)))</f>
      </c>
      <c r="BH211" s="70">
        <f>IF(B211="","",BE211+BF211+BG211)</f>
      </c>
      <c r="BI211" s="37">
        <f>IF(B211="","",Q211*Pct_Reclamaciones)</f>
      </c>
      <c r="BJ211" s="37">
        <f>IF(B211="","",Q211*Pct_Banco)</f>
      </c>
      <c r="BK211" s="37">
        <f>IF(B211="","",N(ENTRADA!$V211))</f>
      </c>
      <c r="BL211" s="70">
        <f>IF(B211="","",Y211+AE211+BD211+BH211+BI211+BJ211+BK211)</f>
      </c>
      <c r="BM211" s="70">
        <f>IF(B211="","",Q211-BL211)</f>
      </c>
      <c r="BN211" s="72">
        <f>IF(B211="","",IF(Q211=0,0,BM211/Q211))</f>
      </c>
      <c r="BO211" s="73">
        <f>IF(B211="","",IF(J211=0,0,BM211/J211))</f>
      </c>
      <c r="BP211" s="60">
        <f>IF(B211="","",IFERROR(MATCH(D211,COSTOS_FIJOS!$G$5:$AD$5,0),0))</f>
      </c>
      <c r="BQ211" s="60">
        <f>IF(B211="","",COUNTIFS($D$6:$D$305,D211))</f>
      </c>
      <c r="BR211" s="67">
        <f>IF(B211="","",SUMIFS($J$6:$J$305,$D$6:$D$305,D211))</f>
      </c>
      <c r="BS211" s="72">
        <f>IF(B211="","",IF(Metodo_Prorrateo="KG",IF(BR211=0,0,J211/BR211),1/BQ211))</f>
      </c>
      <c r="BT211" s="37">
        <f>IF(B211="","",IF(BP211=0,0,INDEX(COSTOS_FIJOS!$G$38:$AD$38,BP211))*BS211)</f>
      </c>
      <c r="BU211" s="72">
        <f>IF(B211="","",IF(Metodo_Prorrateo="KG",IF(SUMIFS($G$6:$G$305,$D$6:$D$305,D211)=0,0,G211/SUMIFS($G$6:$G$305,$D$6:$D$305,D211)),IF(G211&gt;0,1/COUNTIFS($D$6:$D$305,D211,$G$6:$G$305,"&gt;0"),0)))</f>
      </c>
      <c r="BV211" s="37">
        <f>IF(B211="","",IF(BP211=0,0,INDEX(COSTOS_FIJOS!$G$39:$AD$39,BP211))*BU211)</f>
      </c>
      <c r="BW211" s="72">
        <f>IF(B211="","",IF(Metodo_Prorrateo="KG",IF(SUMIFS($H$6:$H$305,$D$6:$D$305,D211)=0,0,H211/SUMIFS($H$6:$H$305,$D$6:$D$305,D211)),IF(H211&gt;0,1/COUNTIFS($D$6:$D$305,D211,$H$6:$H$305,"&gt;0"),0)))</f>
      </c>
      <c r="BX211" s="37">
        <f>IF(B211="","",IF(BP211=0,0,INDEX(COSTOS_FIJOS!$G$40:$AD$40,BP211))*BW211)</f>
      </c>
      <c r="BY211" s="72">
        <f>IF(B211="","",IF(Metodo_Prorrateo="KG",IF(SUMIFS($I$6:$I$305,$D$6:$D$305,D211)=0,0,I211/SUMIFS($I$6:$I$305,$D$6:$D$305,D211)),IF(I211&gt;0,1/COUNTIFS($D$6:$D$305,D211,$I$6:$I$305,"&gt;0"),0)))</f>
      </c>
      <c r="BZ211" s="37">
        <f>IF(B211="","",IF(BP211=0,0,INDEX(COSTOS_FIJOS!$G$41:$AD$41,BP211))*BY211)</f>
      </c>
      <c r="CA211" s="70">
        <f>IF(B211="","",BT211+BV211+BX211+BZ211)</f>
      </c>
      <c r="CB211" s="37">
        <f>IF(B211="","",Q211*Imp_Ventas_Serv)</f>
      </c>
      <c r="CC211" s="37">
        <f>IF(B211="","",Q211*Contrib_Territorial)</f>
      </c>
      <c r="CD211" s="70">
        <f>IF(B211="","",BM211-CA211-CB211-CC211)</f>
      </c>
      <c r="CE211" s="37">
        <f>IF(B211="","",MAX(0,CD211)*Imp_Utilidades)</f>
      </c>
      <c r="CF211" s="70">
        <f>IF(B211="","",CD211-CE211)</f>
      </c>
      <c r="CG211" s="72">
        <f>IF(B211="","",IF(Q211=0,0,CF211/Q211))</f>
      </c>
      <c r="CH211" s="73">
        <f>IF(B211="","",IF(J211=0,0,(BL211+CA211+CB211+CC211)/J211))</f>
      </c>
      <c r="CI211" s="73">
        <f>IF(B211="","",IF(J211=0,0,Q211/J211))</f>
      </c>
      <c r="CJ211" s="73">
        <f>IF(B211="","",IF(J211=0,0,CD211/J211))</f>
      </c>
      <c r="CK211" s="37">
        <f>IF(B211="","",Y211+AE211+BK211+BT211)</f>
      </c>
      <c r="CL211" s="37">
        <f>IF(B211="","",IF(J211=0,0,(M211+P211*G211/J211)*(1-Pct_Reclamaciones-Pct_Banco-Imp_Ventas_Serv-Contrib_Territorial)-AI211-BE211-BV211-CK211*G211/J211))</f>
      </c>
      <c r="CM211" s="37">
        <f>IF(B211="","",IF(J211=0,0,(N211+P211*H211/J211)*(1-Pct_Reclamaciones-Pct_Banco-Imp_Ventas_Serv-Contrib_Territorial)-AS211-BF211-BX211-CK211*H211/J211))</f>
      </c>
      <c r="CN211" s="37">
        <f>IF(B211="","",IF(J211=0,0,(O211+P211*I211/J211)*(1-Pct_Reclamaciones-Pct_Banco-Imp_Ventas_Serv-Contrib_Territorial)-BC211-BG211-BZ211-CK211*I211/J211))</f>
      </c>
      <c r="CO211" s="37">
        <f>IF(B211="","",IF(J211=0,0,ROUND(CD211-CL211-CM211-CN211,4)))</f>
      </c>
      <c r="CP211" s="71">
        <f>IF(B211="","",T211+AG211+AK211+AM211+AU211+AW211)</f>
      </c>
      <c r="CQ211" s="71">
        <f>IF(B211="","",U211+AH211+AL211+AN211+AV211+AX211)</f>
      </c>
      <c r="CR211" s="72">
        <f>IF(B211="","",IF(CP211=0,0,CQ211/CP211-1))</f>
      </c>
      <c r="CS211" s="60">
        <f>IF(B211="","",IF(ENTRADA!$Y211="","",ENTRADA!$Y211-C211))</f>
      </c>
      <c r="CT211" s="66">
        <f>IF(B211="","",IF(ENTRADA!$C211="","Falta fecha. ","")&amp;IF(BP211=0,"Mes fuera del rango de COSTOS_FIJOS. ","")&amp;IF(J211=0,"Sin kg. ","")&amp;IF(E211="","Falta transitaria. ","")&amp;IF(AND(T211&gt;0,U211/T211-1&gt;Tolerancia_Comb),"Combustible al puerto "&amp;TEXT(U211/T211-1,"+0%")&amp;" sobre norma. ","")&amp;IF(AND(AG211&gt;0,AH211/AG211-1&gt;Tolerancia_Comb),"Combustible distribución Occidente "&amp;TEXT(AH211/AG211-1,"+0%")&amp;" sobre norma. ","")&amp;IF(AND(AK211&gt;0,AL211/AK211-1&gt;Tolerancia_Comb),"Combustible traslado Centro "&amp;TEXT(AL211/AK211-1,"+0%")&amp;" sobre norma. ","")&amp;IF(AND(AM211&gt;0,AN211/AM211-1&gt;Tolerancia_Comb),"Combustible distribución Centro "&amp;TEXT(AN211/AM211-1,"+0%")&amp;" sobre norma. ","")&amp;IF(AND(AU211&gt;0,AV211/AU211-1&gt;Tolerancia_Comb),"Combustible traslado Oriente "&amp;TEXT(AV211/AU211-1,"+0%")&amp;" sobre norma. ","")&amp;IF(AND(AW211&gt;0,AX211/AW211-1&gt;Tolerancia_Comb),"Combustible distribución Oriente "&amp;TEXT(AX211/AW211-1,"+0%")&amp;" sobre norma. ","")&amp;IF(AND(ENTRADA!$C211&lt;&gt;"",C211&lt;PRECIOS!$A$6),"Fecha anterior a la 1ª vigencia de precios. ","")&amp;IF(CD211&lt;0,"Contenedor con pérdida. ",""))</f>
      </c>
    </row>
    <row r="212">
      <c r="A212" s="60">
        <f>IF(B212="","",ROW()-5)</f>
      </c>
      <c r="B212" s="63">
        <f>IF(ENTRADA!$B212="","",ENTRADA!$B212)</f>
      </c>
      <c r="C212" s="64">
        <f>IF(B212="","",ENTRADA!$C212)</f>
      </c>
      <c r="D212" s="65">
        <f>IF(B212="","",DATE(YEAR(C212),MONTH(C212),1))</f>
      </c>
      <c r="E212" s="66">
        <f>IF(B212="","",ENTRADA!$D212&amp;"")</f>
      </c>
      <c r="F212" s="66">
        <f>IF(B212="","",ENTRADA!$Z212&amp;"")</f>
      </c>
      <c r="G212" s="67">
        <f>IF(B212="","",N(ENTRADA!$G212))</f>
      </c>
      <c r="H212" s="67">
        <f>IF(B212="","",N(ENTRADA!$H212))</f>
      </c>
      <c r="I212" s="67">
        <f>IF(B212="","",N(ENTRADA!$I212))</f>
      </c>
      <c r="J212" s="68">
        <f>IF(B212="","",G212+H212+I212)</f>
      </c>
      <c r="K212" s="60">
        <f>IF(B212="","",IFERROR(MATCH(SUMPRODUCT(MAX((PRECIOS!$A$6:$A$55&lt;=C212)*PRECIOS!$A$6:$A$55)),PRECIOS!$A$6:$A$55,0),1))</f>
      </c>
      <c r="L212" s="69">
        <f>IF(B212="","",INDEX(PRECIOS!$A$6:$A$55,K212))</f>
      </c>
      <c r="M212" s="37">
        <f>IF(B212="","",G212*INDEX(PRECIOS!$B$6:$B$55,K212))</f>
      </c>
      <c r="N212" s="37">
        <f>IF(B212="","",H212*INDEX(PRECIOS!$C$6:$C$55,K212))</f>
      </c>
      <c r="O212" s="37">
        <f>IF(B212="","",I212*INDEX(PRECIOS!$D$6:$D$55,K212))</f>
      </c>
      <c r="P212" s="37">
        <f>IF(B212="","",N(ENTRADA!$X212))</f>
      </c>
      <c r="Q212" s="70">
        <f>IF(B212="","",M212+N212+O212+P212)</f>
      </c>
      <c r="R212" s="71">
        <f>IF(B212="","",IF(ENTRADA!$J212="",Std_Viajes_Puerto,ENTRADA!$J212))</f>
      </c>
      <c r="S212" s="37">
        <f>IF(B212="","",R212*INDEX(PRECIOS!$F$6:$F$55,K212))</f>
      </c>
      <c r="T212" s="71">
        <f>IF(B212="","",R212*Litros_Puerto_Viaje)</f>
      </c>
      <c r="U212" s="71">
        <f>IF(B212="","",IF(ENTRADA!$K212="",T212,ENTRADA!$K212))</f>
      </c>
      <c r="V212" s="37">
        <f>IF(B212="","",U212*INDEX(PRECIOS!$E$6:$E$55,K212))</f>
      </c>
      <c r="W212" s="37">
        <f>IF(B212="","",IF(ENTRADA!$L212="",R212*INDEX(PRECIOS!$G$6:$G$55,K212),ENTRADA!$L212))</f>
      </c>
      <c r="X212" s="37">
        <f>IF(B212="","",R212*Km_Puerto_Viaje*INDEX(PRECIOS!$N$6:$N$55,K212))</f>
      </c>
      <c r="Y212" s="70">
        <f>IF(B212="","",S212+V212+W212+X212)</f>
      </c>
      <c r="Z212" s="71">
        <f>IF(B212="","",IF(J212=0,0,ROUNDUP(J212/Rend_Desagrupe,0)))</f>
      </c>
      <c r="AA212" s="71">
        <f>IF(B212="","",IF(ENTRADA!$M212="",Z212,ENTRADA!$M212))</f>
      </c>
      <c r="AB212" s="37">
        <f>IF(B212="","",AA212*INDEX(PRECIOS!$H$6:$H$55,K212))</f>
      </c>
      <c r="AC212" s="37">
        <f>IF(B212="","",IF(E212="ENCI",INDEX(PRECIOS!$J$6:$J$55,K212),IF(E212="A.V",INDEX(PRECIOS!$K$6:$K$55,K212),0)))</f>
      </c>
      <c r="AD212" s="37">
        <f>IF(B212="","",N(ENTRADA!$N212))</f>
      </c>
      <c r="AE212" s="70">
        <f>IF(B212="","",AB212+AC212+AD212)</f>
      </c>
      <c r="AF212" s="71">
        <f>IF(B212="","",IF(G212=0,0,ROUNDUP(G212/Cap_Camion_OCC,0)))</f>
      </c>
      <c r="AG212" s="71">
        <f>IF(B212="","",AF212*L_Dist_OCC)</f>
      </c>
      <c r="AH212" s="71">
        <f>IF(B212="","",IF(ENTRADA!$O212="",AG212,ENTRADA!$O212))</f>
      </c>
      <c r="AI212" s="37">
        <f>IF(B212="","",AH212*INDEX(PRECIOS!$E$6:$E$55,K212))</f>
      </c>
      <c r="AJ212" s="71">
        <f>IF(B212="","",IF(H212=0,0,ROUNDUP(H212/Cap_Camion_CEN,0)))</f>
      </c>
      <c r="AK212" s="71">
        <f>IF(B212="","",AJ212*L_Tras_CEN)</f>
      </c>
      <c r="AL212" s="71">
        <f>IF(B212="","",IF(ENTRADA!$P212="",AK212,ENTRADA!$P212))</f>
      </c>
      <c r="AM212" s="71">
        <f>IF(B212="","",AJ212*L_Dist_CEN)</f>
      </c>
      <c r="AN212" s="71">
        <f>IF(B212="","",IF(ENTRADA!$Q212="",AM212,ENTRADA!$Q212))</f>
      </c>
      <c r="AO212" s="37">
        <f>IF(B212="","",(AL212+AN212)*INDEX(PRECIOS!$E$6:$E$55,K212))</f>
      </c>
      <c r="AP212" s="71">
        <f>IF(B212="","",IF(H212=0,0,ROUNDUP(H212/Rend_Desagrupe_CT,0)))</f>
      </c>
      <c r="AQ212" s="71">
        <f>IF(B212="","",IF(ENTRADA!$R212="",AP212,ENTRADA!$R212))</f>
      </c>
      <c r="AR212" s="37">
        <f>IF(B212="","",AQ212*INDEX(PRECIOS!$I$6:$I$55,K212))</f>
      </c>
      <c r="AS212" s="37">
        <f>IF(B212="","",AO212+AR212)</f>
      </c>
      <c r="AT212" s="71">
        <f>IF(B212="","",IF(I212=0,0,ROUNDUP(I212/Cap_Camion_ORI,0)))</f>
      </c>
      <c r="AU212" s="71">
        <f>IF(B212="","",AT212*L_Tras_ORI)</f>
      </c>
      <c r="AV212" s="71">
        <f>IF(B212="","",IF(ENTRADA!$S212="",AU212,ENTRADA!$S212))</f>
      </c>
      <c r="AW212" s="71">
        <f>IF(B212="","",AT212*L_Dist_ORI)</f>
      </c>
      <c r="AX212" s="71">
        <f>IF(B212="","",IF(ENTRADA!$T212="",AW212,ENTRADA!$T212))</f>
      </c>
      <c r="AY212" s="37">
        <f>IF(B212="","",(AV212+AX212)*INDEX(PRECIOS!$E$6:$E$55,K212))</f>
      </c>
      <c r="AZ212" s="71">
        <f>IF(B212="","",IF(I212=0,0,ROUNDUP(I212/Rend_Desagrupe_CT,0)))</f>
      </c>
      <c r="BA212" s="71">
        <f>IF(B212="","",IF(ENTRADA!$U212="",AZ212,ENTRADA!$U212))</f>
      </c>
      <c r="BB212" s="37">
        <f>IF(B212="","",BA212*INDEX(PRECIOS!$I$6:$I$55,K212))</f>
      </c>
      <c r="BC212" s="37">
        <f>IF(B212="","",AY212+BB212)</f>
      </c>
      <c r="BD212" s="70">
        <f>IF(B212="","",AI212+AS212+BC212)</f>
      </c>
      <c r="BE212" s="37">
        <f>IF(B212="","",IF(Base_Comision="% DEL INGRESO",M212*INDEX(PRECIOS!$L$6:$L$55,K212),G212*INDEX(PRECIOS!$M$6:$M$55,K212)))</f>
      </c>
      <c r="BF212" s="37">
        <f>IF(B212="","",IF(Base_Comision="% DEL INGRESO",N212*INDEX(PRECIOS!$L$6:$L$55,K212),H212*INDEX(PRECIOS!$M$6:$M$55,K212)))</f>
      </c>
      <c r="BG212" s="37">
        <f>IF(B212="","",IF(Base_Comision="% DEL INGRESO",O212*INDEX(PRECIOS!$L$6:$L$55,K212),I212*INDEX(PRECIOS!$M$6:$M$55,K212)))</f>
      </c>
      <c r="BH212" s="70">
        <f>IF(B212="","",BE212+BF212+BG212)</f>
      </c>
      <c r="BI212" s="37">
        <f>IF(B212="","",Q212*Pct_Reclamaciones)</f>
      </c>
      <c r="BJ212" s="37">
        <f>IF(B212="","",Q212*Pct_Banco)</f>
      </c>
      <c r="BK212" s="37">
        <f>IF(B212="","",N(ENTRADA!$V212))</f>
      </c>
      <c r="BL212" s="70">
        <f>IF(B212="","",Y212+AE212+BD212+BH212+BI212+BJ212+BK212)</f>
      </c>
      <c r="BM212" s="70">
        <f>IF(B212="","",Q212-BL212)</f>
      </c>
      <c r="BN212" s="72">
        <f>IF(B212="","",IF(Q212=0,0,BM212/Q212))</f>
      </c>
      <c r="BO212" s="73">
        <f>IF(B212="","",IF(J212=0,0,BM212/J212))</f>
      </c>
      <c r="BP212" s="60">
        <f>IF(B212="","",IFERROR(MATCH(D212,COSTOS_FIJOS!$G$5:$AD$5,0),0))</f>
      </c>
      <c r="BQ212" s="60">
        <f>IF(B212="","",COUNTIFS($D$6:$D$305,D212))</f>
      </c>
      <c r="BR212" s="67">
        <f>IF(B212="","",SUMIFS($J$6:$J$305,$D$6:$D$305,D212))</f>
      </c>
      <c r="BS212" s="72">
        <f>IF(B212="","",IF(Metodo_Prorrateo="KG",IF(BR212=0,0,J212/BR212),1/BQ212))</f>
      </c>
      <c r="BT212" s="37">
        <f>IF(B212="","",IF(BP212=0,0,INDEX(COSTOS_FIJOS!$G$38:$AD$38,BP212))*BS212)</f>
      </c>
      <c r="BU212" s="72">
        <f>IF(B212="","",IF(Metodo_Prorrateo="KG",IF(SUMIFS($G$6:$G$305,$D$6:$D$305,D212)=0,0,G212/SUMIFS($G$6:$G$305,$D$6:$D$305,D212)),IF(G212&gt;0,1/COUNTIFS($D$6:$D$305,D212,$G$6:$G$305,"&gt;0"),0)))</f>
      </c>
      <c r="BV212" s="37">
        <f>IF(B212="","",IF(BP212=0,0,INDEX(COSTOS_FIJOS!$G$39:$AD$39,BP212))*BU212)</f>
      </c>
      <c r="BW212" s="72">
        <f>IF(B212="","",IF(Metodo_Prorrateo="KG",IF(SUMIFS($H$6:$H$305,$D$6:$D$305,D212)=0,0,H212/SUMIFS($H$6:$H$305,$D$6:$D$305,D212)),IF(H212&gt;0,1/COUNTIFS($D$6:$D$305,D212,$H$6:$H$305,"&gt;0"),0)))</f>
      </c>
      <c r="BX212" s="37">
        <f>IF(B212="","",IF(BP212=0,0,INDEX(COSTOS_FIJOS!$G$40:$AD$40,BP212))*BW212)</f>
      </c>
      <c r="BY212" s="72">
        <f>IF(B212="","",IF(Metodo_Prorrateo="KG",IF(SUMIFS($I$6:$I$305,$D$6:$D$305,D212)=0,0,I212/SUMIFS($I$6:$I$305,$D$6:$D$305,D212)),IF(I212&gt;0,1/COUNTIFS($D$6:$D$305,D212,$I$6:$I$305,"&gt;0"),0)))</f>
      </c>
      <c r="BZ212" s="37">
        <f>IF(B212="","",IF(BP212=0,0,INDEX(COSTOS_FIJOS!$G$41:$AD$41,BP212))*BY212)</f>
      </c>
      <c r="CA212" s="70">
        <f>IF(B212="","",BT212+BV212+BX212+BZ212)</f>
      </c>
      <c r="CB212" s="37">
        <f>IF(B212="","",Q212*Imp_Ventas_Serv)</f>
      </c>
      <c r="CC212" s="37">
        <f>IF(B212="","",Q212*Contrib_Territorial)</f>
      </c>
      <c r="CD212" s="70">
        <f>IF(B212="","",BM212-CA212-CB212-CC212)</f>
      </c>
      <c r="CE212" s="37">
        <f>IF(B212="","",MAX(0,CD212)*Imp_Utilidades)</f>
      </c>
      <c r="CF212" s="70">
        <f>IF(B212="","",CD212-CE212)</f>
      </c>
      <c r="CG212" s="72">
        <f>IF(B212="","",IF(Q212=0,0,CF212/Q212))</f>
      </c>
      <c r="CH212" s="73">
        <f>IF(B212="","",IF(J212=0,0,(BL212+CA212+CB212+CC212)/J212))</f>
      </c>
      <c r="CI212" s="73">
        <f>IF(B212="","",IF(J212=0,0,Q212/J212))</f>
      </c>
      <c r="CJ212" s="73">
        <f>IF(B212="","",IF(J212=0,0,CD212/J212))</f>
      </c>
      <c r="CK212" s="37">
        <f>IF(B212="","",Y212+AE212+BK212+BT212)</f>
      </c>
      <c r="CL212" s="37">
        <f>IF(B212="","",IF(J212=0,0,(M212+P212*G212/J212)*(1-Pct_Reclamaciones-Pct_Banco-Imp_Ventas_Serv-Contrib_Territorial)-AI212-BE212-BV212-CK212*G212/J212))</f>
      </c>
      <c r="CM212" s="37">
        <f>IF(B212="","",IF(J212=0,0,(N212+P212*H212/J212)*(1-Pct_Reclamaciones-Pct_Banco-Imp_Ventas_Serv-Contrib_Territorial)-AS212-BF212-BX212-CK212*H212/J212))</f>
      </c>
      <c r="CN212" s="37">
        <f>IF(B212="","",IF(J212=0,0,(O212+P212*I212/J212)*(1-Pct_Reclamaciones-Pct_Banco-Imp_Ventas_Serv-Contrib_Territorial)-BC212-BG212-BZ212-CK212*I212/J212))</f>
      </c>
      <c r="CO212" s="37">
        <f>IF(B212="","",IF(J212=0,0,ROUND(CD212-CL212-CM212-CN212,4)))</f>
      </c>
      <c r="CP212" s="71">
        <f>IF(B212="","",T212+AG212+AK212+AM212+AU212+AW212)</f>
      </c>
      <c r="CQ212" s="71">
        <f>IF(B212="","",U212+AH212+AL212+AN212+AV212+AX212)</f>
      </c>
      <c r="CR212" s="72">
        <f>IF(B212="","",IF(CP212=0,0,CQ212/CP212-1))</f>
      </c>
      <c r="CS212" s="60">
        <f>IF(B212="","",IF(ENTRADA!$Y212="","",ENTRADA!$Y212-C212))</f>
      </c>
      <c r="CT212" s="66">
        <f>IF(B212="","",IF(ENTRADA!$C212="","Falta fecha. ","")&amp;IF(BP212=0,"Mes fuera del rango de COSTOS_FIJOS. ","")&amp;IF(J212=0,"Sin kg. ","")&amp;IF(E212="","Falta transitaria. ","")&amp;IF(AND(T212&gt;0,U212/T212-1&gt;Tolerancia_Comb),"Combustible al puerto "&amp;TEXT(U212/T212-1,"+0%")&amp;" sobre norma. ","")&amp;IF(AND(AG212&gt;0,AH212/AG212-1&gt;Tolerancia_Comb),"Combustible distribución Occidente "&amp;TEXT(AH212/AG212-1,"+0%")&amp;" sobre norma. ","")&amp;IF(AND(AK212&gt;0,AL212/AK212-1&gt;Tolerancia_Comb),"Combustible traslado Centro "&amp;TEXT(AL212/AK212-1,"+0%")&amp;" sobre norma. ","")&amp;IF(AND(AM212&gt;0,AN212/AM212-1&gt;Tolerancia_Comb),"Combustible distribución Centro "&amp;TEXT(AN212/AM212-1,"+0%")&amp;" sobre norma. ","")&amp;IF(AND(AU212&gt;0,AV212/AU212-1&gt;Tolerancia_Comb),"Combustible traslado Oriente "&amp;TEXT(AV212/AU212-1,"+0%")&amp;" sobre norma. ","")&amp;IF(AND(AW212&gt;0,AX212/AW212-1&gt;Tolerancia_Comb),"Combustible distribución Oriente "&amp;TEXT(AX212/AW212-1,"+0%")&amp;" sobre norma. ","")&amp;IF(AND(ENTRADA!$C212&lt;&gt;"",C212&lt;PRECIOS!$A$6),"Fecha anterior a la 1ª vigencia de precios. ","")&amp;IF(CD212&lt;0,"Contenedor con pérdida. ",""))</f>
      </c>
    </row>
    <row r="213">
      <c r="A213" s="60">
        <f>IF(B213="","",ROW()-5)</f>
      </c>
      <c r="B213" s="63">
        <f>IF(ENTRADA!$B213="","",ENTRADA!$B213)</f>
      </c>
      <c r="C213" s="64">
        <f>IF(B213="","",ENTRADA!$C213)</f>
      </c>
      <c r="D213" s="65">
        <f>IF(B213="","",DATE(YEAR(C213),MONTH(C213),1))</f>
      </c>
      <c r="E213" s="66">
        <f>IF(B213="","",ENTRADA!$D213&amp;"")</f>
      </c>
      <c r="F213" s="66">
        <f>IF(B213="","",ENTRADA!$Z213&amp;"")</f>
      </c>
      <c r="G213" s="67">
        <f>IF(B213="","",N(ENTRADA!$G213))</f>
      </c>
      <c r="H213" s="67">
        <f>IF(B213="","",N(ENTRADA!$H213))</f>
      </c>
      <c r="I213" s="67">
        <f>IF(B213="","",N(ENTRADA!$I213))</f>
      </c>
      <c r="J213" s="68">
        <f>IF(B213="","",G213+H213+I213)</f>
      </c>
      <c r="K213" s="60">
        <f>IF(B213="","",IFERROR(MATCH(SUMPRODUCT(MAX((PRECIOS!$A$6:$A$55&lt;=C213)*PRECIOS!$A$6:$A$55)),PRECIOS!$A$6:$A$55,0),1))</f>
      </c>
      <c r="L213" s="69">
        <f>IF(B213="","",INDEX(PRECIOS!$A$6:$A$55,K213))</f>
      </c>
      <c r="M213" s="37">
        <f>IF(B213="","",G213*INDEX(PRECIOS!$B$6:$B$55,K213))</f>
      </c>
      <c r="N213" s="37">
        <f>IF(B213="","",H213*INDEX(PRECIOS!$C$6:$C$55,K213))</f>
      </c>
      <c r="O213" s="37">
        <f>IF(B213="","",I213*INDEX(PRECIOS!$D$6:$D$55,K213))</f>
      </c>
      <c r="P213" s="37">
        <f>IF(B213="","",N(ENTRADA!$X213))</f>
      </c>
      <c r="Q213" s="70">
        <f>IF(B213="","",M213+N213+O213+P213)</f>
      </c>
      <c r="R213" s="71">
        <f>IF(B213="","",IF(ENTRADA!$J213="",Std_Viajes_Puerto,ENTRADA!$J213))</f>
      </c>
      <c r="S213" s="37">
        <f>IF(B213="","",R213*INDEX(PRECIOS!$F$6:$F$55,K213))</f>
      </c>
      <c r="T213" s="71">
        <f>IF(B213="","",R213*Litros_Puerto_Viaje)</f>
      </c>
      <c r="U213" s="71">
        <f>IF(B213="","",IF(ENTRADA!$K213="",T213,ENTRADA!$K213))</f>
      </c>
      <c r="V213" s="37">
        <f>IF(B213="","",U213*INDEX(PRECIOS!$E$6:$E$55,K213))</f>
      </c>
      <c r="W213" s="37">
        <f>IF(B213="","",IF(ENTRADA!$L213="",R213*INDEX(PRECIOS!$G$6:$G$55,K213),ENTRADA!$L213))</f>
      </c>
      <c r="X213" s="37">
        <f>IF(B213="","",R213*Km_Puerto_Viaje*INDEX(PRECIOS!$N$6:$N$55,K213))</f>
      </c>
      <c r="Y213" s="70">
        <f>IF(B213="","",S213+V213+W213+X213)</f>
      </c>
      <c r="Z213" s="71">
        <f>IF(B213="","",IF(J213=0,0,ROUNDUP(J213/Rend_Desagrupe,0)))</f>
      </c>
      <c r="AA213" s="71">
        <f>IF(B213="","",IF(ENTRADA!$M213="",Z213,ENTRADA!$M213))</f>
      </c>
      <c r="AB213" s="37">
        <f>IF(B213="","",AA213*INDEX(PRECIOS!$H$6:$H$55,K213))</f>
      </c>
      <c r="AC213" s="37">
        <f>IF(B213="","",IF(E213="ENCI",INDEX(PRECIOS!$J$6:$J$55,K213),IF(E213="A.V",INDEX(PRECIOS!$K$6:$K$55,K213),0)))</f>
      </c>
      <c r="AD213" s="37">
        <f>IF(B213="","",N(ENTRADA!$N213))</f>
      </c>
      <c r="AE213" s="70">
        <f>IF(B213="","",AB213+AC213+AD213)</f>
      </c>
      <c r="AF213" s="71">
        <f>IF(B213="","",IF(G213=0,0,ROUNDUP(G213/Cap_Camion_OCC,0)))</f>
      </c>
      <c r="AG213" s="71">
        <f>IF(B213="","",AF213*L_Dist_OCC)</f>
      </c>
      <c r="AH213" s="71">
        <f>IF(B213="","",IF(ENTRADA!$O213="",AG213,ENTRADA!$O213))</f>
      </c>
      <c r="AI213" s="37">
        <f>IF(B213="","",AH213*INDEX(PRECIOS!$E$6:$E$55,K213))</f>
      </c>
      <c r="AJ213" s="71">
        <f>IF(B213="","",IF(H213=0,0,ROUNDUP(H213/Cap_Camion_CEN,0)))</f>
      </c>
      <c r="AK213" s="71">
        <f>IF(B213="","",AJ213*L_Tras_CEN)</f>
      </c>
      <c r="AL213" s="71">
        <f>IF(B213="","",IF(ENTRADA!$P213="",AK213,ENTRADA!$P213))</f>
      </c>
      <c r="AM213" s="71">
        <f>IF(B213="","",AJ213*L_Dist_CEN)</f>
      </c>
      <c r="AN213" s="71">
        <f>IF(B213="","",IF(ENTRADA!$Q213="",AM213,ENTRADA!$Q213))</f>
      </c>
      <c r="AO213" s="37">
        <f>IF(B213="","",(AL213+AN213)*INDEX(PRECIOS!$E$6:$E$55,K213))</f>
      </c>
      <c r="AP213" s="71">
        <f>IF(B213="","",IF(H213=0,0,ROUNDUP(H213/Rend_Desagrupe_CT,0)))</f>
      </c>
      <c r="AQ213" s="71">
        <f>IF(B213="","",IF(ENTRADA!$R213="",AP213,ENTRADA!$R213))</f>
      </c>
      <c r="AR213" s="37">
        <f>IF(B213="","",AQ213*INDEX(PRECIOS!$I$6:$I$55,K213))</f>
      </c>
      <c r="AS213" s="37">
        <f>IF(B213="","",AO213+AR213)</f>
      </c>
      <c r="AT213" s="71">
        <f>IF(B213="","",IF(I213=0,0,ROUNDUP(I213/Cap_Camion_ORI,0)))</f>
      </c>
      <c r="AU213" s="71">
        <f>IF(B213="","",AT213*L_Tras_ORI)</f>
      </c>
      <c r="AV213" s="71">
        <f>IF(B213="","",IF(ENTRADA!$S213="",AU213,ENTRADA!$S213))</f>
      </c>
      <c r="AW213" s="71">
        <f>IF(B213="","",AT213*L_Dist_ORI)</f>
      </c>
      <c r="AX213" s="71">
        <f>IF(B213="","",IF(ENTRADA!$T213="",AW213,ENTRADA!$T213))</f>
      </c>
      <c r="AY213" s="37">
        <f>IF(B213="","",(AV213+AX213)*INDEX(PRECIOS!$E$6:$E$55,K213))</f>
      </c>
      <c r="AZ213" s="71">
        <f>IF(B213="","",IF(I213=0,0,ROUNDUP(I213/Rend_Desagrupe_CT,0)))</f>
      </c>
      <c r="BA213" s="71">
        <f>IF(B213="","",IF(ENTRADA!$U213="",AZ213,ENTRADA!$U213))</f>
      </c>
      <c r="BB213" s="37">
        <f>IF(B213="","",BA213*INDEX(PRECIOS!$I$6:$I$55,K213))</f>
      </c>
      <c r="BC213" s="37">
        <f>IF(B213="","",AY213+BB213)</f>
      </c>
      <c r="BD213" s="70">
        <f>IF(B213="","",AI213+AS213+BC213)</f>
      </c>
      <c r="BE213" s="37">
        <f>IF(B213="","",IF(Base_Comision="% DEL INGRESO",M213*INDEX(PRECIOS!$L$6:$L$55,K213),G213*INDEX(PRECIOS!$M$6:$M$55,K213)))</f>
      </c>
      <c r="BF213" s="37">
        <f>IF(B213="","",IF(Base_Comision="% DEL INGRESO",N213*INDEX(PRECIOS!$L$6:$L$55,K213),H213*INDEX(PRECIOS!$M$6:$M$55,K213)))</f>
      </c>
      <c r="BG213" s="37">
        <f>IF(B213="","",IF(Base_Comision="% DEL INGRESO",O213*INDEX(PRECIOS!$L$6:$L$55,K213),I213*INDEX(PRECIOS!$M$6:$M$55,K213)))</f>
      </c>
      <c r="BH213" s="70">
        <f>IF(B213="","",BE213+BF213+BG213)</f>
      </c>
      <c r="BI213" s="37">
        <f>IF(B213="","",Q213*Pct_Reclamaciones)</f>
      </c>
      <c r="BJ213" s="37">
        <f>IF(B213="","",Q213*Pct_Banco)</f>
      </c>
      <c r="BK213" s="37">
        <f>IF(B213="","",N(ENTRADA!$V213))</f>
      </c>
      <c r="BL213" s="70">
        <f>IF(B213="","",Y213+AE213+BD213+BH213+BI213+BJ213+BK213)</f>
      </c>
      <c r="BM213" s="70">
        <f>IF(B213="","",Q213-BL213)</f>
      </c>
      <c r="BN213" s="72">
        <f>IF(B213="","",IF(Q213=0,0,BM213/Q213))</f>
      </c>
      <c r="BO213" s="73">
        <f>IF(B213="","",IF(J213=0,0,BM213/J213))</f>
      </c>
      <c r="BP213" s="60">
        <f>IF(B213="","",IFERROR(MATCH(D213,COSTOS_FIJOS!$G$5:$AD$5,0),0))</f>
      </c>
      <c r="BQ213" s="60">
        <f>IF(B213="","",COUNTIFS($D$6:$D$305,D213))</f>
      </c>
      <c r="BR213" s="67">
        <f>IF(B213="","",SUMIFS($J$6:$J$305,$D$6:$D$305,D213))</f>
      </c>
      <c r="BS213" s="72">
        <f>IF(B213="","",IF(Metodo_Prorrateo="KG",IF(BR213=0,0,J213/BR213),1/BQ213))</f>
      </c>
      <c r="BT213" s="37">
        <f>IF(B213="","",IF(BP213=0,0,INDEX(COSTOS_FIJOS!$G$38:$AD$38,BP213))*BS213)</f>
      </c>
      <c r="BU213" s="72">
        <f>IF(B213="","",IF(Metodo_Prorrateo="KG",IF(SUMIFS($G$6:$G$305,$D$6:$D$305,D213)=0,0,G213/SUMIFS($G$6:$G$305,$D$6:$D$305,D213)),IF(G213&gt;0,1/COUNTIFS($D$6:$D$305,D213,$G$6:$G$305,"&gt;0"),0)))</f>
      </c>
      <c r="BV213" s="37">
        <f>IF(B213="","",IF(BP213=0,0,INDEX(COSTOS_FIJOS!$G$39:$AD$39,BP213))*BU213)</f>
      </c>
      <c r="BW213" s="72">
        <f>IF(B213="","",IF(Metodo_Prorrateo="KG",IF(SUMIFS($H$6:$H$305,$D$6:$D$305,D213)=0,0,H213/SUMIFS($H$6:$H$305,$D$6:$D$305,D213)),IF(H213&gt;0,1/COUNTIFS($D$6:$D$305,D213,$H$6:$H$305,"&gt;0"),0)))</f>
      </c>
      <c r="BX213" s="37">
        <f>IF(B213="","",IF(BP213=0,0,INDEX(COSTOS_FIJOS!$G$40:$AD$40,BP213))*BW213)</f>
      </c>
      <c r="BY213" s="72">
        <f>IF(B213="","",IF(Metodo_Prorrateo="KG",IF(SUMIFS($I$6:$I$305,$D$6:$D$305,D213)=0,0,I213/SUMIFS($I$6:$I$305,$D$6:$D$305,D213)),IF(I213&gt;0,1/COUNTIFS($D$6:$D$305,D213,$I$6:$I$305,"&gt;0"),0)))</f>
      </c>
      <c r="BZ213" s="37">
        <f>IF(B213="","",IF(BP213=0,0,INDEX(COSTOS_FIJOS!$G$41:$AD$41,BP213))*BY213)</f>
      </c>
      <c r="CA213" s="70">
        <f>IF(B213="","",BT213+BV213+BX213+BZ213)</f>
      </c>
      <c r="CB213" s="37">
        <f>IF(B213="","",Q213*Imp_Ventas_Serv)</f>
      </c>
      <c r="CC213" s="37">
        <f>IF(B213="","",Q213*Contrib_Territorial)</f>
      </c>
      <c r="CD213" s="70">
        <f>IF(B213="","",BM213-CA213-CB213-CC213)</f>
      </c>
      <c r="CE213" s="37">
        <f>IF(B213="","",MAX(0,CD213)*Imp_Utilidades)</f>
      </c>
      <c r="CF213" s="70">
        <f>IF(B213="","",CD213-CE213)</f>
      </c>
      <c r="CG213" s="72">
        <f>IF(B213="","",IF(Q213=0,0,CF213/Q213))</f>
      </c>
      <c r="CH213" s="73">
        <f>IF(B213="","",IF(J213=0,0,(BL213+CA213+CB213+CC213)/J213))</f>
      </c>
      <c r="CI213" s="73">
        <f>IF(B213="","",IF(J213=0,0,Q213/J213))</f>
      </c>
      <c r="CJ213" s="73">
        <f>IF(B213="","",IF(J213=0,0,CD213/J213))</f>
      </c>
      <c r="CK213" s="37">
        <f>IF(B213="","",Y213+AE213+BK213+BT213)</f>
      </c>
      <c r="CL213" s="37">
        <f>IF(B213="","",IF(J213=0,0,(M213+P213*G213/J213)*(1-Pct_Reclamaciones-Pct_Banco-Imp_Ventas_Serv-Contrib_Territorial)-AI213-BE213-BV213-CK213*G213/J213))</f>
      </c>
      <c r="CM213" s="37">
        <f>IF(B213="","",IF(J213=0,0,(N213+P213*H213/J213)*(1-Pct_Reclamaciones-Pct_Banco-Imp_Ventas_Serv-Contrib_Territorial)-AS213-BF213-BX213-CK213*H213/J213))</f>
      </c>
      <c r="CN213" s="37">
        <f>IF(B213="","",IF(J213=0,0,(O213+P213*I213/J213)*(1-Pct_Reclamaciones-Pct_Banco-Imp_Ventas_Serv-Contrib_Territorial)-BC213-BG213-BZ213-CK213*I213/J213))</f>
      </c>
      <c r="CO213" s="37">
        <f>IF(B213="","",IF(J213=0,0,ROUND(CD213-CL213-CM213-CN213,4)))</f>
      </c>
      <c r="CP213" s="71">
        <f>IF(B213="","",T213+AG213+AK213+AM213+AU213+AW213)</f>
      </c>
      <c r="CQ213" s="71">
        <f>IF(B213="","",U213+AH213+AL213+AN213+AV213+AX213)</f>
      </c>
      <c r="CR213" s="72">
        <f>IF(B213="","",IF(CP213=0,0,CQ213/CP213-1))</f>
      </c>
      <c r="CS213" s="60">
        <f>IF(B213="","",IF(ENTRADA!$Y213="","",ENTRADA!$Y213-C213))</f>
      </c>
      <c r="CT213" s="66">
        <f>IF(B213="","",IF(ENTRADA!$C213="","Falta fecha. ","")&amp;IF(BP213=0,"Mes fuera del rango de COSTOS_FIJOS. ","")&amp;IF(J213=0,"Sin kg. ","")&amp;IF(E213="","Falta transitaria. ","")&amp;IF(AND(T213&gt;0,U213/T213-1&gt;Tolerancia_Comb),"Combustible al puerto "&amp;TEXT(U213/T213-1,"+0%")&amp;" sobre norma. ","")&amp;IF(AND(AG213&gt;0,AH213/AG213-1&gt;Tolerancia_Comb),"Combustible distribución Occidente "&amp;TEXT(AH213/AG213-1,"+0%")&amp;" sobre norma. ","")&amp;IF(AND(AK213&gt;0,AL213/AK213-1&gt;Tolerancia_Comb),"Combustible traslado Centro "&amp;TEXT(AL213/AK213-1,"+0%")&amp;" sobre norma. ","")&amp;IF(AND(AM213&gt;0,AN213/AM213-1&gt;Tolerancia_Comb),"Combustible distribución Centro "&amp;TEXT(AN213/AM213-1,"+0%")&amp;" sobre norma. ","")&amp;IF(AND(AU213&gt;0,AV213/AU213-1&gt;Tolerancia_Comb),"Combustible traslado Oriente "&amp;TEXT(AV213/AU213-1,"+0%")&amp;" sobre norma. ","")&amp;IF(AND(AW213&gt;0,AX213/AW213-1&gt;Tolerancia_Comb),"Combustible distribución Oriente "&amp;TEXT(AX213/AW213-1,"+0%")&amp;" sobre norma. ","")&amp;IF(AND(ENTRADA!$C213&lt;&gt;"",C213&lt;PRECIOS!$A$6),"Fecha anterior a la 1ª vigencia de precios. ","")&amp;IF(CD213&lt;0,"Contenedor con pérdida. ",""))</f>
      </c>
    </row>
    <row r="214">
      <c r="A214" s="60">
        <f>IF(B214="","",ROW()-5)</f>
      </c>
      <c r="B214" s="63">
        <f>IF(ENTRADA!$B214="","",ENTRADA!$B214)</f>
      </c>
      <c r="C214" s="64">
        <f>IF(B214="","",ENTRADA!$C214)</f>
      </c>
      <c r="D214" s="65">
        <f>IF(B214="","",DATE(YEAR(C214),MONTH(C214),1))</f>
      </c>
      <c r="E214" s="66">
        <f>IF(B214="","",ENTRADA!$D214&amp;"")</f>
      </c>
      <c r="F214" s="66">
        <f>IF(B214="","",ENTRADA!$Z214&amp;"")</f>
      </c>
      <c r="G214" s="67">
        <f>IF(B214="","",N(ENTRADA!$G214))</f>
      </c>
      <c r="H214" s="67">
        <f>IF(B214="","",N(ENTRADA!$H214))</f>
      </c>
      <c r="I214" s="67">
        <f>IF(B214="","",N(ENTRADA!$I214))</f>
      </c>
      <c r="J214" s="68">
        <f>IF(B214="","",G214+H214+I214)</f>
      </c>
      <c r="K214" s="60">
        <f>IF(B214="","",IFERROR(MATCH(SUMPRODUCT(MAX((PRECIOS!$A$6:$A$55&lt;=C214)*PRECIOS!$A$6:$A$55)),PRECIOS!$A$6:$A$55,0),1))</f>
      </c>
      <c r="L214" s="69">
        <f>IF(B214="","",INDEX(PRECIOS!$A$6:$A$55,K214))</f>
      </c>
      <c r="M214" s="37">
        <f>IF(B214="","",G214*INDEX(PRECIOS!$B$6:$B$55,K214))</f>
      </c>
      <c r="N214" s="37">
        <f>IF(B214="","",H214*INDEX(PRECIOS!$C$6:$C$55,K214))</f>
      </c>
      <c r="O214" s="37">
        <f>IF(B214="","",I214*INDEX(PRECIOS!$D$6:$D$55,K214))</f>
      </c>
      <c r="P214" s="37">
        <f>IF(B214="","",N(ENTRADA!$X214))</f>
      </c>
      <c r="Q214" s="70">
        <f>IF(B214="","",M214+N214+O214+P214)</f>
      </c>
      <c r="R214" s="71">
        <f>IF(B214="","",IF(ENTRADA!$J214="",Std_Viajes_Puerto,ENTRADA!$J214))</f>
      </c>
      <c r="S214" s="37">
        <f>IF(B214="","",R214*INDEX(PRECIOS!$F$6:$F$55,K214))</f>
      </c>
      <c r="T214" s="71">
        <f>IF(B214="","",R214*Litros_Puerto_Viaje)</f>
      </c>
      <c r="U214" s="71">
        <f>IF(B214="","",IF(ENTRADA!$K214="",T214,ENTRADA!$K214))</f>
      </c>
      <c r="V214" s="37">
        <f>IF(B214="","",U214*INDEX(PRECIOS!$E$6:$E$55,K214))</f>
      </c>
      <c r="W214" s="37">
        <f>IF(B214="","",IF(ENTRADA!$L214="",R214*INDEX(PRECIOS!$G$6:$G$55,K214),ENTRADA!$L214))</f>
      </c>
      <c r="X214" s="37">
        <f>IF(B214="","",R214*Km_Puerto_Viaje*INDEX(PRECIOS!$N$6:$N$55,K214))</f>
      </c>
      <c r="Y214" s="70">
        <f>IF(B214="","",S214+V214+W214+X214)</f>
      </c>
      <c r="Z214" s="71">
        <f>IF(B214="","",IF(J214=0,0,ROUNDUP(J214/Rend_Desagrupe,0)))</f>
      </c>
      <c r="AA214" s="71">
        <f>IF(B214="","",IF(ENTRADA!$M214="",Z214,ENTRADA!$M214))</f>
      </c>
      <c r="AB214" s="37">
        <f>IF(B214="","",AA214*INDEX(PRECIOS!$H$6:$H$55,K214))</f>
      </c>
      <c r="AC214" s="37">
        <f>IF(B214="","",IF(E214="ENCI",INDEX(PRECIOS!$J$6:$J$55,K214),IF(E214="A.V",INDEX(PRECIOS!$K$6:$K$55,K214),0)))</f>
      </c>
      <c r="AD214" s="37">
        <f>IF(B214="","",N(ENTRADA!$N214))</f>
      </c>
      <c r="AE214" s="70">
        <f>IF(B214="","",AB214+AC214+AD214)</f>
      </c>
      <c r="AF214" s="71">
        <f>IF(B214="","",IF(G214=0,0,ROUNDUP(G214/Cap_Camion_OCC,0)))</f>
      </c>
      <c r="AG214" s="71">
        <f>IF(B214="","",AF214*L_Dist_OCC)</f>
      </c>
      <c r="AH214" s="71">
        <f>IF(B214="","",IF(ENTRADA!$O214="",AG214,ENTRADA!$O214))</f>
      </c>
      <c r="AI214" s="37">
        <f>IF(B214="","",AH214*INDEX(PRECIOS!$E$6:$E$55,K214))</f>
      </c>
      <c r="AJ214" s="71">
        <f>IF(B214="","",IF(H214=0,0,ROUNDUP(H214/Cap_Camion_CEN,0)))</f>
      </c>
      <c r="AK214" s="71">
        <f>IF(B214="","",AJ214*L_Tras_CEN)</f>
      </c>
      <c r="AL214" s="71">
        <f>IF(B214="","",IF(ENTRADA!$P214="",AK214,ENTRADA!$P214))</f>
      </c>
      <c r="AM214" s="71">
        <f>IF(B214="","",AJ214*L_Dist_CEN)</f>
      </c>
      <c r="AN214" s="71">
        <f>IF(B214="","",IF(ENTRADA!$Q214="",AM214,ENTRADA!$Q214))</f>
      </c>
      <c r="AO214" s="37">
        <f>IF(B214="","",(AL214+AN214)*INDEX(PRECIOS!$E$6:$E$55,K214))</f>
      </c>
      <c r="AP214" s="71">
        <f>IF(B214="","",IF(H214=0,0,ROUNDUP(H214/Rend_Desagrupe_CT,0)))</f>
      </c>
      <c r="AQ214" s="71">
        <f>IF(B214="","",IF(ENTRADA!$R214="",AP214,ENTRADA!$R214))</f>
      </c>
      <c r="AR214" s="37">
        <f>IF(B214="","",AQ214*INDEX(PRECIOS!$I$6:$I$55,K214))</f>
      </c>
      <c r="AS214" s="37">
        <f>IF(B214="","",AO214+AR214)</f>
      </c>
      <c r="AT214" s="71">
        <f>IF(B214="","",IF(I214=0,0,ROUNDUP(I214/Cap_Camion_ORI,0)))</f>
      </c>
      <c r="AU214" s="71">
        <f>IF(B214="","",AT214*L_Tras_ORI)</f>
      </c>
      <c r="AV214" s="71">
        <f>IF(B214="","",IF(ENTRADA!$S214="",AU214,ENTRADA!$S214))</f>
      </c>
      <c r="AW214" s="71">
        <f>IF(B214="","",AT214*L_Dist_ORI)</f>
      </c>
      <c r="AX214" s="71">
        <f>IF(B214="","",IF(ENTRADA!$T214="",AW214,ENTRADA!$T214))</f>
      </c>
      <c r="AY214" s="37">
        <f>IF(B214="","",(AV214+AX214)*INDEX(PRECIOS!$E$6:$E$55,K214))</f>
      </c>
      <c r="AZ214" s="71">
        <f>IF(B214="","",IF(I214=0,0,ROUNDUP(I214/Rend_Desagrupe_CT,0)))</f>
      </c>
      <c r="BA214" s="71">
        <f>IF(B214="","",IF(ENTRADA!$U214="",AZ214,ENTRADA!$U214))</f>
      </c>
      <c r="BB214" s="37">
        <f>IF(B214="","",BA214*INDEX(PRECIOS!$I$6:$I$55,K214))</f>
      </c>
      <c r="BC214" s="37">
        <f>IF(B214="","",AY214+BB214)</f>
      </c>
      <c r="BD214" s="70">
        <f>IF(B214="","",AI214+AS214+BC214)</f>
      </c>
      <c r="BE214" s="37">
        <f>IF(B214="","",IF(Base_Comision="% DEL INGRESO",M214*INDEX(PRECIOS!$L$6:$L$55,K214),G214*INDEX(PRECIOS!$M$6:$M$55,K214)))</f>
      </c>
      <c r="BF214" s="37">
        <f>IF(B214="","",IF(Base_Comision="% DEL INGRESO",N214*INDEX(PRECIOS!$L$6:$L$55,K214),H214*INDEX(PRECIOS!$M$6:$M$55,K214)))</f>
      </c>
      <c r="BG214" s="37">
        <f>IF(B214="","",IF(Base_Comision="% DEL INGRESO",O214*INDEX(PRECIOS!$L$6:$L$55,K214),I214*INDEX(PRECIOS!$M$6:$M$55,K214)))</f>
      </c>
      <c r="BH214" s="70">
        <f>IF(B214="","",BE214+BF214+BG214)</f>
      </c>
      <c r="BI214" s="37">
        <f>IF(B214="","",Q214*Pct_Reclamaciones)</f>
      </c>
      <c r="BJ214" s="37">
        <f>IF(B214="","",Q214*Pct_Banco)</f>
      </c>
      <c r="BK214" s="37">
        <f>IF(B214="","",N(ENTRADA!$V214))</f>
      </c>
      <c r="BL214" s="70">
        <f>IF(B214="","",Y214+AE214+BD214+BH214+BI214+BJ214+BK214)</f>
      </c>
      <c r="BM214" s="70">
        <f>IF(B214="","",Q214-BL214)</f>
      </c>
      <c r="BN214" s="72">
        <f>IF(B214="","",IF(Q214=0,0,BM214/Q214))</f>
      </c>
      <c r="BO214" s="73">
        <f>IF(B214="","",IF(J214=0,0,BM214/J214))</f>
      </c>
      <c r="BP214" s="60">
        <f>IF(B214="","",IFERROR(MATCH(D214,COSTOS_FIJOS!$G$5:$AD$5,0),0))</f>
      </c>
      <c r="BQ214" s="60">
        <f>IF(B214="","",COUNTIFS($D$6:$D$305,D214))</f>
      </c>
      <c r="BR214" s="67">
        <f>IF(B214="","",SUMIFS($J$6:$J$305,$D$6:$D$305,D214))</f>
      </c>
      <c r="BS214" s="72">
        <f>IF(B214="","",IF(Metodo_Prorrateo="KG",IF(BR214=0,0,J214/BR214),1/BQ214))</f>
      </c>
      <c r="BT214" s="37">
        <f>IF(B214="","",IF(BP214=0,0,INDEX(COSTOS_FIJOS!$G$38:$AD$38,BP214))*BS214)</f>
      </c>
      <c r="BU214" s="72">
        <f>IF(B214="","",IF(Metodo_Prorrateo="KG",IF(SUMIFS($G$6:$G$305,$D$6:$D$305,D214)=0,0,G214/SUMIFS($G$6:$G$305,$D$6:$D$305,D214)),IF(G214&gt;0,1/COUNTIFS($D$6:$D$305,D214,$G$6:$G$305,"&gt;0"),0)))</f>
      </c>
      <c r="BV214" s="37">
        <f>IF(B214="","",IF(BP214=0,0,INDEX(COSTOS_FIJOS!$G$39:$AD$39,BP214))*BU214)</f>
      </c>
      <c r="BW214" s="72">
        <f>IF(B214="","",IF(Metodo_Prorrateo="KG",IF(SUMIFS($H$6:$H$305,$D$6:$D$305,D214)=0,0,H214/SUMIFS($H$6:$H$305,$D$6:$D$305,D214)),IF(H214&gt;0,1/COUNTIFS($D$6:$D$305,D214,$H$6:$H$305,"&gt;0"),0)))</f>
      </c>
      <c r="BX214" s="37">
        <f>IF(B214="","",IF(BP214=0,0,INDEX(COSTOS_FIJOS!$G$40:$AD$40,BP214))*BW214)</f>
      </c>
      <c r="BY214" s="72">
        <f>IF(B214="","",IF(Metodo_Prorrateo="KG",IF(SUMIFS($I$6:$I$305,$D$6:$D$305,D214)=0,0,I214/SUMIFS($I$6:$I$305,$D$6:$D$305,D214)),IF(I214&gt;0,1/COUNTIFS($D$6:$D$305,D214,$I$6:$I$305,"&gt;0"),0)))</f>
      </c>
      <c r="BZ214" s="37">
        <f>IF(B214="","",IF(BP214=0,0,INDEX(COSTOS_FIJOS!$G$41:$AD$41,BP214))*BY214)</f>
      </c>
      <c r="CA214" s="70">
        <f>IF(B214="","",BT214+BV214+BX214+BZ214)</f>
      </c>
      <c r="CB214" s="37">
        <f>IF(B214="","",Q214*Imp_Ventas_Serv)</f>
      </c>
      <c r="CC214" s="37">
        <f>IF(B214="","",Q214*Contrib_Territorial)</f>
      </c>
      <c r="CD214" s="70">
        <f>IF(B214="","",BM214-CA214-CB214-CC214)</f>
      </c>
      <c r="CE214" s="37">
        <f>IF(B214="","",MAX(0,CD214)*Imp_Utilidades)</f>
      </c>
      <c r="CF214" s="70">
        <f>IF(B214="","",CD214-CE214)</f>
      </c>
      <c r="CG214" s="72">
        <f>IF(B214="","",IF(Q214=0,0,CF214/Q214))</f>
      </c>
      <c r="CH214" s="73">
        <f>IF(B214="","",IF(J214=0,0,(BL214+CA214+CB214+CC214)/J214))</f>
      </c>
      <c r="CI214" s="73">
        <f>IF(B214="","",IF(J214=0,0,Q214/J214))</f>
      </c>
      <c r="CJ214" s="73">
        <f>IF(B214="","",IF(J214=0,0,CD214/J214))</f>
      </c>
      <c r="CK214" s="37">
        <f>IF(B214="","",Y214+AE214+BK214+BT214)</f>
      </c>
      <c r="CL214" s="37">
        <f>IF(B214="","",IF(J214=0,0,(M214+P214*G214/J214)*(1-Pct_Reclamaciones-Pct_Banco-Imp_Ventas_Serv-Contrib_Territorial)-AI214-BE214-BV214-CK214*G214/J214))</f>
      </c>
      <c r="CM214" s="37">
        <f>IF(B214="","",IF(J214=0,0,(N214+P214*H214/J214)*(1-Pct_Reclamaciones-Pct_Banco-Imp_Ventas_Serv-Contrib_Territorial)-AS214-BF214-BX214-CK214*H214/J214))</f>
      </c>
      <c r="CN214" s="37">
        <f>IF(B214="","",IF(J214=0,0,(O214+P214*I214/J214)*(1-Pct_Reclamaciones-Pct_Banco-Imp_Ventas_Serv-Contrib_Territorial)-BC214-BG214-BZ214-CK214*I214/J214))</f>
      </c>
      <c r="CO214" s="37">
        <f>IF(B214="","",IF(J214=0,0,ROUND(CD214-CL214-CM214-CN214,4)))</f>
      </c>
      <c r="CP214" s="71">
        <f>IF(B214="","",T214+AG214+AK214+AM214+AU214+AW214)</f>
      </c>
      <c r="CQ214" s="71">
        <f>IF(B214="","",U214+AH214+AL214+AN214+AV214+AX214)</f>
      </c>
      <c r="CR214" s="72">
        <f>IF(B214="","",IF(CP214=0,0,CQ214/CP214-1))</f>
      </c>
      <c r="CS214" s="60">
        <f>IF(B214="","",IF(ENTRADA!$Y214="","",ENTRADA!$Y214-C214))</f>
      </c>
      <c r="CT214" s="66">
        <f>IF(B214="","",IF(ENTRADA!$C214="","Falta fecha. ","")&amp;IF(BP214=0,"Mes fuera del rango de COSTOS_FIJOS. ","")&amp;IF(J214=0,"Sin kg. ","")&amp;IF(E214="","Falta transitaria. ","")&amp;IF(AND(T214&gt;0,U214/T214-1&gt;Tolerancia_Comb),"Combustible al puerto "&amp;TEXT(U214/T214-1,"+0%")&amp;" sobre norma. ","")&amp;IF(AND(AG214&gt;0,AH214/AG214-1&gt;Tolerancia_Comb),"Combustible distribución Occidente "&amp;TEXT(AH214/AG214-1,"+0%")&amp;" sobre norma. ","")&amp;IF(AND(AK214&gt;0,AL214/AK214-1&gt;Tolerancia_Comb),"Combustible traslado Centro "&amp;TEXT(AL214/AK214-1,"+0%")&amp;" sobre norma. ","")&amp;IF(AND(AM214&gt;0,AN214/AM214-1&gt;Tolerancia_Comb),"Combustible distribución Centro "&amp;TEXT(AN214/AM214-1,"+0%")&amp;" sobre norma. ","")&amp;IF(AND(AU214&gt;0,AV214/AU214-1&gt;Tolerancia_Comb),"Combustible traslado Oriente "&amp;TEXT(AV214/AU214-1,"+0%")&amp;" sobre norma. ","")&amp;IF(AND(AW214&gt;0,AX214/AW214-1&gt;Tolerancia_Comb),"Combustible distribución Oriente "&amp;TEXT(AX214/AW214-1,"+0%")&amp;" sobre norma. ","")&amp;IF(AND(ENTRADA!$C214&lt;&gt;"",C214&lt;PRECIOS!$A$6),"Fecha anterior a la 1ª vigencia de precios. ","")&amp;IF(CD214&lt;0,"Contenedor con pérdida. ",""))</f>
      </c>
    </row>
    <row r="215">
      <c r="A215" s="60">
        <f>IF(B215="","",ROW()-5)</f>
      </c>
      <c r="B215" s="63">
        <f>IF(ENTRADA!$B215="","",ENTRADA!$B215)</f>
      </c>
      <c r="C215" s="64">
        <f>IF(B215="","",ENTRADA!$C215)</f>
      </c>
      <c r="D215" s="65">
        <f>IF(B215="","",DATE(YEAR(C215),MONTH(C215),1))</f>
      </c>
      <c r="E215" s="66">
        <f>IF(B215="","",ENTRADA!$D215&amp;"")</f>
      </c>
      <c r="F215" s="66">
        <f>IF(B215="","",ENTRADA!$Z215&amp;"")</f>
      </c>
      <c r="G215" s="67">
        <f>IF(B215="","",N(ENTRADA!$G215))</f>
      </c>
      <c r="H215" s="67">
        <f>IF(B215="","",N(ENTRADA!$H215))</f>
      </c>
      <c r="I215" s="67">
        <f>IF(B215="","",N(ENTRADA!$I215))</f>
      </c>
      <c r="J215" s="68">
        <f>IF(B215="","",G215+H215+I215)</f>
      </c>
      <c r="K215" s="60">
        <f>IF(B215="","",IFERROR(MATCH(SUMPRODUCT(MAX((PRECIOS!$A$6:$A$55&lt;=C215)*PRECIOS!$A$6:$A$55)),PRECIOS!$A$6:$A$55,0),1))</f>
      </c>
      <c r="L215" s="69">
        <f>IF(B215="","",INDEX(PRECIOS!$A$6:$A$55,K215))</f>
      </c>
      <c r="M215" s="37">
        <f>IF(B215="","",G215*INDEX(PRECIOS!$B$6:$B$55,K215))</f>
      </c>
      <c r="N215" s="37">
        <f>IF(B215="","",H215*INDEX(PRECIOS!$C$6:$C$55,K215))</f>
      </c>
      <c r="O215" s="37">
        <f>IF(B215="","",I215*INDEX(PRECIOS!$D$6:$D$55,K215))</f>
      </c>
      <c r="P215" s="37">
        <f>IF(B215="","",N(ENTRADA!$X215))</f>
      </c>
      <c r="Q215" s="70">
        <f>IF(B215="","",M215+N215+O215+P215)</f>
      </c>
      <c r="R215" s="71">
        <f>IF(B215="","",IF(ENTRADA!$J215="",Std_Viajes_Puerto,ENTRADA!$J215))</f>
      </c>
      <c r="S215" s="37">
        <f>IF(B215="","",R215*INDEX(PRECIOS!$F$6:$F$55,K215))</f>
      </c>
      <c r="T215" s="71">
        <f>IF(B215="","",R215*Litros_Puerto_Viaje)</f>
      </c>
      <c r="U215" s="71">
        <f>IF(B215="","",IF(ENTRADA!$K215="",T215,ENTRADA!$K215))</f>
      </c>
      <c r="V215" s="37">
        <f>IF(B215="","",U215*INDEX(PRECIOS!$E$6:$E$55,K215))</f>
      </c>
      <c r="W215" s="37">
        <f>IF(B215="","",IF(ENTRADA!$L215="",R215*INDEX(PRECIOS!$G$6:$G$55,K215),ENTRADA!$L215))</f>
      </c>
      <c r="X215" s="37">
        <f>IF(B215="","",R215*Km_Puerto_Viaje*INDEX(PRECIOS!$N$6:$N$55,K215))</f>
      </c>
      <c r="Y215" s="70">
        <f>IF(B215="","",S215+V215+W215+X215)</f>
      </c>
      <c r="Z215" s="71">
        <f>IF(B215="","",IF(J215=0,0,ROUNDUP(J215/Rend_Desagrupe,0)))</f>
      </c>
      <c r="AA215" s="71">
        <f>IF(B215="","",IF(ENTRADA!$M215="",Z215,ENTRADA!$M215))</f>
      </c>
      <c r="AB215" s="37">
        <f>IF(B215="","",AA215*INDEX(PRECIOS!$H$6:$H$55,K215))</f>
      </c>
      <c r="AC215" s="37">
        <f>IF(B215="","",IF(E215="ENCI",INDEX(PRECIOS!$J$6:$J$55,K215),IF(E215="A.V",INDEX(PRECIOS!$K$6:$K$55,K215),0)))</f>
      </c>
      <c r="AD215" s="37">
        <f>IF(B215="","",N(ENTRADA!$N215))</f>
      </c>
      <c r="AE215" s="70">
        <f>IF(B215="","",AB215+AC215+AD215)</f>
      </c>
      <c r="AF215" s="71">
        <f>IF(B215="","",IF(G215=0,0,ROUNDUP(G215/Cap_Camion_OCC,0)))</f>
      </c>
      <c r="AG215" s="71">
        <f>IF(B215="","",AF215*L_Dist_OCC)</f>
      </c>
      <c r="AH215" s="71">
        <f>IF(B215="","",IF(ENTRADA!$O215="",AG215,ENTRADA!$O215))</f>
      </c>
      <c r="AI215" s="37">
        <f>IF(B215="","",AH215*INDEX(PRECIOS!$E$6:$E$55,K215))</f>
      </c>
      <c r="AJ215" s="71">
        <f>IF(B215="","",IF(H215=0,0,ROUNDUP(H215/Cap_Camion_CEN,0)))</f>
      </c>
      <c r="AK215" s="71">
        <f>IF(B215="","",AJ215*L_Tras_CEN)</f>
      </c>
      <c r="AL215" s="71">
        <f>IF(B215="","",IF(ENTRADA!$P215="",AK215,ENTRADA!$P215))</f>
      </c>
      <c r="AM215" s="71">
        <f>IF(B215="","",AJ215*L_Dist_CEN)</f>
      </c>
      <c r="AN215" s="71">
        <f>IF(B215="","",IF(ENTRADA!$Q215="",AM215,ENTRADA!$Q215))</f>
      </c>
      <c r="AO215" s="37">
        <f>IF(B215="","",(AL215+AN215)*INDEX(PRECIOS!$E$6:$E$55,K215))</f>
      </c>
      <c r="AP215" s="71">
        <f>IF(B215="","",IF(H215=0,0,ROUNDUP(H215/Rend_Desagrupe_CT,0)))</f>
      </c>
      <c r="AQ215" s="71">
        <f>IF(B215="","",IF(ENTRADA!$R215="",AP215,ENTRADA!$R215))</f>
      </c>
      <c r="AR215" s="37">
        <f>IF(B215="","",AQ215*INDEX(PRECIOS!$I$6:$I$55,K215))</f>
      </c>
      <c r="AS215" s="37">
        <f>IF(B215="","",AO215+AR215)</f>
      </c>
      <c r="AT215" s="71">
        <f>IF(B215="","",IF(I215=0,0,ROUNDUP(I215/Cap_Camion_ORI,0)))</f>
      </c>
      <c r="AU215" s="71">
        <f>IF(B215="","",AT215*L_Tras_ORI)</f>
      </c>
      <c r="AV215" s="71">
        <f>IF(B215="","",IF(ENTRADA!$S215="",AU215,ENTRADA!$S215))</f>
      </c>
      <c r="AW215" s="71">
        <f>IF(B215="","",AT215*L_Dist_ORI)</f>
      </c>
      <c r="AX215" s="71">
        <f>IF(B215="","",IF(ENTRADA!$T215="",AW215,ENTRADA!$T215))</f>
      </c>
      <c r="AY215" s="37">
        <f>IF(B215="","",(AV215+AX215)*INDEX(PRECIOS!$E$6:$E$55,K215))</f>
      </c>
      <c r="AZ215" s="71">
        <f>IF(B215="","",IF(I215=0,0,ROUNDUP(I215/Rend_Desagrupe_CT,0)))</f>
      </c>
      <c r="BA215" s="71">
        <f>IF(B215="","",IF(ENTRADA!$U215="",AZ215,ENTRADA!$U215))</f>
      </c>
      <c r="BB215" s="37">
        <f>IF(B215="","",BA215*INDEX(PRECIOS!$I$6:$I$55,K215))</f>
      </c>
      <c r="BC215" s="37">
        <f>IF(B215="","",AY215+BB215)</f>
      </c>
      <c r="BD215" s="70">
        <f>IF(B215="","",AI215+AS215+BC215)</f>
      </c>
      <c r="BE215" s="37">
        <f>IF(B215="","",IF(Base_Comision="% DEL INGRESO",M215*INDEX(PRECIOS!$L$6:$L$55,K215),G215*INDEX(PRECIOS!$M$6:$M$55,K215)))</f>
      </c>
      <c r="BF215" s="37">
        <f>IF(B215="","",IF(Base_Comision="% DEL INGRESO",N215*INDEX(PRECIOS!$L$6:$L$55,K215),H215*INDEX(PRECIOS!$M$6:$M$55,K215)))</f>
      </c>
      <c r="BG215" s="37">
        <f>IF(B215="","",IF(Base_Comision="% DEL INGRESO",O215*INDEX(PRECIOS!$L$6:$L$55,K215),I215*INDEX(PRECIOS!$M$6:$M$55,K215)))</f>
      </c>
      <c r="BH215" s="70">
        <f>IF(B215="","",BE215+BF215+BG215)</f>
      </c>
      <c r="BI215" s="37">
        <f>IF(B215="","",Q215*Pct_Reclamaciones)</f>
      </c>
      <c r="BJ215" s="37">
        <f>IF(B215="","",Q215*Pct_Banco)</f>
      </c>
      <c r="BK215" s="37">
        <f>IF(B215="","",N(ENTRADA!$V215))</f>
      </c>
      <c r="BL215" s="70">
        <f>IF(B215="","",Y215+AE215+BD215+BH215+BI215+BJ215+BK215)</f>
      </c>
      <c r="BM215" s="70">
        <f>IF(B215="","",Q215-BL215)</f>
      </c>
      <c r="BN215" s="72">
        <f>IF(B215="","",IF(Q215=0,0,BM215/Q215))</f>
      </c>
      <c r="BO215" s="73">
        <f>IF(B215="","",IF(J215=0,0,BM215/J215))</f>
      </c>
      <c r="BP215" s="60">
        <f>IF(B215="","",IFERROR(MATCH(D215,COSTOS_FIJOS!$G$5:$AD$5,0),0))</f>
      </c>
      <c r="BQ215" s="60">
        <f>IF(B215="","",COUNTIFS($D$6:$D$305,D215))</f>
      </c>
      <c r="BR215" s="67">
        <f>IF(B215="","",SUMIFS($J$6:$J$305,$D$6:$D$305,D215))</f>
      </c>
      <c r="BS215" s="72">
        <f>IF(B215="","",IF(Metodo_Prorrateo="KG",IF(BR215=0,0,J215/BR215),1/BQ215))</f>
      </c>
      <c r="BT215" s="37">
        <f>IF(B215="","",IF(BP215=0,0,INDEX(COSTOS_FIJOS!$G$38:$AD$38,BP215))*BS215)</f>
      </c>
      <c r="BU215" s="72">
        <f>IF(B215="","",IF(Metodo_Prorrateo="KG",IF(SUMIFS($G$6:$G$305,$D$6:$D$305,D215)=0,0,G215/SUMIFS($G$6:$G$305,$D$6:$D$305,D215)),IF(G215&gt;0,1/COUNTIFS($D$6:$D$305,D215,$G$6:$G$305,"&gt;0"),0)))</f>
      </c>
      <c r="BV215" s="37">
        <f>IF(B215="","",IF(BP215=0,0,INDEX(COSTOS_FIJOS!$G$39:$AD$39,BP215))*BU215)</f>
      </c>
      <c r="BW215" s="72">
        <f>IF(B215="","",IF(Metodo_Prorrateo="KG",IF(SUMIFS($H$6:$H$305,$D$6:$D$305,D215)=0,0,H215/SUMIFS($H$6:$H$305,$D$6:$D$305,D215)),IF(H215&gt;0,1/COUNTIFS($D$6:$D$305,D215,$H$6:$H$305,"&gt;0"),0)))</f>
      </c>
      <c r="BX215" s="37">
        <f>IF(B215="","",IF(BP215=0,0,INDEX(COSTOS_FIJOS!$G$40:$AD$40,BP215))*BW215)</f>
      </c>
      <c r="BY215" s="72">
        <f>IF(B215="","",IF(Metodo_Prorrateo="KG",IF(SUMIFS($I$6:$I$305,$D$6:$D$305,D215)=0,0,I215/SUMIFS($I$6:$I$305,$D$6:$D$305,D215)),IF(I215&gt;0,1/COUNTIFS($D$6:$D$305,D215,$I$6:$I$305,"&gt;0"),0)))</f>
      </c>
      <c r="BZ215" s="37">
        <f>IF(B215="","",IF(BP215=0,0,INDEX(COSTOS_FIJOS!$G$41:$AD$41,BP215))*BY215)</f>
      </c>
      <c r="CA215" s="70">
        <f>IF(B215="","",BT215+BV215+BX215+BZ215)</f>
      </c>
      <c r="CB215" s="37">
        <f>IF(B215="","",Q215*Imp_Ventas_Serv)</f>
      </c>
      <c r="CC215" s="37">
        <f>IF(B215="","",Q215*Contrib_Territorial)</f>
      </c>
      <c r="CD215" s="70">
        <f>IF(B215="","",BM215-CA215-CB215-CC215)</f>
      </c>
      <c r="CE215" s="37">
        <f>IF(B215="","",MAX(0,CD215)*Imp_Utilidades)</f>
      </c>
      <c r="CF215" s="70">
        <f>IF(B215="","",CD215-CE215)</f>
      </c>
      <c r="CG215" s="72">
        <f>IF(B215="","",IF(Q215=0,0,CF215/Q215))</f>
      </c>
      <c r="CH215" s="73">
        <f>IF(B215="","",IF(J215=0,0,(BL215+CA215+CB215+CC215)/J215))</f>
      </c>
      <c r="CI215" s="73">
        <f>IF(B215="","",IF(J215=0,0,Q215/J215))</f>
      </c>
      <c r="CJ215" s="73">
        <f>IF(B215="","",IF(J215=0,0,CD215/J215))</f>
      </c>
      <c r="CK215" s="37">
        <f>IF(B215="","",Y215+AE215+BK215+BT215)</f>
      </c>
      <c r="CL215" s="37">
        <f>IF(B215="","",IF(J215=0,0,(M215+P215*G215/J215)*(1-Pct_Reclamaciones-Pct_Banco-Imp_Ventas_Serv-Contrib_Territorial)-AI215-BE215-BV215-CK215*G215/J215))</f>
      </c>
      <c r="CM215" s="37">
        <f>IF(B215="","",IF(J215=0,0,(N215+P215*H215/J215)*(1-Pct_Reclamaciones-Pct_Banco-Imp_Ventas_Serv-Contrib_Territorial)-AS215-BF215-BX215-CK215*H215/J215))</f>
      </c>
      <c r="CN215" s="37">
        <f>IF(B215="","",IF(J215=0,0,(O215+P215*I215/J215)*(1-Pct_Reclamaciones-Pct_Banco-Imp_Ventas_Serv-Contrib_Territorial)-BC215-BG215-BZ215-CK215*I215/J215))</f>
      </c>
      <c r="CO215" s="37">
        <f>IF(B215="","",IF(J215=0,0,ROUND(CD215-CL215-CM215-CN215,4)))</f>
      </c>
      <c r="CP215" s="71">
        <f>IF(B215="","",T215+AG215+AK215+AM215+AU215+AW215)</f>
      </c>
      <c r="CQ215" s="71">
        <f>IF(B215="","",U215+AH215+AL215+AN215+AV215+AX215)</f>
      </c>
      <c r="CR215" s="72">
        <f>IF(B215="","",IF(CP215=0,0,CQ215/CP215-1))</f>
      </c>
      <c r="CS215" s="60">
        <f>IF(B215="","",IF(ENTRADA!$Y215="","",ENTRADA!$Y215-C215))</f>
      </c>
      <c r="CT215" s="66">
        <f>IF(B215="","",IF(ENTRADA!$C215="","Falta fecha. ","")&amp;IF(BP215=0,"Mes fuera del rango de COSTOS_FIJOS. ","")&amp;IF(J215=0,"Sin kg. ","")&amp;IF(E215="","Falta transitaria. ","")&amp;IF(AND(T215&gt;0,U215/T215-1&gt;Tolerancia_Comb),"Combustible al puerto "&amp;TEXT(U215/T215-1,"+0%")&amp;" sobre norma. ","")&amp;IF(AND(AG215&gt;0,AH215/AG215-1&gt;Tolerancia_Comb),"Combustible distribución Occidente "&amp;TEXT(AH215/AG215-1,"+0%")&amp;" sobre norma. ","")&amp;IF(AND(AK215&gt;0,AL215/AK215-1&gt;Tolerancia_Comb),"Combustible traslado Centro "&amp;TEXT(AL215/AK215-1,"+0%")&amp;" sobre norma. ","")&amp;IF(AND(AM215&gt;0,AN215/AM215-1&gt;Tolerancia_Comb),"Combustible distribución Centro "&amp;TEXT(AN215/AM215-1,"+0%")&amp;" sobre norma. ","")&amp;IF(AND(AU215&gt;0,AV215/AU215-1&gt;Tolerancia_Comb),"Combustible traslado Oriente "&amp;TEXT(AV215/AU215-1,"+0%")&amp;" sobre norma. ","")&amp;IF(AND(AW215&gt;0,AX215/AW215-1&gt;Tolerancia_Comb),"Combustible distribución Oriente "&amp;TEXT(AX215/AW215-1,"+0%")&amp;" sobre norma. ","")&amp;IF(AND(ENTRADA!$C215&lt;&gt;"",C215&lt;PRECIOS!$A$6),"Fecha anterior a la 1ª vigencia de precios. ","")&amp;IF(CD215&lt;0,"Contenedor con pérdida. ",""))</f>
      </c>
    </row>
    <row r="216">
      <c r="A216" s="60">
        <f>IF(B216="","",ROW()-5)</f>
      </c>
      <c r="B216" s="63">
        <f>IF(ENTRADA!$B216="","",ENTRADA!$B216)</f>
      </c>
      <c r="C216" s="64">
        <f>IF(B216="","",ENTRADA!$C216)</f>
      </c>
      <c r="D216" s="65">
        <f>IF(B216="","",DATE(YEAR(C216),MONTH(C216),1))</f>
      </c>
      <c r="E216" s="66">
        <f>IF(B216="","",ENTRADA!$D216&amp;"")</f>
      </c>
      <c r="F216" s="66">
        <f>IF(B216="","",ENTRADA!$Z216&amp;"")</f>
      </c>
      <c r="G216" s="67">
        <f>IF(B216="","",N(ENTRADA!$G216))</f>
      </c>
      <c r="H216" s="67">
        <f>IF(B216="","",N(ENTRADA!$H216))</f>
      </c>
      <c r="I216" s="67">
        <f>IF(B216="","",N(ENTRADA!$I216))</f>
      </c>
      <c r="J216" s="68">
        <f>IF(B216="","",G216+H216+I216)</f>
      </c>
      <c r="K216" s="60">
        <f>IF(B216="","",IFERROR(MATCH(SUMPRODUCT(MAX((PRECIOS!$A$6:$A$55&lt;=C216)*PRECIOS!$A$6:$A$55)),PRECIOS!$A$6:$A$55,0),1))</f>
      </c>
      <c r="L216" s="69">
        <f>IF(B216="","",INDEX(PRECIOS!$A$6:$A$55,K216))</f>
      </c>
      <c r="M216" s="37">
        <f>IF(B216="","",G216*INDEX(PRECIOS!$B$6:$B$55,K216))</f>
      </c>
      <c r="N216" s="37">
        <f>IF(B216="","",H216*INDEX(PRECIOS!$C$6:$C$55,K216))</f>
      </c>
      <c r="O216" s="37">
        <f>IF(B216="","",I216*INDEX(PRECIOS!$D$6:$D$55,K216))</f>
      </c>
      <c r="P216" s="37">
        <f>IF(B216="","",N(ENTRADA!$X216))</f>
      </c>
      <c r="Q216" s="70">
        <f>IF(B216="","",M216+N216+O216+P216)</f>
      </c>
      <c r="R216" s="71">
        <f>IF(B216="","",IF(ENTRADA!$J216="",Std_Viajes_Puerto,ENTRADA!$J216))</f>
      </c>
      <c r="S216" s="37">
        <f>IF(B216="","",R216*INDEX(PRECIOS!$F$6:$F$55,K216))</f>
      </c>
      <c r="T216" s="71">
        <f>IF(B216="","",R216*Litros_Puerto_Viaje)</f>
      </c>
      <c r="U216" s="71">
        <f>IF(B216="","",IF(ENTRADA!$K216="",T216,ENTRADA!$K216))</f>
      </c>
      <c r="V216" s="37">
        <f>IF(B216="","",U216*INDEX(PRECIOS!$E$6:$E$55,K216))</f>
      </c>
      <c r="W216" s="37">
        <f>IF(B216="","",IF(ENTRADA!$L216="",R216*INDEX(PRECIOS!$G$6:$G$55,K216),ENTRADA!$L216))</f>
      </c>
      <c r="X216" s="37">
        <f>IF(B216="","",R216*Km_Puerto_Viaje*INDEX(PRECIOS!$N$6:$N$55,K216))</f>
      </c>
      <c r="Y216" s="70">
        <f>IF(B216="","",S216+V216+W216+X216)</f>
      </c>
      <c r="Z216" s="71">
        <f>IF(B216="","",IF(J216=0,0,ROUNDUP(J216/Rend_Desagrupe,0)))</f>
      </c>
      <c r="AA216" s="71">
        <f>IF(B216="","",IF(ENTRADA!$M216="",Z216,ENTRADA!$M216))</f>
      </c>
      <c r="AB216" s="37">
        <f>IF(B216="","",AA216*INDEX(PRECIOS!$H$6:$H$55,K216))</f>
      </c>
      <c r="AC216" s="37">
        <f>IF(B216="","",IF(E216="ENCI",INDEX(PRECIOS!$J$6:$J$55,K216),IF(E216="A.V",INDEX(PRECIOS!$K$6:$K$55,K216),0)))</f>
      </c>
      <c r="AD216" s="37">
        <f>IF(B216="","",N(ENTRADA!$N216))</f>
      </c>
      <c r="AE216" s="70">
        <f>IF(B216="","",AB216+AC216+AD216)</f>
      </c>
      <c r="AF216" s="71">
        <f>IF(B216="","",IF(G216=0,0,ROUNDUP(G216/Cap_Camion_OCC,0)))</f>
      </c>
      <c r="AG216" s="71">
        <f>IF(B216="","",AF216*L_Dist_OCC)</f>
      </c>
      <c r="AH216" s="71">
        <f>IF(B216="","",IF(ENTRADA!$O216="",AG216,ENTRADA!$O216))</f>
      </c>
      <c r="AI216" s="37">
        <f>IF(B216="","",AH216*INDEX(PRECIOS!$E$6:$E$55,K216))</f>
      </c>
      <c r="AJ216" s="71">
        <f>IF(B216="","",IF(H216=0,0,ROUNDUP(H216/Cap_Camion_CEN,0)))</f>
      </c>
      <c r="AK216" s="71">
        <f>IF(B216="","",AJ216*L_Tras_CEN)</f>
      </c>
      <c r="AL216" s="71">
        <f>IF(B216="","",IF(ENTRADA!$P216="",AK216,ENTRADA!$P216))</f>
      </c>
      <c r="AM216" s="71">
        <f>IF(B216="","",AJ216*L_Dist_CEN)</f>
      </c>
      <c r="AN216" s="71">
        <f>IF(B216="","",IF(ENTRADA!$Q216="",AM216,ENTRADA!$Q216))</f>
      </c>
      <c r="AO216" s="37">
        <f>IF(B216="","",(AL216+AN216)*INDEX(PRECIOS!$E$6:$E$55,K216))</f>
      </c>
      <c r="AP216" s="71">
        <f>IF(B216="","",IF(H216=0,0,ROUNDUP(H216/Rend_Desagrupe_CT,0)))</f>
      </c>
      <c r="AQ216" s="71">
        <f>IF(B216="","",IF(ENTRADA!$R216="",AP216,ENTRADA!$R216))</f>
      </c>
      <c r="AR216" s="37">
        <f>IF(B216="","",AQ216*INDEX(PRECIOS!$I$6:$I$55,K216))</f>
      </c>
      <c r="AS216" s="37">
        <f>IF(B216="","",AO216+AR216)</f>
      </c>
      <c r="AT216" s="71">
        <f>IF(B216="","",IF(I216=0,0,ROUNDUP(I216/Cap_Camion_ORI,0)))</f>
      </c>
      <c r="AU216" s="71">
        <f>IF(B216="","",AT216*L_Tras_ORI)</f>
      </c>
      <c r="AV216" s="71">
        <f>IF(B216="","",IF(ENTRADA!$S216="",AU216,ENTRADA!$S216))</f>
      </c>
      <c r="AW216" s="71">
        <f>IF(B216="","",AT216*L_Dist_ORI)</f>
      </c>
      <c r="AX216" s="71">
        <f>IF(B216="","",IF(ENTRADA!$T216="",AW216,ENTRADA!$T216))</f>
      </c>
      <c r="AY216" s="37">
        <f>IF(B216="","",(AV216+AX216)*INDEX(PRECIOS!$E$6:$E$55,K216))</f>
      </c>
      <c r="AZ216" s="71">
        <f>IF(B216="","",IF(I216=0,0,ROUNDUP(I216/Rend_Desagrupe_CT,0)))</f>
      </c>
      <c r="BA216" s="71">
        <f>IF(B216="","",IF(ENTRADA!$U216="",AZ216,ENTRADA!$U216))</f>
      </c>
      <c r="BB216" s="37">
        <f>IF(B216="","",BA216*INDEX(PRECIOS!$I$6:$I$55,K216))</f>
      </c>
      <c r="BC216" s="37">
        <f>IF(B216="","",AY216+BB216)</f>
      </c>
      <c r="BD216" s="70">
        <f>IF(B216="","",AI216+AS216+BC216)</f>
      </c>
      <c r="BE216" s="37">
        <f>IF(B216="","",IF(Base_Comision="% DEL INGRESO",M216*INDEX(PRECIOS!$L$6:$L$55,K216),G216*INDEX(PRECIOS!$M$6:$M$55,K216)))</f>
      </c>
      <c r="BF216" s="37">
        <f>IF(B216="","",IF(Base_Comision="% DEL INGRESO",N216*INDEX(PRECIOS!$L$6:$L$55,K216),H216*INDEX(PRECIOS!$M$6:$M$55,K216)))</f>
      </c>
      <c r="BG216" s="37">
        <f>IF(B216="","",IF(Base_Comision="% DEL INGRESO",O216*INDEX(PRECIOS!$L$6:$L$55,K216),I216*INDEX(PRECIOS!$M$6:$M$55,K216)))</f>
      </c>
      <c r="BH216" s="70">
        <f>IF(B216="","",BE216+BF216+BG216)</f>
      </c>
      <c r="BI216" s="37">
        <f>IF(B216="","",Q216*Pct_Reclamaciones)</f>
      </c>
      <c r="BJ216" s="37">
        <f>IF(B216="","",Q216*Pct_Banco)</f>
      </c>
      <c r="BK216" s="37">
        <f>IF(B216="","",N(ENTRADA!$V216))</f>
      </c>
      <c r="BL216" s="70">
        <f>IF(B216="","",Y216+AE216+BD216+BH216+BI216+BJ216+BK216)</f>
      </c>
      <c r="BM216" s="70">
        <f>IF(B216="","",Q216-BL216)</f>
      </c>
      <c r="BN216" s="72">
        <f>IF(B216="","",IF(Q216=0,0,BM216/Q216))</f>
      </c>
      <c r="BO216" s="73">
        <f>IF(B216="","",IF(J216=0,0,BM216/J216))</f>
      </c>
      <c r="BP216" s="60">
        <f>IF(B216="","",IFERROR(MATCH(D216,COSTOS_FIJOS!$G$5:$AD$5,0),0))</f>
      </c>
      <c r="BQ216" s="60">
        <f>IF(B216="","",COUNTIFS($D$6:$D$305,D216))</f>
      </c>
      <c r="BR216" s="67">
        <f>IF(B216="","",SUMIFS($J$6:$J$305,$D$6:$D$305,D216))</f>
      </c>
      <c r="BS216" s="72">
        <f>IF(B216="","",IF(Metodo_Prorrateo="KG",IF(BR216=0,0,J216/BR216),1/BQ216))</f>
      </c>
      <c r="BT216" s="37">
        <f>IF(B216="","",IF(BP216=0,0,INDEX(COSTOS_FIJOS!$G$38:$AD$38,BP216))*BS216)</f>
      </c>
      <c r="BU216" s="72">
        <f>IF(B216="","",IF(Metodo_Prorrateo="KG",IF(SUMIFS($G$6:$G$305,$D$6:$D$305,D216)=0,0,G216/SUMIFS($G$6:$G$305,$D$6:$D$305,D216)),IF(G216&gt;0,1/COUNTIFS($D$6:$D$305,D216,$G$6:$G$305,"&gt;0"),0)))</f>
      </c>
      <c r="BV216" s="37">
        <f>IF(B216="","",IF(BP216=0,0,INDEX(COSTOS_FIJOS!$G$39:$AD$39,BP216))*BU216)</f>
      </c>
      <c r="BW216" s="72">
        <f>IF(B216="","",IF(Metodo_Prorrateo="KG",IF(SUMIFS($H$6:$H$305,$D$6:$D$305,D216)=0,0,H216/SUMIFS($H$6:$H$305,$D$6:$D$305,D216)),IF(H216&gt;0,1/COUNTIFS($D$6:$D$305,D216,$H$6:$H$305,"&gt;0"),0)))</f>
      </c>
      <c r="BX216" s="37">
        <f>IF(B216="","",IF(BP216=0,0,INDEX(COSTOS_FIJOS!$G$40:$AD$40,BP216))*BW216)</f>
      </c>
      <c r="BY216" s="72">
        <f>IF(B216="","",IF(Metodo_Prorrateo="KG",IF(SUMIFS($I$6:$I$305,$D$6:$D$305,D216)=0,0,I216/SUMIFS($I$6:$I$305,$D$6:$D$305,D216)),IF(I216&gt;0,1/COUNTIFS($D$6:$D$305,D216,$I$6:$I$305,"&gt;0"),0)))</f>
      </c>
      <c r="BZ216" s="37">
        <f>IF(B216="","",IF(BP216=0,0,INDEX(COSTOS_FIJOS!$G$41:$AD$41,BP216))*BY216)</f>
      </c>
      <c r="CA216" s="70">
        <f>IF(B216="","",BT216+BV216+BX216+BZ216)</f>
      </c>
      <c r="CB216" s="37">
        <f>IF(B216="","",Q216*Imp_Ventas_Serv)</f>
      </c>
      <c r="CC216" s="37">
        <f>IF(B216="","",Q216*Contrib_Territorial)</f>
      </c>
      <c r="CD216" s="70">
        <f>IF(B216="","",BM216-CA216-CB216-CC216)</f>
      </c>
      <c r="CE216" s="37">
        <f>IF(B216="","",MAX(0,CD216)*Imp_Utilidades)</f>
      </c>
      <c r="CF216" s="70">
        <f>IF(B216="","",CD216-CE216)</f>
      </c>
      <c r="CG216" s="72">
        <f>IF(B216="","",IF(Q216=0,0,CF216/Q216))</f>
      </c>
      <c r="CH216" s="73">
        <f>IF(B216="","",IF(J216=0,0,(BL216+CA216+CB216+CC216)/J216))</f>
      </c>
      <c r="CI216" s="73">
        <f>IF(B216="","",IF(J216=0,0,Q216/J216))</f>
      </c>
      <c r="CJ216" s="73">
        <f>IF(B216="","",IF(J216=0,0,CD216/J216))</f>
      </c>
      <c r="CK216" s="37">
        <f>IF(B216="","",Y216+AE216+BK216+BT216)</f>
      </c>
      <c r="CL216" s="37">
        <f>IF(B216="","",IF(J216=0,0,(M216+P216*G216/J216)*(1-Pct_Reclamaciones-Pct_Banco-Imp_Ventas_Serv-Contrib_Territorial)-AI216-BE216-BV216-CK216*G216/J216))</f>
      </c>
      <c r="CM216" s="37">
        <f>IF(B216="","",IF(J216=0,0,(N216+P216*H216/J216)*(1-Pct_Reclamaciones-Pct_Banco-Imp_Ventas_Serv-Contrib_Territorial)-AS216-BF216-BX216-CK216*H216/J216))</f>
      </c>
      <c r="CN216" s="37">
        <f>IF(B216="","",IF(J216=0,0,(O216+P216*I216/J216)*(1-Pct_Reclamaciones-Pct_Banco-Imp_Ventas_Serv-Contrib_Territorial)-BC216-BG216-BZ216-CK216*I216/J216))</f>
      </c>
      <c r="CO216" s="37">
        <f>IF(B216="","",IF(J216=0,0,ROUND(CD216-CL216-CM216-CN216,4)))</f>
      </c>
      <c r="CP216" s="71">
        <f>IF(B216="","",T216+AG216+AK216+AM216+AU216+AW216)</f>
      </c>
      <c r="CQ216" s="71">
        <f>IF(B216="","",U216+AH216+AL216+AN216+AV216+AX216)</f>
      </c>
      <c r="CR216" s="72">
        <f>IF(B216="","",IF(CP216=0,0,CQ216/CP216-1))</f>
      </c>
      <c r="CS216" s="60">
        <f>IF(B216="","",IF(ENTRADA!$Y216="","",ENTRADA!$Y216-C216))</f>
      </c>
      <c r="CT216" s="66">
        <f>IF(B216="","",IF(ENTRADA!$C216="","Falta fecha. ","")&amp;IF(BP216=0,"Mes fuera del rango de COSTOS_FIJOS. ","")&amp;IF(J216=0,"Sin kg. ","")&amp;IF(E216="","Falta transitaria. ","")&amp;IF(AND(T216&gt;0,U216/T216-1&gt;Tolerancia_Comb),"Combustible al puerto "&amp;TEXT(U216/T216-1,"+0%")&amp;" sobre norma. ","")&amp;IF(AND(AG216&gt;0,AH216/AG216-1&gt;Tolerancia_Comb),"Combustible distribución Occidente "&amp;TEXT(AH216/AG216-1,"+0%")&amp;" sobre norma. ","")&amp;IF(AND(AK216&gt;0,AL216/AK216-1&gt;Tolerancia_Comb),"Combustible traslado Centro "&amp;TEXT(AL216/AK216-1,"+0%")&amp;" sobre norma. ","")&amp;IF(AND(AM216&gt;0,AN216/AM216-1&gt;Tolerancia_Comb),"Combustible distribución Centro "&amp;TEXT(AN216/AM216-1,"+0%")&amp;" sobre norma. ","")&amp;IF(AND(AU216&gt;0,AV216/AU216-1&gt;Tolerancia_Comb),"Combustible traslado Oriente "&amp;TEXT(AV216/AU216-1,"+0%")&amp;" sobre norma. ","")&amp;IF(AND(AW216&gt;0,AX216/AW216-1&gt;Tolerancia_Comb),"Combustible distribución Oriente "&amp;TEXT(AX216/AW216-1,"+0%")&amp;" sobre norma. ","")&amp;IF(AND(ENTRADA!$C216&lt;&gt;"",C216&lt;PRECIOS!$A$6),"Fecha anterior a la 1ª vigencia de precios. ","")&amp;IF(CD216&lt;0,"Contenedor con pérdida. ",""))</f>
      </c>
    </row>
    <row r="217">
      <c r="A217" s="60">
        <f>IF(B217="","",ROW()-5)</f>
      </c>
      <c r="B217" s="63">
        <f>IF(ENTRADA!$B217="","",ENTRADA!$B217)</f>
      </c>
      <c r="C217" s="64">
        <f>IF(B217="","",ENTRADA!$C217)</f>
      </c>
      <c r="D217" s="65">
        <f>IF(B217="","",DATE(YEAR(C217),MONTH(C217),1))</f>
      </c>
      <c r="E217" s="66">
        <f>IF(B217="","",ENTRADA!$D217&amp;"")</f>
      </c>
      <c r="F217" s="66">
        <f>IF(B217="","",ENTRADA!$Z217&amp;"")</f>
      </c>
      <c r="G217" s="67">
        <f>IF(B217="","",N(ENTRADA!$G217))</f>
      </c>
      <c r="H217" s="67">
        <f>IF(B217="","",N(ENTRADA!$H217))</f>
      </c>
      <c r="I217" s="67">
        <f>IF(B217="","",N(ENTRADA!$I217))</f>
      </c>
      <c r="J217" s="68">
        <f>IF(B217="","",G217+H217+I217)</f>
      </c>
      <c r="K217" s="60">
        <f>IF(B217="","",IFERROR(MATCH(SUMPRODUCT(MAX((PRECIOS!$A$6:$A$55&lt;=C217)*PRECIOS!$A$6:$A$55)),PRECIOS!$A$6:$A$55,0),1))</f>
      </c>
      <c r="L217" s="69">
        <f>IF(B217="","",INDEX(PRECIOS!$A$6:$A$55,K217))</f>
      </c>
      <c r="M217" s="37">
        <f>IF(B217="","",G217*INDEX(PRECIOS!$B$6:$B$55,K217))</f>
      </c>
      <c r="N217" s="37">
        <f>IF(B217="","",H217*INDEX(PRECIOS!$C$6:$C$55,K217))</f>
      </c>
      <c r="O217" s="37">
        <f>IF(B217="","",I217*INDEX(PRECIOS!$D$6:$D$55,K217))</f>
      </c>
      <c r="P217" s="37">
        <f>IF(B217="","",N(ENTRADA!$X217))</f>
      </c>
      <c r="Q217" s="70">
        <f>IF(B217="","",M217+N217+O217+P217)</f>
      </c>
      <c r="R217" s="71">
        <f>IF(B217="","",IF(ENTRADA!$J217="",Std_Viajes_Puerto,ENTRADA!$J217))</f>
      </c>
      <c r="S217" s="37">
        <f>IF(B217="","",R217*INDEX(PRECIOS!$F$6:$F$55,K217))</f>
      </c>
      <c r="T217" s="71">
        <f>IF(B217="","",R217*Litros_Puerto_Viaje)</f>
      </c>
      <c r="U217" s="71">
        <f>IF(B217="","",IF(ENTRADA!$K217="",T217,ENTRADA!$K217))</f>
      </c>
      <c r="V217" s="37">
        <f>IF(B217="","",U217*INDEX(PRECIOS!$E$6:$E$55,K217))</f>
      </c>
      <c r="W217" s="37">
        <f>IF(B217="","",IF(ENTRADA!$L217="",R217*INDEX(PRECIOS!$G$6:$G$55,K217),ENTRADA!$L217))</f>
      </c>
      <c r="X217" s="37">
        <f>IF(B217="","",R217*Km_Puerto_Viaje*INDEX(PRECIOS!$N$6:$N$55,K217))</f>
      </c>
      <c r="Y217" s="70">
        <f>IF(B217="","",S217+V217+W217+X217)</f>
      </c>
      <c r="Z217" s="71">
        <f>IF(B217="","",IF(J217=0,0,ROUNDUP(J217/Rend_Desagrupe,0)))</f>
      </c>
      <c r="AA217" s="71">
        <f>IF(B217="","",IF(ENTRADA!$M217="",Z217,ENTRADA!$M217))</f>
      </c>
      <c r="AB217" s="37">
        <f>IF(B217="","",AA217*INDEX(PRECIOS!$H$6:$H$55,K217))</f>
      </c>
      <c r="AC217" s="37">
        <f>IF(B217="","",IF(E217="ENCI",INDEX(PRECIOS!$J$6:$J$55,K217),IF(E217="A.V",INDEX(PRECIOS!$K$6:$K$55,K217),0)))</f>
      </c>
      <c r="AD217" s="37">
        <f>IF(B217="","",N(ENTRADA!$N217))</f>
      </c>
      <c r="AE217" s="70">
        <f>IF(B217="","",AB217+AC217+AD217)</f>
      </c>
      <c r="AF217" s="71">
        <f>IF(B217="","",IF(G217=0,0,ROUNDUP(G217/Cap_Camion_OCC,0)))</f>
      </c>
      <c r="AG217" s="71">
        <f>IF(B217="","",AF217*L_Dist_OCC)</f>
      </c>
      <c r="AH217" s="71">
        <f>IF(B217="","",IF(ENTRADA!$O217="",AG217,ENTRADA!$O217))</f>
      </c>
      <c r="AI217" s="37">
        <f>IF(B217="","",AH217*INDEX(PRECIOS!$E$6:$E$55,K217))</f>
      </c>
      <c r="AJ217" s="71">
        <f>IF(B217="","",IF(H217=0,0,ROUNDUP(H217/Cap_Camion_CEN,0)))</f>
      </c>
      <c r="AK217" s="71">
        <f>IF(B217="","",AJ217*L_Tras_CEN)</f>
      </c>
      <c r="AL217" s="71">
        <f>IF(B217="","",IF(ENTRADA!$P217="",AK217,ENTRADA!$P217))</f>
      </c>
      <c r="AM217" s="71">
        <f>IF(B217="","",AJ217*L_Dist_CEN)</f>
      </c>
      <c r="AN217" s="71">
        <f>IF(B217="","",IF(ENTRADA!$Q217="",AM217,ENTRADA!$Q217))</f>
      </c>
      <c r="AO217" s="37">
        <f>IF(B217="","",(AL217+AN217)*INDEX(PRECIOS!$E$6:$E$55,K217))</f>
      </c>
      <c r="AP217" s="71">
        <f>IF(B217="","",IF(H217=0,0,ROUNDUP(H217/Rend_Desagrupe_CT,0)))</f>
      </c>
      <c r="AQ217" s="71">
        <f>IF(B217="","",IF(ENTRADA!$R217="",AP217,ENTRADA!$R217))</f>
      </c>
      <c r="AR217" s="37">
        <f>IF(B217="","",AQ217*INDEX(PRECIOS!$I$6:$I$55,K217))</f>
      </c>
      <c r="AS217" s="37">
        <f>IF(B217="","",AO217+AR217)</f>
      </c>
      <c r="AT217" s="71">
        <f>IF(B217="","",IF(I217=0,0,ROUNDUP(I217/Cap_Camion_ORI,0)))</f>
      </c>
      <c r="AU217" s="71">
        <f>IF(B217="","",AT217*L_Tras_ORI)</f>
      </c>
      <c r="AV217" s="71">
        <f>IF(B217="","",IF(ENTRADA!$S217="",AU217,ENTRADA!$S217))</f>
      </c>
      <c r="AW217" s="71">
        <f>IF(B217="","",AT217*L_Dist_ORI)</f>
      </c>
      <c r="AX217" s="71">
        <f>IF(B217="","",IF(ENTRADA!$T217="",AW217,ENTRADA!$T217))</f>
      </c>
      <c r="AY217" s="37">
        <f>IF(B217="","",(AV217+AX217)*INDEX(PRECIOS!$E$6:$E$55,K217))</f>
      </c>
      <c r="AZ217" s="71">
        <f>IF(B217="","",IF(I217=0,0,ROUNDUP(I217/Rend_Desagrupe_CT,0)))</f>
      </c>
      <c r="BA217" s="71">
        <f>IF(B217="","",IF(ENTRADA!$U217="",AZ217,ENTRADA!$U217))</f>
      </c>
      <c r="BB217" s="37">
        <f>IF(B217="","",BA217*INDEX(PRECIOS!$I$6:$I$55,K217))</f>
      </c>
      <c r="BC217" s="37">
        <f>IF(B217="","",AY217+BB217)</f>
      </c>
      <c r="BD217" s="70">
        <f>IF(B217="","",AI217+AS217+BC217)</f>
      </c>
      <c r="BE217" s="37">
        <f>IF(B217="","",IF(Base_Comision="% DEL INGRESO",M217*INDEX(PRECIOS!$L$6:$L$55,K217),G217*INDEX(PRECIOS!$M$6:$M$55,K217)))</f>
      </c>
      <c r="BF217" s="37">
        <f>IF(B217="","",IF(Base_Comision="% DEL INGRESO",N217*INDEX(PRECIOS!$L$6:$L$55,K217),H217*INDEX(PRECIOS!$M$6:$M$55,K217)))</f>
      </c>
      <c r="BG217" s="37">
        <f>IF(B217="","",IF(Base_Comision="% DEL INGRESO",O217*INDEX(PRECIOS!$L$6:$L$55,K217),I217*INDEX(PRECIOS!$M$6:$M$55,K217)))</f>
      </c>
      <c r="BH217" s="70">
        <f>IF(B217="","",BE217+BF217+BG217)</f>
      </c>
      <c r="BI217" s="37">
        <f>IF(B217="","",Q217*Pct_Reclamaciones)</f>
      </c>
      <c r="BJ217" s="37">
        <f>IF(B217="","",Q217*Pct_Banco)</f>
      </c>
      <c r="BK217" s="37">
        <f>IF(B217="","",N(ENTRADA!$V217))</f>
      </c>
      <c r="BL217" s="70">
        <f>IF(B217="","",Y217+AE217+BD217+BH217+BI217+BJ217+BK217)</f>
      </c>
      <c r="BM217" s="70">
        <f>IF(B217="","",Q217-BL217)</f>
      </c>
      <c r="BN217" s="72">
        <f>IF(B217="","",IF(Q217=0,0,BM217/Q217))</f>
      </c>
      <c r="BO217" s="73">
        <f>IF(B217="","",IF(J217=0,0,BM217/J217))</f>
      </c>
      <c r="BP217" s="60">
        <f>IF(B217="","",IFERROR(MATCH(D217,COSTOS_FIJOS!$G$5:$AD$5,0),0))</f>
      </c>
      <c r="BQ217" s="60">
        <f>IF(B217="","",COUNTIFS($D$6:$D$305,D217))</f>
      </c>
      <c r="BR217" s="67">
        <f>IF(B217="","",SUMIFS($J$6:$J$305,$D$6:$D$305,D217))</f>
      </c>
      <c r="BS217" s="72">
        <f>IF(B217="","",IF(Metodo_Prorrateo="KG",IF(BR217=0,0,J217/BR217),1/BQ217))</f>
      </c>
      <c r="BT217" s="37">
        <f>IF(B217="","",IF(BP217=0,0,INDEX(COSTOS_FIJOS!$G$38:$AD$38,BP217))*BS217)</f>
      </c>
      <c r="BU217" s="72">
        <f>IF(B217="","",IF(Metodo_Prorrateo="KG",IF(SUMIFS($G$6:$G$305,$D$6:$D$305,D217)=0,0,G217/SUMIFS($G$6:$G$305,$D$6:$D$305,D217)),IF(G217&gt;0,1/COUNTIFS($D$6:$D$305,D217,$G$6:$G$305,"&gt;0"),0)))</f>
      </c>
      <c r="BV217" s="37">
        <f>IF(B217="","",IF(BP217=0,0,INDEX(COSTOS_FIJOS!$G$39:$AD$39,BP217))*BU217)</f>
      </c>
      <c r="BW217" s="72">
        <f>IF(B217="","",IF(Metodo_Prorrateo="KG",IF(SUMIFS($H$6:$H$305,$D$6:$D$305,D217)=0,0,H217/SUMIFS($H$6:$H$305,$D$6:$D$305,D217)),IF(H217&gt;0,1/COUNTIFS($D$6:$D$305,D217,$H$6:$H$305,"&gt;0"),0)))</f>
      </c>
      <c r="BX217" s="37">
        <f>IF(B217="","",IF(BP217=0,0,INDEX(COSTOS_FIJOS!$G$40:$AD$40,BP217))*BW217)</f>
      </c>
      <c r="BY217" s="72">
        <f>IF(B217="","",IF(Metodo_Prorrateo="KG",IF(SUMIFS($I$6:$I$305,$D$6:$D$305,D217)=0,0,I217/SUMIFS($I$6:$I$305,$D$6:$D$305,D217)),IF(I217&gt;0,1/COUNTIFS($D$6:$D$305,D217,$I$6:$I$305,"&gt;0"),0)))</f>
      </c>
      <c r="BZ217" s="37">
        <f>IF(B217="","",IF(BP217=0,0,INDEX(COSTOS_FIJOS!$G$41:$AD$41,BP217))*BY217)</f>
      </c>
      <c r="CA217" s="70">
        <f>IF(B217="","",BT217+BV217+BX217+BZ217)</f>
      </c>
      <c r="CB217" s="37">
        <f>IF(B217="","",Q217*Imp_Ventas_Serv)</f>
      </c>
      <c r="CC217" s="37">
        <f>IF(B217="","",Q217*Contrib_Territorial)</f>
      </c>
      <c r="CD217" s="70">
        <f>IF(B217="","",BM217-CA217-CB217-CC217)</f>
      </c>
      <c r="CE217" s="37">
        <f>IF(B217="","",MAX(0,CD217)*Imp_Utilidades)</f>
      </c>
      <c r="CF217" s="70">
        <f>IF(B217="","",CD217-CE217)</f>
      </c>
      <c r="CG217" s="72">
        <f>IF(B217="","",IF(Q217=0,0,CF217/Q217))</f>
      </c>
      <c r="CH217" s="73">
        <f>IF(B217="","",IF(J217=0,0,(BL217+CA217+CB217+CC217)/J217))</f>
      </c>
      <c r="CI217" s="73">
        <f>IF(B217="","",IF(J217=0,0,Q217/J217))</f>
      </c>
      <c r="CJ217" s="73">
        <f>IF(B217="","",IF(J217=0,0,CD217/J217))</f>
      </c>
      <c r="CK217" s="37">
        <f>IF(B217="","",Y217+AE217+BK217+BT217)</f>
      </c>
      <c r="CL217" s="37">
        <f>IF(B217="","",IF(J217=0,0,(M217+P217*G217/J217)*(1-Pct_Reclamaciones-Pct_Banco-Imp_Ventas_Serv-Contrib_Territorial)-AI217-BE217-BV217-CK217*G217/J217))</f>
      </c>
      <c r="CM217" s="37">
        <f>IF(B217="","",IF(J217=0,0,(N217+P217*H217/J217)*(1-Pct_Reclamaciones-Pct_Banco-Imp_Ventas_Serv-Contrib_Territorial)-AS217-BF217-BX217-CK217*H217/J217))</f>
      </c>
      <c r="CN217" s="37">
        <f>IF(B217="","",IF(J217=0,0,(O217+P217*I217/J217)*(1-Pct_Reclamaciones-Pct_Banco-Imp_Ventas_Serv-Contrib_Territorial)-BC217-BG217-BZ217-CK217*I217/J217))</f>
      </c>
      <c r="CO217" s="37">
        <f>IF(B217="","",IF(J217=0,0,ROUND(CD217-CL217-CM217-CN217,4)))</f>
      </c>
      <c r="CP217" s="71">
        <f>IF(B217="","",T217+AG217+AK217+AM217+AU217+AW217)</f>
      </c>
      <c r="CQ217" s="71">
        <f>IF(B217="","",U217+AH217+AL217+AN217+AV217+AX217)</f>
      </c>
      <c r="CR217" s="72">
        <f>IF(B217="","",IF(CP217=0,0,CQ217/CP217-1))</f>
      </c>
      <c r="CS217" s="60">
        <f>IF(B217="","",IF(ENTRADA!$Y217="","",ENTRADA!$Y217-C217))</f>
      </c>
      <c r="CT217" s="66">
        <f>IF(B217="","",IF(ENTRADA!$C217="","Falta fecha. ","")&amp;IF(BP217=0,"Mes fuera del rango de COSTOS_FIJOS. ","")&amp;IF(J217=0,"Sin kg. ","")&amp;IF(E217="","Falta transitaria. ","")&amp;IF(AND(T217&gt;0,U217/T217-1&gt;Tolerancia_Comb),"Combustible al puerto "&amp;TEXT(U217/T217-1,"+0%")&amp;" sobre norma. ","")&amp;IF(AND(AG217&gt;0,AH217/AG217-1&gt;Tolerancia_Comb),"Combustible distribución Occidente "&amp;TEXT(AH217/AG217-1,"+0%")&amp;" sobre norma. ","")&amp;IF(AND(AK217&gt;0,AL217/AK217-1&gt;Tolerancia_Comb),"Combustible traslado Centro "&amp;TEXT(AL217/AK217-1,"+0%")&amp;" sobre norma. ","")&amp;IF(AND(AM217&gt;0,AN217/AM217-1&gt;Tolerancia_Comb),"Combustible distribución Centro "&amp;TEXT(AN217/AM217-1,"+0%")&amp;" sobre norma. ","")&amp;IF(AND(AU217&gt;0,AV217/AU217-1&gt;Tolerancia_Comb),"Combustible traslado Oriente "&amp;TEXT(AV217/AU217-1,"+0%")&amp;" sobre norma. ","")&amp;IF(AND(AW217&gt;0,AX217/AW217-1&gt;Tolerancia_Comb),"Combustible distribución Oriente "&amp;TEXT(AX217/AW217-1,"+0%")&amp;" sobre norma. ","")&amp;IF(AND(ENTRADA!$C217&lt;&gt;"",C217&lt;PRECIOS!$A$6),"Fecha anterior a la 1ª vigencia de precios. ","")&amp;IF(CD217&lt;0,"Contenedor con pérdida. ",""))</f>
      </c>
    </row>
    <row r="218">
      <c r="A218" s="60">
        <f>IF(B218="","",ROW()-5)</f>
      </c>
      <c r="B218" s="63">
        <f>IF(ENTRADA!$B218="","",ENTRADA!$B218)</f>
      </c>
      <c r="C218" s="64">
        <f>IF(B218="","",ENTRADA!$C218)</f>
      </c>
      <c r="D218" s="65">
        <f>IF(B218="","",DATE(YEAR(C218),MONTH(C218),1))</f>
      </c>
      <c r="E218" s="66">
        <f>IF(B218="","",ENTRADA!$D218&amp;"")</f>
      </c>
      <c r="F218" s="66">
        <f>IF(B218="","",ENTRADA!$Z218&amp;"")</f>
      </c>
      <c r="G218" s="67">
        <f>IF(B218="","",N(ENTRADA!$G218))</f>
      </c>
      <c r="H218" s="67">
        <f>IF(B218="","",N(ENTRADA!$H218))</f>
      </c>
      <c r="I218" s="67">
        <f>IF(B218="","",N(ENTRADA!$I218))</f>
      </c>
      <c r="J218" s="68">
        <f>IF(B218="","",G218+H218+I218)</f>
      </c>
      <c r="K218" s="60">
        <f>IF(B218="","",IFERROR(MATCH(SUMPRODUCT(MAX((PRECIOS!$A$6:$A$55&lt;=C218)*PRECIOS!$A$6:$A$55)),PRECIOS!$A$6:$A$55,0),1))</f>
      </c>
      <c r="L218" s="69">
        <f>IF(B218="","",INDEX(PRECIOS!$A$6:$A$55,K218))</f>
      </c>
      <c r="M218" s="37">
        <f>IF(B218="","",G218*INDEX(PRECIOS!$B$6:$B$55,K218))</f>
      </c>
      <c r="N218" s="37">
        <f>IF(B218="","",H218*INDEX(PRECIOS!$C$6:$C$55,K218))</f>
      </c>
      <c r="O218" s="37">
        <f>IF(B218="","",I218*INDEX(PRECIOS!$D$6:$D$55,K218))</f>
      </c>
      <c r="P218" s="37">
        <f>IF(B218="","",N(ENTRADA!$X218))</f>
      </c>
      <c r="Q218" s="70">
        <f>IF(B218="","",M218+N218+O218+P218)</f>
      </c>
      <c r="R218" s="71">
        <f>IF(B218="","",IF(ENTRADA!$J218="",Std_Viajes_Puerto,ENTRADA!$J218))</f>
      </c>
      <c r="S218" s="37">
        <f>IF(B218="","",R218*INDEX(PRECIOS!$F$6:$F$55,K218))</f>
      </c>
      <c r="T218" s="71">
        <f>IF(B218="","",R218*Litros_Puerto_Viaje)</f>
      </c>
      <c r="U218" s="71">
        <f>IF(B218="","",IF(ENTRADA!$K218="",T218,ENTRADA!$K218))</f>
      </c>
      <c r="V218" s="37">
        <f>IF(B218="","",U218*INDEX(PRECIOS!$E$6:$E$55,K218))</f>
      </c>
      <c r="W218" s="37">
        <f>IF(B218="","",IF(ENTRADA!$L218="",R218*INDEX(PRECIOS!$G$6:$G$55,K218),ENTRADA!$L218))</f>
      </c>
      <c r="X218" s="37">
        <f>IF(B218="","",R218*Km_Puerto_Viaje*INDEX(PRECIOS!$N$6:$N$55,K218))</f>
      </c>
      <c r="Y218" s="70">
        <f>IF(B218="","",S218+V218+W218+X218)</f>
      </c>
      <c r="Z218" s="71">
        <f>IF(B218="","",IF(J218=0,0,ROUNDUP(J218/Rend_Desagrupe,0)))</f>
      </c>
      <c r="AA218" s="71">
        <f>IF(B218="","",IF(ENTRADA!$M218="",Z218,ENTRADA!$M218))</f>
      </c>
      <c r="AB218" s="37">
        <f>IF(B218="","",AA218*INDEX(PRECIOS!$H$6:$H$55,K218))</f>
      </c>
      <c r="AC218" s="37">
        <f>IF(B218="","",IF(E218="ENCI",INDEX(PRECIOS!$J$6:$J$55,K218),IF(E218="A.V",INDEX(PRECIOS!$K$6:$K$55,K218),0)))</f>
      </c>
      <c r="AD218" s="37">
        <f>IF(B218="","",N(ENTRADA!$N218))</f>
      </c>
      <c r="AE218" s="70">
        <f>IF(B218="","",AB218+AC218+AD218)</f>
      </c>
      <c r="AF218" s="71">
        <f>IF(B218="","",IF(G218=0,0,ROUNDUP(G218/Cap_Camion_OCC,0)))</f>
      </c>
      <c r="AG218" s="71">
        <f>IF(B218="","",AF218*L_Dist_OCC)</f>
      </c>
      <c r="AH218" s="71">
        <f>IF(B218="","",IF(ENTRADA!$O218="",AG218,ENTRADA!$O218))</f>
      </c>
      <c r="AI218" s="37">
        <f>IF(B218="","",AH218*INDEX(PRECIOS!$E$6:$E$55,K218))</f>
      </c>
      <c r="AJ218" s="71">
        <f>IF(B218="","",IF(H218=0,0,ROUNDUP(H218/Cap_Camion_CEN,0)))</f>
      </c>
      <c r="AK218" s="71">
        <f>IF(B218="","",AJ218*L_Tras_CEN)</f>
      </c>
      <c r="AL218" s="71">
        <f>IF(B218="","",IF(ENTRADA!$P218="",AK218,ENTRADA!$P218))</f>
      </c>
      <c r="AM218" s="71">
        <f>IF(B218="","",AJ218*L_Dist_CEN)</f>
      </c>
      <c r="AN218" s="71">
        <f>IF(B218="","",IF(ENTRADA!$Q218="",AM218,ENTRADA!$Q218))</f>
      </c>
      <c r="AO218" s="37">
        <f>IF(B218="","",(AL218+AN218)*INDEX(PRECIOS!$E$6:$E$55,K218))</f>
      </c>
      <c r="AP218" s="71">
        <f>IF(B218="","",IF(H218=0,0,ROUNDUP(H218/Rend_Desagrupe_CT,0)))</f>
      </c>
      <c r="AQ218" s="71">
        <f>IF(B218="","",IF(ENTRADA!$R218="",AP218,ENTRADA!$R218))</f>
      </c>
      <c r="AR218" s="37">
        <f>IF(B218="","",AQ218*INDEX(PRECIOS!$I$6:$I$55,K218))</f>
      </c>
      <c r="AS218" s="37">
        <f>IF(B218="","",AO218+AR218)</f>
      </c>
      <c r="AT218" s="71">
        <f>IF(B218="","",IF(I218=0,0,ROUNDUP(I218/Cap_Camion_ORI,0)))</f>
      </c>
      <c r="AU218" s="71">
        <f>IF(B218="","",AT218*L_Tras_ORI)</f>
      </c>
      <c r="AV218" s="71">
        <f>IF(B218="","",IF(ENTRADA!$S218="",AU218,ENTRADA!$S218))</f>
      </c>
      <c r="AW218" s="71">
        <f>IF(B218="","",AT218*L_Dist_ORI)</f>
      </c>
      <c r="AX218" s="71">
        <f>IF(B218="","",IF(ENTRADA!$T218="",AW218,ENTRADA!$T218))</f>
      </c>
      <c r="AY218" s="37">
        <f>IF(B218="","",(AV218+AX218)*INDEX(PRECIOS!$E$6:$E$55,K218))</f>
      </c>
      <c r="AZ218" s="71">
        <f>IF(B218="","",IF(I218=0,0,ROUNDUP(I218/Rend_Desagrupe_CT,0)))</f>
      </c>
      <c r="BA218" s="71">
        <f>IF(B218="","",IF(ENTRADA!$U218="",AZ218,ENTRADA!$U218))</f>
      </c>
      <c r="BB218" s="37">
        <f>IF(B218="","",BA218*INDEX(PRECIOS!$I$6:$I$55,K218))</f>
      </c>
      <c r="BC218" s="37">
        <f>IF(B218="","",AY218+BB218)</f>
      </c>
      <c r="BD218" s="70">
        <f>IF(B218="","",AI218+AS218+BC218)</f>
      </c>
      <c r="BE218" s="37">
        <f>IF(B218="","",IF(Base_Comision="% DEL INGRESO",M218*INDEX(PRECIOS!$L$6:$L$55,K218),G218*INDEX(PRECIOS!$M$6:$M$55,K218)))</f>
      </c>
      <c r="BF218" s="37">
        <f>IF(B218="","",IF(Base_Comision="% DEL INGRESO",N218*INDEX(PRECIOS!$L$6:$L$55,K218),H218*INDEX(PRECIOS!$M$6:$M$55,K218)))</f>
      </c>
      <c r="BG218" s="37">
        <f>IF(B218="","",IF(Base_Comision="% DEL INGRESO",O218*INDEX(PRECIOS!$L$6:$L$55,K218),I218*INDEX(PRECIOS!$M$6:$M$55,K218)))</f>
      </c>
      <c r="BH218" s="70">
        <f>IF(B218="","",BE218+BF218+BG218)</f>
      </c>
      <c r="BI218" s="37">
        <f>IF(B218="","",Q218*Pct_Reclamaciones)</f>
      </c>
      <c r="BJ218" s="37">
        <f>IF(B218="","",Q218*Pct_Banco)</f>
      </c>
      <c r="BK218" s="37">
        <f>IF(B218="","",N(ENTRADA!$V218))</f>
      </c>
      <c r="BL218" s="70">
        <f>IF(B218="","",Y218+AE218+BD218+BH218+BI218+BJ218+BK218)</f>
      </c>
      <c r="BM218" s="70">
        <f>IF(B218="","",Q218-BL218)</f>
      </c>
      <c r="BN218" s="72">
        <f>IF(B218="","",IF(Q218=0,0,BM218/Q218))</f>
      </c>
      <c r="BO218" s="73">
        <f>IF(B218="","",IF(J218=0,0,BM218/J218))</f>
      </c>
      <c r="BP218" s="60">
        <f>IF(B218="","",IFERROR(MATCH(D218,COSTOS_FIJOS!$G$5:$AD$5,0),0))</f>
      </c>
      <c r="BQ218" s="60">
        <f>IF(B218="","",COUNTIFS($D$6:$D$305,D218))</f>
      </c>
      <c r="BR218" s="67">
        <f>IF(B218="","",SUMIFS($J$6:$J$305,$D$6:$D$305,D218))</f>
      </c>
      <c r="BS218" s="72">
        <f>IF(B218="","",IF(Metodo_Prorrateo="KG",IF(BR218=0,0,J218/BR218),1/BQ218))</f>
      </c>
      <c r="BT218" s="37">
        <f>IF(B218="","",IF(BP218=0,0,INDEX(COSTOS_FIJOS!$G$38:$AD$38,BP218))*BS218)</f>
      </c>
      <c r="BU218" s="72">
        <f>IF(B218="","",IF(Metodo_Prorrateo="KG",IF(SUMIFS($G$6:$G$305,$D$6:$D$305,D218)=0,0,G218/SUMIFS($G$6:$G$305,$D$6:$D$305,D218)),IF(G218&gt;0,1/COUNTIFS($D$6:$D$305,D218,$G$6:$G$305,"&gt;0"),0)))</f>
      </c>
      <c r="BV218" s="37">
        <f>IF(B218="","",IF(BP218=0,0,INDEX(COSTOS_FIJOS!$G$39:$AD$39,BP218))*BU218)</f>
      </c>
      <c r="BW218" s="72">
        <f>IF(B218="","",IF(Metodo_Prorrateo="KG",IF(SUMIFS($H$6:$H$305,$D$6:$D$305,D218)=0,0,H218/SUMIFS($H$6:$H$305,$D$6:$D$305,D218)),IF(H218&gt;0,1/COUNTIFS($D$6:$D$305,D218,$H$6:$H$305,"&gt;0"),0)))</f>
      </c>
      <c r="BX218" s="37">
        <f>IF(B218="","",IF(BP218=0,0,INDEX(COSTOS_FIJOS!$G$40:$AD$40,BP218))*BW218)</f>
      </c>
      <c r="BY218" s="72">
        <f>IF(B218="","",IF(Metodo_Prorrateo="KG",IF(SUMIFS($I$6:$I$305,$D$6:$D$305,D218)=0,0,I218/SUMIFS($I$6:$I$305,$D$6:$D$305,D218)),IF(I218&gt;0,1/COUNTIFS($D$6:$D$305,D218,$I$6:$I$305,"&gt;0"),0)))</f>
      </c>
      <c r="BZ218" s="37">
        <f>IF(B218="","",IF(BP218=0,0,INDEX(COSTOS_FIJOS!$G$41:$AD$41,BP218))*BY218)</f>
      </c>
      <c r="CA218" s="70">
        <f>IF(B218="","",BT218+BV218+BX218+BZ218)</f>
      </c>
      <c r="CB218" s="37">
        <f>IF(B218="","",Q218*Imp_Ventas_Serv)</f>
      </c>
      <c r="CC218" s="37">
        <f>IF(B218="","",Q218*Contrib_Territorial)</f>
      </c>
      <c r="CD218" s="70">
        <f>IF(B218="","",BM218-CA218-CB218-CC218)</f>
      </c>
      <c r="CE218" s="37">
        <f>IF(B218="","",MAX(0,CD218)*Imp_Utilidades)</f>
      </c>
      <c r="CF218" s="70">
        <f>IF(B218="","",CD218-CE218)</f>
      </c>
      <c r="CG218" s="72">
        <f>IF(B218="","",IF(Q218=0,0,CF218/Q218))</f>
      </c>
      <c r="CH218" s="73">
        <f>IF(B218="","",IF(J218=0,0,(BL218+CA218+CB218+CC218)/J218))</f>
      </c>
      <c r="CI218" s="73">
        <f>IF(B218="","",IF(J218=0,0,Q218/J218))</f>
      </c>
      <c r="CJ218" s="73">
        <f>IF(B218="","",IF(J218=0,0,CD218/J218))</f>
      </c>
      <c r="CK218" s="37">
        <f>IF(B218="","",Y218+AE218+BK218+BT218)</f>
      </c>
      <c r="CL218" s="37">
        <f>IF(B218="","",IF(J218=0,0,(M218+P218*G218/J218)*(1-Pct_Reclamaciones-Pct_Banco-Imp_Ventas_Serv-Contrib_Territorial)-AI218-BE218-BV218-CK218*G218/J218))</f>
      </c>
      <c r="CM218" s="37">
        <f>IF(B218="","",IF(J218=0,0,(N218+P218*H218/J218)*(1-Pct_Reclamaciones-Pct_Banco-Imp_Ventas_Serv-Contrib_Territorial)-AS218-BF218-BX218-CK218*H218/J218))</f>
      </c>
      <c r="CN218" s="37">
        <f>IF(B218="","",IF(J218=0,0,(O218+P218*I218/J218)*(1-Pct_Reclamaciones-Pct_Banco-Imp_Ventas_Serv-Contrib_Territorial)-BC218-BG218-BZ218-CK218*I218/J218))</f>
      </c>
      <c r="CO218" s="37">
        <f>IF(B218="","",IF(J218=0,0,ROUND(CD218-CL218-CM218-CN218,4)))</f>
      </c>
      <c r="CP218" s="71">
        <f>IF(B218="","",T218+AG218+AK218+AM218+AU218+AW218)</f>
      </c>
      <c r="CQ218" s="71">
        <f>IF(B218="","",U218+AH218+AL218+AN218+AV218+AX218)</f>
      </c>
      <c r="CR218" s="72">
        <f>IF(B218="","",IF(CP218=0,0,CQ218/CP218-1))</f>
      </c>
      <c r="CS218" s="60">
        <f>IF(B218="","",IF(ENTRADA!$Y218="","",ENTRADA!$Y218-C218))</f>
      </c>
      <c r="CT218" s="66">
        <f>IF(B218="","",IF(ENTRADA!$C218="","Falta fecha. ","")&amp;IF(BP218=0,"Mes fuera del rango de COSTOS_FIJOS. ","")&amp;IF(J218=0,"Sin kg. ","")&amp;IF(E218="","Falta transitaria. ","")&amp;IF(AND(T218&gt;0,U218/T218-1&gt;Tolerancia_Comb),"Combustible al puerto "&amp;TEXT(U218/T218-1,"+0%")&amp;" sobre norma. ","")&amp;IF(AND(AG218&gt;0,AH218/AG218-1&gt;Tolerancia_Comb),"Combustible distribución Occidente "&amp;TEXT(AH218/AG218-1,"+0%")&amp;" sobre norma. ","")&amp;IF(AND(AK218&gt;0,AL218/AK218-1&gt;Tolerancia_Comb),"Combustible traslado Centro "&amp;TEXT(AL218/AK218-1,"+0%")&amp;" sobre norma. ","")&amp;IF(AND(AM218&gt;0,AN218/AM218-1&gt;Tolerancia_Comb),"Combustible distribución Centro "&amp;TEXT(AN218/AM218-1,"+0%")&amp;" sobre norma. ","")&amp;IF(AND(AU218&gt;0,AV218/AU218-1&gt;Tolerancia_Comb),"Combustible traslado Oriente "&amp;TEXT(AV218/AU218-1,"+0%")&amp;" sobre norma. ","")&amp;IF(AND(AW218&gt;0,AX218/AW218-1&gt;Tolerancia_Comb),"Combustible distribución Oriente "&amp;TEXT(AX218/AW218-1,"+0%")&amp;" sobre norma. ","")&amp;IF(AND(ENTRADA!$C218&lt;&gt;"",C218&lt;PRECIOS!$A$6),"Fecha anterior a la 1ª vigencia de precios. ","")&amp;IF(CD218&lt;0,"Contenedor con pérdida. ",""))</f>
      </c>
    </row>
    <row r="219">
      <c r="A219" s="60">
        <f>IF(B219="","",ROW()-5)</f>
      </c>
      <c r="B219" s="63">
        <f>IF(ENTRADA!$B219="","",ENTRADA!$B219)</f>
      </c>
      <c r="C219" s="64">
        <f>IF(B219="","",ENTRADA!$C219)</f>
      </c>
      <c r="D219" s="65">
        <f>IF(B219="","",DATE(YEAR(C219),MONTH(C219),1))</f>
      </c>
      <c r="E219" s="66">
        <f>IF(B219="","",ENTRADA!$D219&amp;"")</f>
      </c>
      <c r="F219" s="66">
        <f>IF(B219="","",ENTRADA!$Z219&amp;"")</f>
      </c>
      <c r="G219" s="67">
        <f>IF(B219="","",N(ENTRADA!$G219))</f>
      </c>
      <c r="H219" s="67">
        <f>IF(B219="","",N(ENTRADA!$H219))</f>
      </c>
      <c r="I219" s="67">
        <f>IF(B219="","",N(ENTRADA!$I219))</f>
      </c>
      <c r="J219" s="68">
        <f>IF(B219="","",G219+H219+I219)</f>
      </c>
      <c r="K219" s="60">
        <f>IF(B219="","",IFERROR(MATCH(SUMPRODUCT(MAX((PRECIOS!$A$6:$A$55&lt;=C219)*PRECIOS!$A$6:$A$55)),PRECIOS!$A$6:$A$55,0),1))</f>
      </c>
      <c r="L219" s="69">
        <f>IF(B219="","",INDEX(PRECIOS!$A$6:$A$55,K219))</f>
      </c>
      <c r="M219" s="37">
        <f>IF(B219="","",G219*INDEX(PRECIOS!$B$6:$B$55,K219))</f>
      </c>
      <c r="N219" s="37">
        <f>IF(B219="","",H219*INDEX(PRECIOS!$C$6:$C$55,K219))</f>
      </c>
      <c r="O219" s="37">
        <f>IF(B219="","",I219*INDEX(PRECIOS!$D$6:$D$55,K219))</f>
      </c>
      <c r="P219" s="37">
        <f>IF(B219="","",N(ENTRADA!$X219))</f>
      </c>
      <c r="Q219" s="70">
        <f>IF(B219="","",M219+N219+O219+P219)</f>
      </c>
      <c r="R219" s="71">
        <f>IF(B219="","",IF(ENTRADA!$J219="",Std_Viajes_Puerto,ENTRADA!$J219))</f>
      </c>
      <c r="S219" s="37">
        <f>IF(B219="","",R219*INDEX(PRECIOS!$F$6:$F$55,K219))</f>
      </c>
      <c r="T219" s="71">
        <f>IF(B219="","",R219*Litros_Puerto_Viaje)</f>
      </c>
      <c r="U219" s="71">
        <f>IF(B219="","",IF(ENTRADA!$K219="",T219,ENTRADA!$K219))</f>
      </c>
      <c r="V219" s="37">
        <f>IF(B219="","",U219*INDEX(PRECIOS!$E$6:$E$55,K219))</f>
      </c>
      <c r="W219" s="37">
        <f>IF(B219="","",IF(ENTRADA!$L219="",R219*INDEX(PRECIOS!$G$6:$G$55,K219),ENTRADA!$L219))</f>
      </c>
      <c r="X219" s="37">
        <f>IF(B219="","",R219*Km_Puerto_Viaje*INDEX(PRECIOS!$N$6:$N$55,K219))</f>
      </c>
      <c r="Y219" s="70">
        <f>IF(B219="","",S219+V219+W219+X219)</f>
      </c>
      <c r="Z219" s="71">
        <f>IF(B219="","",IF(J219=0,0,ROUNDUP(J219/Rend_Desagrupe,0)))</f>
      </c>
      <c r="AA219" s="71">
        <f>IF(B219="","",IF(ENTRADA!$M219="",Z219,ENTRADA!$M219))</f>
      </c>
      <c r="AB219" s="37">
        <f>IF(B219="","",AA219*INDEX(PRECIOS!$H$6:$H$55,K219))</f>
      </c>
      <c r="AC219" s="37">
        <f>IF(B219="","",IF(E219="ENCI",INDEX(PRECIOS!$J$6:$J$55,K219),IF(E219="A.V",INDEX(PRECIOS!$K$6:$K$55,K219),0)))</f>
      </c>
      <c r="AD219" s="37">
        <f>IF(B219="","",N(ENTRADA!$N219))</f>
      </c>
      <c r="AE219" s="70">
        <f>IF(B219="","",AB219+AC219+AD219)</f>
      </c>
      <c r="AF219" s="71">
        <f>IF(B219="","",IF(G219=0,0,ROUNDUP(G219/Cap_Camion_OCC,0)))</f>
      </c>
      <c r="AG219" s="71">
        <f>IF(B219="","",AF219*L_Dist_OCC)</f>
      </c>
      <c r="AH219" s="71">
        <f>IF(B219="","",IF(ENTRADA!$O219="",AG219,ENTRADA!$O219))</f>
      </c>
      <c r="AI219" s="37">
        <f>IF(B219="","",AH219*INDEX(PRECIOS!$E$6:$E$55,K219))</f>
      </c>
      <c r="AJ219" s="71">
        <f>IF(B219="","",IF(H219=0,0,ROUNDUP(H219/Cap_Camion_CEN,0)))</f>
      </c>
      <c r="AK219" s="71">
        <f>IF(B219="","",AJ219*L_Tras_CEN)</f>
      </c>
      <c r="AL219" s="71">
        <f>IF(B219="","",IF(ENTRADA!$P219="",AK219,ENTRADA!$P219))</f>
      </c>
      <c r="AM219" s="71">
        <f>IF(B219="","",AJ219*L_Dist_CEN)</f>
      </c>
      <c r="AN219" s="71">
        <f>IF(B219="","",IF(ENTRADA!$Q219="",AM219,ENTRADA!$Q219))</f>
      </c>
      <c r="AO219" s="37">
        <f>IF(B219="","",(AL219+AN219)*INDEX(PRECIOS!$E$6:$E$55,K219))</f>
      </c>
      <c r="AP219" s="71">
        <f>IF(B219="","",IF(H219=0,0,ROUNDUP(H219/Rend_Desagrupe_CT,0)))</f>
      </c>
      <c r="AQ219" s="71">
        <f>IF(B219="","",IF(ENTRADA!$R219="",AP219,ENTRADA!$R219))</f>
      </c>
      <c r="AR219" s="37">
        <f>IF(B219="","",AQ219*INDEX(PRECIOS!$I$6:$I$55,K219))</f>
      </c>
      <c r="AS219" s="37">
        <f>IF(B219="","",AO219+AR219)</f>
      </c>
      <c r="AT219" s="71">
        <f>IF(B219="","",IF(I219=0,0,ROUNDUP(I219/Cap_Camion_ORI,0)))</f>
      </c>
      <c r="AU219" s="71">
        <f>IF(B219="","",AT219*L_Tras_ORI)</f>
      </c>
      <c r="AV219" s="71">
        <f>IF(B219="","",IF(ENTRADA!$S219="",AU219,ENTRADA!$S219))</f>
      </c>
      <c r="AW219" s="71">
        <f>IF(B219="","",AT219*L_Dist_ORI)</f>
      </c>
      <c r="AX219" s="71">
        <f>IF(B219="","",IF(ENTRADA!$T219="",AW219,ENTRADA!$T219))</f>
      </c>
      <c r="AY219" s="37">
        <f>IF(B219="","",(AV219+AX219)*INDEX(PRECIOS!$E$6:$E$55,K219))</f>
      </c>
      <c r="AZ219" s="71">
        <f>IF(B219="","",IF(I219=0,0,ROUNDUP(I219/Rend_Desagrupe_CT,0)))</f>
      </c>
      <c r="BA219" s="71">
        <f>IF(B219="","",IF(ENTRADA!$U219="",AZ219,ENTRADA!$U219))</f>
      </c>
      <c r="BB219" s="37">
        <f>IF(B219="","",BA219*INDEX(PRECIOS!$I$6:$I$55,K219))</f>
      </c>
      <c r="BC219" s="37">
        <f>IF(B219="","",AY219+BB219)</f>
      </c>
      <c r="BD219" s="70">
        <f>IF(B219="","",AI219+AS219+BC219)</f>
      </c>
      <c r="BE219" s="37">
        <f>IF(B219="","",IF(Base_Comision="% DEL INGRESO",M219*INDEX(PRECIOS!$L$6:$L$55,K219),G219*INDEX(PRECIOS!$M$6:$M$55,K219)))</f>
      </c>
      <c r="BF219" s="37">
        <f>IF(B219="","",IF(Base_Comision="% DEL INGRESO",N219*INDEX(PRECIOS!$L$6:$L$55,K219),H219*INDEX(PRECIOS!$M$6:$M$55,K219)))</f>
      </c>
      <c r="BG219" s="37">
        <f>IF(B219="","",IF(Base_Comision="% DEL INGRESO",O219*INDEX(PRECIOS!$L$6:$L$55,K219),I219*INDEX(PRECIOS!$M$6:$M$55,K219)))</f>
      </c>
      <c r="BH219" s="70">
        <f>IF(B219="","",BE219+BF219+BG219)</f>
      </c>
      <c r="BI219" s="37">
        <f>IF(B219="","",Q219*Pct_Reclamaciones)</f>
      </c>
      <c r="BJ219" s="37">
        <f>IF(B219="","",Q219*Pct_Banco)</f>
      </c>
      <c r="BK219" s="37">
        <f>IF(B219="","",N(ENTRADA!$V219))</f>
      </c>
      <c r="BL219" s="70">
        <f>IF(B219="","",Y219+AE219+BD219+BH219+BI219+BJ219+BK219)</f>
      </c>
      <c r="BM219" s="70">
        <f>IF(B219="","",Q219-BL219)</f>
      </c>
      <c r="BN219" s="72">
        <f>IF(B219="","",IF(Q219=0,0,BM219/Q219))</f>
      </c>
      <c r="BO219" s="73">
        <f>IF(B219="","",IF(J219=0,0,BM219/J219))</f>
      </c>
      <c r="BP219" s="60">
        <f>IF(B219="","",IFERROR(MATCH(D219,COSTOS_FIJOS!$G$5:$AD$5,0),0))</f>
      </c>
      <c r="BQ219" s="60">
        <f>IF(B219="","",COUNTIFS($D$6:$D$305,D219))</f>
      </c>
      <c r="BR219" s="67">
        <f>IF(B219="","",SUMIFS($J$6:$J$305,$D$6:$D$305,D219))</f>
      </c>
      <c r="BS219" s="72">
        <f>IF(B219="","",IF(Metodo_Prorrateo="KG",IF(BR219=0,0,J219/BR219),1/BQ219))</f>
      </c>
      <c r="BT219" s="37">
        <f>IF(B219="","",IF(BP219=0,0,INDEX(COSTOS_FIJOS!$G$38:$AD$38,BP219))*BS219)</f>
      </c>
      <c r="BU219" s="72">
        <f>IF(B219="","",IF(Metodo_Prorrateo="KG",IF(SUMIFS($G$6:$G$305,$D$6:$D$305,D219)=0,0,G219/SUMIFS($G$6:$G$305,$D$6:$D$305,D219)),IF(G219&gt;0,1/COUNTIFS($D$6:$D$305,D219,$G$6:$G$305,"&gt;0"),0)))</f>
      </c>
      <c r="BV219" s="37">
        <f>IF(B219="","",IF(BP219=0,0,INDEX(COSTOS_FIJOS!$G$39:$AD$39,BP219))*BU219)</f>
      </c>
      <c r="BW219" s="72">
        <f>IF(B219="","",IF(Metodo_Prorrateo="KG",IF(SUMIFS($H$6:$H$305,$D$6:$D$305,D219)=0,0,H219/SUMIFS($H$6:$H$305,$D$6:$D$305,D219)),IF(H219&gt;0,1/COUNTIFS($D$6:$D$305,D219,$H$6:$H$305,"&gt;0"),0)))</f>
      </c>
      <c r="BX219" s="37">
        <f>IF(B219="","",IF(BP219=0,0,INDEX(COSTOS_FIJOS!$G$40:$AD$40,BP219))*BW219)</f>
      </c>
      <c r="BY219" s="72">
        <f>IF(B219="","",IF(Metodo_Prorrateo="KG",IF(SUMIFS($I$6:$I$305,$D$6:$D$305,D219)=0,0,I219/SUMIFS($I$6:$I$305,$D$6:$D$305,D219)),IF(I219&gt;0,1/COUNTIFS($D$6:$D$305,D219,$I$6:$I$305,"&gt;0"),0)))</f>
      </c>
      <c r="BZ219" s="37">
        <f>IF(B219="","",IF(BP219=0,0,INDEX(COSTOS_FIJOS!$G$41:$AD$41,BP219))*BY219)</f>
      </c>
      <c r="CA219" s="70">
        <f>IF(B219="","",BT219+BV219+BX219+BZ219)</f>
      </c>
      <c r="CB219" s="37">
        <f>IF(B219="","",Q219*Imp_Ventas_Serv)</f>
      </c>
      <c r="CC219" s="37">
        <f>IF(B219="","",Q219*Contrib_Territorial)</f>
      </c>
      <c r="CD219" s="70">
        <f>IF(B219="","",BM219-CA219-CB219-CC219)</f>
      </c>
      <c r="CE219" s="37">
        <f>IF(B219="","",MAX(0,CD219)*Imp_Utilidades)</f>
      </c>
      <c r="CF219" s="70">
        <f>IF(B219="","",CD219-CE219)</f>
      </c>
      <c r="CG219" s="72">
        <f>IF(B219="","",IF(Q219=0,0,CF219/Q219))</f>
      </c>
      <c r="CH219" s="73">
        <f>IF(B219="","",IF(J219=0,0,(BL219+CA219+CB219+CC219)/J219))</f>
      </c>
      <c r="CI219" s="73">
        <f>IF(B219="","",IF(J219=0,0,Q219/J219))</f>
      </c>
      <c r="CJ219" s="73">
        <f>IF(B219="","",IF(J219=0,0,CD219/J219))</f>
      </c>
      <c r="CK219" s="37">
        <f>IF(B219="","",Y219+AE219+BK219+BT219)</f>
      </c>
      <c r="CL219" s="37">
        <f>IF(B219="","",IF(J219=0,0,(M219+P219*G219/J219)*(1-Pct_Reclamaciones-Pct_Banco-Imp_Ventas_Serv-Contrib_Territorial)-AI219-BE219-BV219-CK219*G219/J219))</f>
      </c>
      <c r="CM219" s="37">
        <f>IF(B219="","",IF(J219=0,0,(N219+P219*H219/J219)*(1-Pct_Reclamaciones-Pct_Banco-Imp_Ventas_Serv-Contrib_Territorial)-AS219-BF219-BX219-CK219*H219/J219))</f>
      </c>
      <c r="CN219" s="37">
        <f>IF(B219="","",IF(J219=0,0,(O219+P219*I219/J219)*(1-Pct_Reclamaciones-Pct_Banco-Imp_Ventas_Serv-Contrib_Territorial)-BC219-BG219-BZ219-CK219*I219/J219))</f>
      </c>
      <c r="CO219" s="37">
        <f>IF(B219="","",IF(J219=0,0,ROUND(CD219-CL219-CM219-CN219,4)))</f>
      </c>
      <c r="CP219" s="71">
        <f>IF(B219="","",T219+AG219+AK219+AM219+AU219+AW219)</f>
      </c>
      <c r="CQ219" s="71">
        <f>IF(B219="","",U219+AH219+AL219+AN219+AV219+AX219)</f>
      </c>
      <c r="CR219" s="72">
        <f>IF(B219="","",IF(CP219=0,0,CQ219/CP219-1))</f>
      </c>
      <c r="CS219" s="60">
        <f>IF(B219="","",IF(ENTRADA!$Y219="","",ENTRADA!$Y219-C219))</f>
      </c>
      <c r="CT219" s="66">
        <f>IF(B219="","",IF(ENTRADA!$C219="","Falta fecha. ","")&amp;IF(BP219=0,"Mes fuera del rango de COSTOS_FIJOS. ","")&amp;IF(J219=0,"Sin kg. ","")&amp;IF(E219="","Falta transitaria. ","")&amp;IF(AND(T219&gt;0,U219/T219-1&gt;Tolerancia_Comb),"Combustible al puerto "&amp;TEXT(U219/T219-1,"+0%")&amp;" sobre norma. ","")&amp;IF(AND(AG219&gt;0,AH219/AG219-1&gt;Tolerancia_Comb),"Combustible distribución Occidente "&amp;TEXT(AH219/AG219-1,"+0%")&amp;" sobre norma. ","")&amp;IF(AND(AK219&gt;0,AL219/AK219-1&gt;Tolerancia_Comb),"Combustible traslado Centro "&amp;TEXT(AL219/AK219-1,"+0%")&amp;" sobre norma. ","")&amp;IF(AND(AM219&gt;0,AN219/AM219-1&gt;Tolerancia_Comb),"Combustible distribución Centro "&amp;TEXT(AN219/AM219-1,"+0%")&amp;" sobre norma. ","")&amp;IF(AND(AU219&gt;0,AV219/AU219-1&gt;Tolerancia_Comb),"Combustible traslado Oriente "&amp;TEXT(AV219/AU219-1,"+0%")&amp;" sobre norma. ","")&amp;IF(AND(AW219&gt;0,AX219/AW219-1&gt;Tolerancia_Comb),"Combustible distribución Oriente "&amp;TEXT(AX219/AW219-1,"+0%")&amp;" sobre norma. ","")&amp;IF(AND(ENTRADA!$C219&lt;&gt;"",C219&lt;PRECIOS!$A$6),"Fecha anterior a la 1ª vigencia de precios. ","")&amp;IF(CD219&lt;0,"Contenedor con pérdida. ",""))</f>
      </c>
    </row>
    <row r="220">
      <c r="A220" s="60">
        <f>IF(B220="","",ROW()-5)</f>
      </c>
      <c r="B220" s="63">
        <f>IF(ENTRADA!$B220="","",ENTRADA!$B220)</f>
      </c>
      <c r="C220" s="64">
        <f>IF(B220="","",ENTRADA!$C220)</f>
      </c>
      <c r="D220" s="65">
        <f>IF(B220="","",DATE(YEAR(C220),MONTH(C220),1))</f>
      </c>
      <c r="E220" s="66">
        <f>IF(B220="","",ENTRADA!$D220&amp;"")</f>
      </c>
      <c r="F220" s="66">
        <f>IF(B220="","",ENTRADA!$Z220&amp;"")</f>
      </c>
      <c r="G220" s="67">
        <f>IF(B220="","",N(ENTRADA!$G220))</f>
      </c>
      <c r="H220" s="67">
        <f>IF(B220="","",N(ENTRADA!$H220))</f>
      </c>
      <c r="I220" s="67">
        <f>IF(B220="","",N(ENTRADA!$I220))</f>
      </c>
      <c r="J220" s="68">
        <f>IF(B220="","",G220+H220+I220)</f>
      </c>
      <c r="K220" s="60">
        <f>IF(B220="","",IFERROR(MATCH(SUMPRODUCT(MAX((PRECIOS!$A$6:$A$55&lt;=C220)*PRECIOS!$A$6:$A$55)),PRECIOS!$A$6:$A$55,0),1))</f>
      </c>
      <c r="L220" s="69">
        <f>IF(B220="","",INDEX(PRECIOS!$A$6:$A$55,K220))</f>
      </c>
      <c r="M220" s="37">
        <f>IF(B220="","",G220*INDEX(PRECIOS!$B$6:$B$55,K220))</f>
      </c>
      <c r="N220" s="37">
        <f>IF(B220="","",H220*INDEX(PRECIOS!$C$6:$C$55,K220))</f>
      </c>
      <c r="O220" s="37">
        <f>IF(B220="","",I220*INDEX(PRECIOS!$D$6:$D$55,K220))</f>
      </c>
      <c r="P220" s="37">
        <f>IF(B220="","",N(ENTRADA!$X220))</f>
      </c>
      <c r="Q220" s="70">
        <f>IF(B220="","",M220+N220+O220+P220)</f>
      </c>
      <c r="R220" s="71">
        <f>IF(B220="","",IF(ENTRADA!$J220="",Std_Viajes_Puerto,ENTRADA!$J220))</f>
      </c>
      <c r="S220" s="37">
        <f>IF(B220="","",R220*INDEX(PRECIOS!$F$6:$F$55,K220))</f>
      </c>
      <c r="T220" s="71">
        <f>IF(B220="","",R220*Litros_Puerto_Viaje)</f>
      </c>
      <c r="U220" s="71">
        <f>IF(B220="","",IF(ENTRADA!$K220="",T220,ENTRADA!$K220))</f>
      </c>
      <c r="V220" s="37">
        <f>IF(B220="","",U220*INDEX(PRECIOS!$E$6:$E$55,K220))</f>
      </c>
      <c r="W220" s="37">
        <f>IF(B220="","",IF(ENTRADA!$L220="",R220*INDEX(PRECIOS!$G$6:$G$55,K220),ENTRADA!$L220))</f>
      </c>
      <c r="X220" s="37">
        <f>IF(B220="","",R220*Km_Puerto_Viaje*INDEX(PRECIOS!$N$6:$N$55,K220))</f>
      </c>
      <c r="Y220" s="70">
        <f>IF(B220="","",S220+V220+W220+X220)</f>
      </c>
      <c r="Z220" s="71">
        <f>IF(B220="","",IF(J220=0,0,ROUNDUP(J220/Rend_Desagrupe,0)))</f>
      </c>
      <c r="AA220" s="71">
        <f>IF(B220="","",IF(ENTRADA!$M220="",Z220,ENTRADA!$M220))</f>
      </c>
      <c r="AB220" s="37">
        <f>IF(B220="","",AA220*INDEX(PRECIOS!$H$6:$H$55,K220))</f>
      </c>
      <c r="AC220" s="37">
        <f>IF(B220="","",IF(E220="ENCI",INDEX(PRECIOS!$J$6:$J$55,K220),IF(E220="A.V",INDEX(PRECIOS!$K$6:$K$55,K220),0)))</f>
      </c>
      <c r="AD220" s="37">
        <f>IF(B220="","",N(ENTRADA!$N220))</f>
      </c>
      <c r="AE220" s="70">
        <f>IF(B220="","",AB220+AC220+AD220)</f>
      </c>
      <c r="AF220" s="71">
        <f>IF(B220="","",IF(G220=0,0,ROUNDUP(G220/Cap_Camion_OCC,0)))</f>
      </c>
      <c r="AG220" s="71">
        <f>IF(B220="","",AF220*L_Dist_OCC)</f>
      </c>
      <c r="AH220" s="71">
        <f>IF(B220="","",IF(ENTRADA!$O220="",AG220,ENTRADA!$O220))</f>
      </c>
      <c r="AI220" s="37">
        <f>IF(B220="","",AH220*INDEX(PRECIOS!$E$6:$E$55,K220))</f>
      </c>
      <c r="AJ220" s="71">
        <f>IF(B220="","",IF(H220=0,0,ROUNDUP(H220/Cap_Camion_CEN,0)))</f>
      </c>
      <c r="AK220" s="71">
        <f>IF(B220="","",AJ220*L_Tras_CEN)</f>
      </c>
      <c r="AL220" s="71">
        <f>IF(B220="","",IF(ENTRADA!$P220="",AK220,ENTRADA!$P220))</f>
      </c>
      <c r="AM220" s="71">
        <f>IF(B220="","",AJ220*L_Dist_CEN)</f>
      </c>
      <c r="AN220" s="71">
        <f>IF(B220="","",IF(ENTRADA!$Q220="",AM220,ENTRADA!$Q220))</f>
      </c>
      <c r="AO220" s="37">
        <f>IF(B220="","",(AL220+AN220)*INDEX(PRECIOS!$E$6:$E$55,K220))</f>
      </c>
      <c r="AP220" s="71">
        <f>IF(B220="","",IF(H220=0,0,ROUNDUP(H220/Rend_Desagrupe_CT,0)))</f>
      </c>
      <c r="AQ220" s="71">
        <f>IF(B220="","",IF(ENTRADA!$R220="",AP220,ENTRADA!$R220))</f>
      </c>
      <c r="AR220" s="37">
        <f>IF(B220="","",AQ220*INDEX(PRECIOS!$I$6:$I$55,K220))</f>
      </c>
      <c r="AS220" s="37">
        <f>IF(B220="","",AO220+AR220)</f>
      </c>
      <c r="AT220" s="71">
        <f>IF(B220="","",IF(I220=0,0,ROUNDUP(I220/Cap_Camion_ORI,0)))</f>
      </c>
      <c r="AU220" s="71">
        <f>IF(B220="","",AT220*L_Tras_ORI)</f>
      </c>
      <c r="AV220" s="71">
        <f>IF(B220="","",IF(ENTRADA!$S220="",AU220,ENTRADA!$S220))</f>
      </c>
      <c r="AW220" s="71">
        <f>IF(B220="","",AT220*L_Dist_ORI)</f>
      </c>
      <c r="AX220" s="71">
        <f>IF(B220="","",IF(ENTRADA!$T220="",AW220,ENTRADA!$T220))</f>
      </c>
      <c r="AY220" s="37">
        <f>IF(B220="","",(AV220+AX220)*INDEX(PRECIOS!$E$6:$E$55,K220))</f>
      </c>
      <c r="AZ220" s="71">
        <f>IF(B220="","",IF(I220=0,0,ROUNDUP(I220/Rend_Desagrupe_CT,0)))</f>
      </c>
      <c r="BA220" s="71">
        <f>IF(B220="","",IF(ENTRADA!$U220="",AZ220,ENTRADA!$U220))</f>
      </c>
      <c r="BB220" s="37">
        <f>IF(B220="","",BA220*INDEX(PRECIOS!$I$6:$I$55,K220))</f>
      </c>
      <c r="BC220" s="37">
        <f>IF(B220="","",AY220+BB220)</f>
      </c>
      <c r="BD220" s="70">
        <f>IF(B220="","",AI220+AS220+BC220)</f>
      </c>
      <c r="BE220" s="37">
        <f>IF(B220="","",IF(Base_Comision="% DEL INGRESO",M220*INDEX(PRECIOS!$L$6:$L$55,K220),G220*INDEX(PRECIOS!$M$6:$M$55,K220)))</f>
      </c>
      <c r="BF220" s="37">
        <f>IF(B220="","",IF(Base_Comision="% DEL INGRESO",N220*INDEX(PRECIOS!$L$6:$L$55,K220),H220*INDEX(PRECIOS!$M$6:$M$55,K220)))</f>
      </c>
      <c r="BG220" s="37">
        <f>IF(B220="","",IF(Base_Comision="% DEL INGRESO",O220*INDEX(PRECIOS!$L$6:$L$55,K220),I220*INDEX(PRECIOS!$M$6:$M$55,K220)))</f>
      </c>
      <c r="BH220" s="70">
        <f>IF(B220="","",BE220+BF220+BG220)</f>
      </c>
      <c r="BI220" s="37">
        <f>IF(B220="","",Q220*Pct_Reclamaciones)</f>
      </c>
      <c r="BJ220" s="37">
        <f>IF(B220="","",Q220*Pct_Banco)</f>
      </c>
      <c r="BK220" s="37">
        <f>IF(B220="","",N(ENTRADA!$V220))</f>
      </c>
      <c r="BL220" s="70">
        <f>IF(B220="","",Y220+AE220+BD220+BH220+BI220+BJ220+BK220)</f>
      </c>
      <c r="BM220" s="70">
        <f>IF(B220="","",Q220-BL220)</f>
      </c>
      <c r="BN220" s="72">
        <f>IF(B220="","",IF(Q220=0,0,BM220/Q220))</f>
      </c>
      <c r="BO220" s="73">
        <f>IF(B220="","",IF(J220=0,0,BM220/J220))</f>
      </c>
      <c r="BP220" s="60">
        <f>IF(B220="","",IFERROR(MATCH(D220,COSTOS_FIJOS!$G$5:$AD$5,0),0))</f>
      </c>
      <c r="BQ220" s="60">
        <f>IF(B220="","",COUNTIFS($D$6:$D$305,D220))</f>
      </c>
      <c r="BR220" s="67">
        <f>IF(B220="","",SUMIFS($J$6:$J$305,$D$6:$D$305,D220))</f>
      </c>
      <c r="BS220" s="72">
        <f>IF(B220="","",IF(Metodo_Prorrateo="KG",IF(BR220=0,0,J220/BR220),1/BQ220))</f>
      </c>
      <c r="BT220" s="37">
        <f>IF(B220="","",IF(BP220=0,0,INDEX(COSTOS_FIJOS!$G$38:$AD$38,BP220))*BS220)</f>
      </c>
      <c r="BU220" s="72">
        <f>IF(B220="","",IF(Metodo_Prorrateo="KG",IF(SUMIFS($G$6:$G$305,$D$6:$D$305,D220)=0,0,G220/SUMIFS($G$6:$G$305,$D$6:$D$305,D220)),IF(G220&gt;0,1/COUNTIFS($D$6:$D$305,D220,$G$6:$G$305,"&gt;0"),0)))</f>
      </c>
      <c r="BV220" s="37">
        <f>IF(B220="","",IF(BP220=0,0,INDEX(COSTOS_FIJOS!$G$39:$AD$39,BP220))*BU220)</f>
      </c>
      <c r="BW220" s="72">
        <f>IF(B220="","",IF(Metodo_Prorrateo="KG",IF(SUMIFS($H$6:$H$305,$D$6:$D$305,D220)=0,0,H220/SUMIFS($H$6:$H$305,$D$6:$D$305,D220)),IF(H220&gt;0,1/COUNTIFS($D$6:$D$305,D220,$H$6:$H$305,"&gt;0"),0)))</f>
      </c>
      <c r="BX220" s="37">
        <f>IF(B220="","",IF(BP220=0,0,INDEX(COSTOS_FIJOS!$G$40:$AD$40,BP220))*BW220)</f>
      </c>
      <c r="BY220" s="72">
        <f>IF(B220="","",IF(Metodo_Prorrateo="KG",IF(SUMIFS($I$6:$I$305,$D$6:$D$305,D220)=0,0,I220/SUMIFS($I$6:$I$305,$D$6:$D$305,D220)),IF(I220&gt;0,1/COUNTIFS($D$6:$D$305,D220,$I$6:$I$305,"&gt;0"),0)))</f>
      </c>
      <c r="BZ220" s="37">
        <f>IF(B220="","",IF(BP220=0,0,INDEX(COSTOS_FIJOS!$G$41:$AD$41,BP220))*BY220)</f>
      </c>
      <c r="CA220" s="70">
        <f>IF(B220="","",BT220+BV220+BX220+BZ220)</f>
      </c>
      <c r="CB220" s="37">
        <f>IF(B220="","",Q220*Imp_Ventas_Serv)</f>
      </c>
      <c r="CC220" s="37">
        <f>IF(B220="","",Q220*Contrib_Territorial)</f>
      </c>
      <c r="CD220" s="70">
        <f>IF(B220="","",BM220-CA220-CB220-CC220)</f>
      </c>
      <c r="CE220" s="37">
        <f>IF(B220="","",MAX(0,CD220)*Imp_Utilidades)</f>
      </c>
      <c r="CF220" s="70">
        <f>IF(B220="","",CD220-CE220)</f>
      </c>
      <c r="CG220" s="72">
        <f>IF(B220="","",IF(Q220=0,0,CF220/Q220))</f>
      </c>
      <c r="CH220" s="73">
        <f>IF(B220="","",IF(J220=0,0,(BL220+CA220+CB220+CC220)/J220))</f>
      </c>
      <c r="CI220" s="73">
        <f>IF(B220="","",IF(J220=0,0,Q220/J220))</f>
      </c>
      <c r="CJ220" s="73">
        <f>IF(B220="","",IF(J220=0,0,CD220/J220))</f>
      </c>
      <c r="CK220" s="37">
        <f>IF(B220="","",Y220+AE220+BK220+BT220)</f>
      </c>
      <c r="CL220" s="37">
        <f>IF(B220="","",IF(J220=0,0,(M220+P220*G220/J220)*(1-Pct_Reclamaciones-Pct_Banco-Imp_Ventas_Serv-Contrib_Territorial)-AI220-BE220-BV220-CK220*G220/J220))</f>
      </c>
      <c r="CM220" s="37">
        <f>IF(B220="","",IF(J220=0,0,(N220+P220*H220/J220)*(1-Pct_Reclamaciones-Pct_Banco-Imp_Ventas_Serv-Contrib_Territorial)-AS220-BF220-BX220-CK220*H220/J220))</f>
      </c>
      <c r="CN220" s="37">
        <f>IF(B220="","",IF(J220=0,0,(O220+P220*I220/J220)*(1-Pct_Reclamaciones-Pct_Banco-Imp_Ventas_Serv-Contrib_Territorial)-BC220-BG220-BZ220-CK220*I220/J220))</f>
      </c>
      <c r="CO220" s="37">
        <f>IF(B220="","",IF(J220=0,0,ROUND(CD220-CL220-CM220-CN220,4)))</f>
      </c>
      <c r="CP220" s="71">
        <f>IF(B220="","",T220+AG220+AK220+AM220+AU220+AW220)</f>
      </c>
      <c r="CQ220" s="71">
        <f>IF(B220="","",U220+AH220+AL220+AN220+AV220+AX220)</f>
      </c>
      <c r="CR220" s="72">
        <f>IF(B220="","",IF(CP220=0,0,CQ220/CP220-1))</f>
      </c>
      <c r="CS220" s="60">
        <f>IF(B220="","",IF(ENTRADA!$Y220="","",ENTRADA!$Y220-C220))</f>
      </c>
      <c r="CT220" s="66">
        <f>IF(B220="","",IF(ENTRADA!$C220="","Falta fecha. ","")&amp;IF(BP220=0,"Mes fuera del rango de COSTOS_FIJOS. ","")&amp;IF(J220=0,"Sin kg. ","")&amp;IF(E220="","Falta transitaria. ","")&amp;IF(AND(T220&gt;0,U220/T220-1&gt;Tolerancia_Comb),"Combustible al puerto "&amp;TEXT(U220/T220-1,"+0%")&amp;" sobre norma. ","")&amp;IF(AND(AG220&gt;0,AH220/AG220-1&gt;Tolerancia_Comb),"Combustible distribución Occidente "&amp;TEXT(AH220/AG220-1,"+0%")&amp;" sobre norma. ","")&amp;IF(AND(AK220&gt;0,AL220/AK220-1&gt;Tolerancia_Comb),"Combustible traslado Centro "&amp;TEXT(AL220/AK220-1,"+0%")&amp;" sobre norma. ","")&amp;IF(AND(AM220&gt;0,AN220/AM220-1&gt;Tolerancia_Comb),"Combustible distribución Centro "&amp;TEXT(AN220/AM220-1,"+0%")&amp;" sobre norma. ","")&amp;IF(AND(AU220&gt;0,AV220/AU220-1&gt;Tolerancia_Comb),"Combustible traslado Oriente "&amp;TEXT(AV220/AU220-1,"+0%")&amp;" sobre norma. ","")&amp;IF(AND(AW220&gt;0,AX220/AW220-1&gt;Tolerancia_Comb),"Combustible distribución Oriente "&amp;TEXT(AX220/AW220-1,"+0%")&amp;" sobre norma. ","")&amp;IF(AND(ENTRADA!$C220&lt;&gt;"",C220&lt;PRECIOS!$A$6),"Fecha anterior a la 1ª vigencia de precios. ","")&amp;IF(CD220&lt;0,"Contenedor con pérdida. ",""))</f>
      </c>
    </row>
    <row r="221">
      <c r="A221" s="60">
        <f>IF(B221="","",ROW()-5)</f>
      </c>
      <c r="B221" s="63">
        <f>IF(ENTRADA!$B221="","",ENTRADA!$B221)</f>
      </c>
      <c r="C221" s="64">
        <f>IF(B221="","",ENTRADA!$C221)</f>
      </c>
      <c r="D221" s="65">
        <f>IF(B221="","",DATE(YEAR(C221),MONTH(C221),1))</f>
      </c>
      <c r="E221" s="66">
        <f>IF(B221="","",ENTRADA!$D221&amp;"")</f>
      </c>
      <c r="F221" s="66">
        <f>IF(B221="","",ENTRADA!$Z221&amp;"")</f>
      </c>
      <c r="G221" s="67">
        <f>IF(B221="","",N(ENTRADA!$G221))</f>
      </c>
      <c r="H221" s="67">
        <f>IF(B221="","",N(ENTRADA!$H221))</f>
      </c>
      <c r="I221" s="67">
        <f>IF(B221="","",N(ENTRADA!$I221))</f>
      </c>
      <c r="J221" s="68">
        <f>IF(B221="","",G221+H221+I221)</f>
      </c>
      <c r="K221" s="60">
        <f>IF(B221="","",IFERROR(MATCH(SUMPRODUCT(MAX((PRECIOS!$A$6:$A$55&lt;=C221)*PRECIOS!$A$6:$A$55)),PRECIOS!$A$6:$A$55,0),1))</f>
      </c>
      <c r="L221" s="69">
        <f>IF(B221="","",INDEX(PRECIOS!$A$6:$A$55,K221))</f>
      </c>
      <c r="M221" s="37">
        <f>IF(B221="","",G221*INDEX(PRECIOS!$B$6:$B$55,K221))</f>
      </c>
      <c r="N221" s="37">
        <f>IF(B221="","",H221*INDEX(PRECIOS!$C$6:$C$55,K221))</f>
      </c>
      <c r="O221" s="37">
        <f>IF(B221="","",I221*INDEX(PRECIOS!$D$6:$D$55,K221))</f>
      </c>
      <c r="P221" s="37">
        <f>IF(B221="","",N(ENTRADA!$X221))</f>
      </c>
      <c r="Q221" s="70">
        <f>IF(B221="","",M221+N221+O221+P221)</f>
      </c>
      <c r="R221" s="71">
        <f>IF(B221="","",IF(ENTRADA!$J221="",Std_Viajes_Puerto,ENTRADA!$J221))</f>
      </c>
      <c r="S221" s="37">
        <f>IF(B221="","",R221*INDEX(PRECIOS!$F$6:$F$55,K221))</f>
      </c>
      <c r="T221" s="71">
        <f>IF(B221="","",R221*Litros_Puerto_Viaje)</f>
      </c>
      <c r="U221" s="71">
        <f>IF(B221="","",IF(ENTRADA!$K221="",T221,ENTRADA!$K221))</f>
      </c>
      <c r="V221" s="37">
        <f>IF(B221="","",U221*INDEX(PRECIOS!$E$6:$E$55,K221))</f>
      </c>
      <c r="W221" s="37">
        <f>IF(B221="","",IF(ENTRADA!$L221="",R221*INDEX(PRECIOS!$G$6:$G$55,K221),ENTRADA!$L221))</f>
      </c>
      <c r="X221" s="37">
        <f>IF(B221="","",R221*Km_Puerto_Viaje*INDEX(PRECIOS!$N$6:$N$55,K221))</f>
      </c>
      <c r="Y221" s="70">
        <f>IF(B221="","",S221+V221+W221+X221)</f>
      </c>
      <c r="Z221" s="71">
        <f>IF(B221="","",IF(J221=0,0,ROUNDUP(J221/Rend_Desagrupe,0)))</f>
      </c>
      <c r="AA221" s="71">
        <f>IF(B221="","",IF(ENTRADA!$M221="",Z221,ENTRADA!$M221))</f>
      </c>
      <c r="AB221" s="37">
        <f>IF(B221="","",AA221*INDEX(PRECIOS!$H$6:$H$55,K221))</f>
      </c>
      <c r="AC221" s="37">
        <f>IF(B221="","",IF(E221="ENCI",INDEX(PRECIOS!$J$6:$J$55,K221),IF(E221="A.V",INDEX(PRECIOS!$K$6:$K$55,K221),0)))</f>
      </c>
      <c r="AD221" s="37">
        <f>IF(B221="","",N(ENTRADA!$N221))</f>
      </c>
      <c r="AE221" s="70">
        <f>IF(B221="","",AB221+AC221+AD221)</f>
      </c>
      <c r="AF221" s="71">
        <f>IF(B221="","",IF(G221=0,0,ROUNDUP(G221/Cap_Camion_OCC,0)))</f>
      </c>
      <c r="AG221" s="71">
        <f>IF(B221="","",AF221*L_Dist_OCC)</f>
      </c>
      <c r="AH221" s="71">
        <f>IF(B221="","",IF(ENTRADA!$O221="",AG221,ENTRADA!$O221))</f>
      </c>
      <c r="AI221" s="37">
        <f>IF(B221="","",AH221*INDEX(PRECIOS!$E$6:$E$55,K221))</f>
      </c>
      <c r="AJ221" s="71">
        <f>IF(B221="","",IF(H221=0,0,ROUNDUP(H221/Cap_Camion_CEN,0)))</f>
      </c>
      <c r="AK221" s="71">
        <f>IF(B221="","",AJ221*L_Tras_CEN)</f>
      </c>
      <c r="AL221" s="71">
        <f>IF(B221="","",IF(ENTRADA!$P221="",AK221,ENTRADA!$P221))</f>
      </c>
      <c r="AM221" s="71">
        <f>IF(B221="","",AJ221*L_Dist_CEN)</f>
      </c>
      <c r="AN221" s="71">
        <f>IF(B221="","",IF(ENTRADA!$Q221="",AM221,ENTRADA!$Q221))</f>
      </c>
      <c r="AO221" s="37">
        <f>IF(B221="","",(AL221+AN221)*INDEX(PRECIOS!$E$6:$E$55,K221))</f>
      </c>
      <c r="AP221" s="71">
        <f>IF(B221="","",IF(H221=0,0,ROUNDUP(H221/Rend_Desagrupe_CT,0)))</f>
      </c>
      <c r="AQ221" s="71">
        <f>IF(B221="","",IF(ENTRADA!$R221="",AP221,ENTRADA!$R221))</f>
      </c>
      <c r="AR221" s="37">
        <f>IF(B221="","",AQ221*INDEX(PRECIOS!$I$6:$I$55,K221))</f>
      </c>
      <c r="AS221" s="37">
        <f>IF(B221="","",AO221+AR221)</f>
      </c>
      <c r="AT221" s="71">
        <f>IF(B221="","",IF(I221=0,0,ROUNDUP(I221/Cap_Camion_ORI,0)))</f>
      </c>
      <c r="AU221" s="71">
        <f>IF(B221="","",AT221*L_Tras_ORI)</f>
      </c>
      <c r="AV221" s="71">
        <f>IF(B221="","",IF(ENTRADA!$S221="",AU221,ENTRADA!$S221))</f>
      </c>
      <c r="AW221" s="71">
        <f>IF(B221="","",AT221*L_Dist_ORI)</f>
      </c>
      <c r="AX221" s="71">
        <f>IF(B221="","",IF(ENTRADA!$T221="",AW221,ENTRADA!$T221))</f>
      </c>
      <c r="AY221" s="37">
        <f>IF(B221="","",(AV221+AX221)*INDEX(PRECIOS!$E$6:$E$55,K221))</f>
      </c>
      <c r="AZ221" s="71">
        <f>IF(B221="","",IF(I221=0,0,ROUNDUP(I221/Rend_Desagrupe_CT,0)))</f>
      </c>
      <c r="BA221" s="71">
        <f>IF(B221="","",IF(ENTRADA!$U221="",AZ221,ENTRADA!$U221))</f>
      </c>
      <c r="BB221" s="37">
        <f>IF(B221="","",BA221*INDEX(PRECIOS!$I$6:$I$55,K221))</f>
      </c>
      <c r="BC221" s="37">
        <f>IF(B221="","",AY221+BB221)</f>
      </c>
      <c r="BD221" s="70">
        <f>IF(B221="","",AI221+AS221+BC221)</f>
      </c>
      <c r="BE221" s="37">
        <f>IF(B221="","",IF(Base_Comision="% DEL INGRESO",M221*INDEX(PRECIOS!$L$6:$L$55,K221),G221*INDEX(PRECIOS!$M$6:$M$55,K221)))</f>
      </c>
      <c r="BF221" s="37">
        <f>IF(B221="","",IF(Base_Comision="% DEL INGRESO",N221*INDEX(PRECIOS!$L$6:$L$55,K221),H221*INDEX(PRECIOS!$M$6:$M$55,K221)))</f>
      </c>
      <c r="BG221" s="37">
        <f>IF(B221="","",IF(Base_Comision="% DEL INGRESO",O221*INDEX(PRECIOS!$L$6:$L$55,K221),I221*INDEX(PRECIOS!$M$6:$M$55,K221)))</f>
      </c>
      <c r="BH221" s="70">
        <f>IF(B221="","",BE221+BF221+BG221)</f>
      </c>
      <c r="BI221" s="37">
        <f>IF(B221="","",Q221*Pct_Reclamaciones)</f>
      </c>
      <c r="BJ221" s="37">
        <f>IF(B221="","",Q221*Pct_Banco)</f>
      </c>
      <c r="BK221" s="37">
        <f>IF(B221="","",N(ENTRADA!$V221))</f>
      </c>
      <c r="BL221" s="70">
        <f>IF(B221="","",Y221+AE221+BD221+BH221+BI221+BJ221+BK221)</f>
      </c>
      <c r="BM221" s="70">
        <f>IF(B221="","",Q221-BL221)</f>
      </c>
      <c r="BN221" s="72">
        <f>IF(B221="","",IF(Q221=0,0,BM221/Q221))</f>
      </c>
      <c r="BO221" s="73">
        <f>IF(B221="","",IF(J221=0,0,BM221/J221))</f>
      </c>
      <c r="BP221" s="60">
        <f>IF(B221="","",IFERROR(MATCH(D221,COSTOS_FIJOS!$G$5:$AD$5,0),0))</f>
      </c>
      <c r="BQ221" s="60">
        <f>IF(B221="","",COUNTIFS($D$6:$D$305,D221))</f>
      </c>
      <c r="BR221" s="67">
        <f>IF(B221="","",SUMIFS($J$6:$J$305,$D$6:$D$305,D221))</f>
      </c>
      <c r="BS221" s="72">
        <f>IF(B221="","",IF(Metodo_Prorrateo="KG",IF(BR221=0,0,J221/BR221),1/BQ221))</f>
      </c>
      <c r="BT221" s="37">
        <f>IF(B221="","",IF(BP221=0,0,INDEX(COSTOS_FIJOS!$G$38:$AD$38,BP221))*BS221)</f>
      </c>
      <c r="BU221" s="72">
        <f>IF(B221="","",IF(Metodo_Prorrateo="KG",IF(SUMIFS($G$6:$G$305,$D$6:$D$305,D221)=0,0,G221/SUMIFS($G$6:$G$305,$D$6:$D$305,D221)),IF(G221&gt;0,1/COUNTIFS($D$6:$D$305,D221,$G$6:$G$305,"&gt;0"),0)))</f>
      </c>
      <c r="BV221" s="37">
        <f>IF(B221="","",IF(BP221=0,0,INDEX(COSTOS_FIJOS!$G$39:$AD$39,BP221))*BU221)</f>
      </c>
      <c r="BW221" s="72">
        <f>IF(B221="","",IF(Metodo_Prorrateo="KG",IF(SUMIFS($H$6:$H$305,$D$6:$D$305,D221)=0,0,H221/SUMIFS($H$6:$H$305,$D$6:$D$305,D221)),IF(H221&gt;0,1/COUNTIFS($D$6:$D$305,D221,$H$6:$H$305,"&gt;0"),0)))</f>
      </c>
      <c r="BX221" s="37">
        <f>IF(B221="","",IF(BP221=0,0,INDEX(COSTOS_FIJOS!$G$40:$AD$40,BP221))*BW221)</f>
      </c>
      <c r="BY221" s="72">
        <f>IF(B221="","",IF(Metodo_Prorrateo="KG",IF(SUMIFS($I$6:$I$305,$D$6:$D$305,D221)=0,0,I221/SUMIFS($I$6:$I$305,$D$6:$D$305,D221)),IF(I221&gt;0,1/COUNTIFS($D$6:$D$305,D221,$I$6:$I$305,"&gt;0"),0)))</f>
      </c>
      <c r="BZ221" s="37">
        <f>IF(B221="","",IF(BP221=0,0,INDEX(COSTOS_FIJOS!$G$41:$AD$41,BP221))*BY221)</f>
      </c>
      <c r="CA221" s="70">
        <f>IF(B221="","",BT221+BV221+BX221+BZ221)</f>
      </c>
      <c r="CB221" s="37">
        <f>IF(B221="","",Q221*Imp_Ventas_Serv)</f>
      </c>
      <c r="CC221" s="37">
        <f>IF(B221="","",Q221*Contrib_Territorial)</f>
      </c>
      <c r="CD221" s="70">
        <f>IF(B221="","",BM221-CA221-CB221-CC221)</f>
      </c>
      <c r="CE221" s="37">
        <f>IF(B221="","",MAX(0,CD221)*Imp_Utilidades)</f>
      </c>
      <c r="CF221" s="70">
        <f>IF(B221="","",CD221-CE221)</f>
      </c>
      <c r="CG221" s="72">
        <f>IF(B221="","",IF(Q221=0,0,CF221/Q221))</f>
      </c>
      <c r="CH221" s="73">
        <f>IF(B221="","",IF(J221=0,0,(BL221+CA221+CB221+CC221)/J221))</f>
      </c>
      <c r="CI221" s="73">
        <f>IF(B221="","",IF(J221=0,0,Q221/J221))</f>
      </c>
      <c r="CJ221" s="73">
        <f>IF(B221="","",IF(J221=0,0,CD221/J221))</f>
      </c>
      <c r="CK221" s="37">
        <f>IF(B221="","",Y221+AE221+BK221+BT221)</f>
      </c>
      <c r="CL221" s="37">
        <f>IF(B221="","",IF(J221=0,0,(M221+P221*G221/J221)*(1-Pct_Reclamaciones-Pct_Banco-Imp_Ventas_Serv-Contrib_Territorial)-AI221-BE221-BV221-CK221*G221/J221))</f>
      </c>
      <c r="CM221" s="37">
        <f>IF(B221="","",IF(J221=0,0,(N221+P221*H221/J221)*(1-Pct_Reclamaciones-Pct_Banco-Imp_Ventas_Serv-Contrib_Territorial)-AS221-BF221-BX221-CK221*H221/J221))</f>
      </c>
      <c r="CN221" s="37">
        <f>IF(B221="","",IF(J221=0,0,(O221+P221*I221/J221)*(1-Pct_Reclamaciones-Pct_Banco-Imp_Ventas_Serv-Contrib_Territorial)-BC221-BG221-BZ221-CK221*I221/J221))</f>
      </c>
      <c r="CO221" s="37">
        <f>IF(B221="","",IF(J221=0,0,ROUND(CD221-CL221-CM221-CN221,4)))</f>
      </c>
      <c r="CP221" s="71">
        <f>IF(B221="","",T221+AG221+AK221+AM221+AU221+AW221)</f>
      </c>
      <c r="CQ221" s="71">
        <f>IF(B221="","",U221+AH221+AL221+AN221+AV221+AX221)</f>
      </c>
      <c r="CR221" s="72">
        <f>IF(B221="","",IF(CP221=0,0,CQ221/CP221-1))</f>
      </c>
      <c r="CS221" s="60">
        <f>IF(B221="","",IF(ENTRADA!$Y221="","",ENTRADA!$Y221-C221))</f>
      </c>
      <c r="CT221" s="66">
        <f>IF(B221="","",IF(ENTRADA!$C221="","Falta fecha. ","")&amp;IF(BP221=0,"Mes fuera del rango de COSTOS_FIJOS. ","")&amp;IF(J221=0,"Sin kg. ","")&amp;IF(E221="","Falta transitaria. ","")&amp;IF(AND(T221&gt;0,U221/T221-1&gt;Tolerancia_Comb),"Combustible al puerto "&amp;TEXT(U221/T221-1,"+0%")&amp;" sobre norma. ","")&amp;IF(AND(AG221&gt;0,AH221/AG221-1&gt;Tolerancia_Comb),"Combustible distribución Occidente "&amp;TEXT(AH221/AG221-1,"+0%")&amp;" sobre norma. ","")&amp;IF(AND(AK221&gt;0,AL221/AK221-1&gt;Tolerancia_Comb),"Combustible traslado Centro "&amp;TEXT(AL221/AK221-1,"+0%")&amp;" sobre norma. ","")&amp;IF(AND(AM221&gt;0,AN221/AM221-1&gt;Tolerancia_Comb),"Combustible distribución Centro "&amp;TEXT(AN221/AM221-1,"+0%")&amp;" sobre norma. ","")&amp;IF(AND(AU221&gt;0,AV221/AU221-1&gt;Tolerancia_Comb),"Combustible traslado Oriente "&amp;TEXT(AV221/AU221-1,"+0%")&amp;" sobre norma. ","")&amp;IF(AND(AW221&gt;0,AX221/AW221-1&gt;Tolerancia_Comb),"Combustible distribución Oriente "&amp;TEXT(AX221/AW221-1,"+0%")&amp;" sobre norma. ","")&amp;IF(AND(ENTRADA!$C221&lt;&gt;"",C221&lt;PRECIOS!$A$6),"Fecha anterior a la 1ª vigencia de precios. ","")&amp;IF(CD221&lt;0,"Contenedor con pérdida. ",""))</f>
      </c>
    </row>
    <row r="222">
      <c r="A222" s="60">
        <f>IF(B222="","",ROW()-5)</f>
      </c>
      <c r="B222" s="63">
        <f>IF(ENTRADA!$B222="","",ENTRADA!$B222)</f>
      </c>
      <c r="C222" s="64">
        <f>IF(B222="","",ENTRADA!$C222)</f>
      </c>
      <c r="D222" s="65">
        <f>IF(B222="","",DATE(YEAR(C222),MONTH(C222),1))</f>
      </c>
      <c r="E222" s="66">
        <f>IF(B222="","",ENTRADA!$D222&amp;"")</f>
      </c>
      <c r="F222" s="66">
        <f>IF(B222="","",ENTRADA!$Z222&amp;"")</f>
      </c>
      <c r="G222" s="67">
        <f>IF(B222="","",N(ENTRADA!$G222))</f>
      </c>
      <c r="H222" s="67">
        <f>IF(B222="","",N(ENTRADA!$H222))</f>
      </c>
      <c r="I222" s="67">
        <f>IF(B222="","",N(ENTRADA!$I222))</f>
      </c>
      <c r="J222" s="68">
        <f>IF(B222="","",G222+H222+I222)</f>
      </c>
      <c r="K222" s="60">
        <f>IF(B222="","",IFERROR(MATCH(SUMPRODUCT(MAX((PRECIOS!$A$6:$A$55&lt;=C222)*PRECIOS!$A$6:$A$55)),PRECIOS!$A$6:$A$55,0),1))</f>
      </c>
      <c r="L222" s="69">
        <f>IF(B222="","",INDEX(PRECIOS!$A$6:$A$55,K222))</f>
      </c>
      <c r="M222" s="37">
        <f>IF(B222="","",G222*INDEX(PRECIOS!$B$6:$B$55,K222))</f>
      </c>
      <c r="N222" s="37">
        <f>IF(B222="","",H222*INDEX(PRECIOS!$C$6:$C$55,K222))</f>
      </c>
      <c r="O222" s="37">
        <f>IF(B222="","",I222*INDEX(PRECIOS!$D$6:$D$55,K222))</f>
      </c>
      <c r="P222" s="37">
        <f>IF(B222="","",N(ENTRADA!$X222))</f>
      </c>
      <c r="Q222" s="70">
        <f>IF(B222="","",M222+N222+O222+P222)</f>
      </c>
      <c r="R222" s="71">
        <f>IF(B222="","",IF(ENTRADA!$J222="",Std_Viajes_Puerto,ENTRADA!$J222))</f>
      </c>
      <c r="S222" s="37">
        <f>IF(B222="","",R222*INDEX(PRECIOS!$F$6:$F$55,K222))</f>
      </c>
      <c r="T222" s="71">
        <f>IF(B222="","",R222*Litros_Puerto_Viaje)</f>
      </c>
      <c r="U222" s="71">
        <f>IF(B222="","",IF(ENTRADA!$K222="",T222,ENTRADA!$K222))</f>
      </c>
      <c r="V222" s="37">
        <f>IF(B222="","",U222*INDEX(PRECIOS!$E$6:$E$55,K222))</f>
      </c>
      <c r="W222" s="37">
        <f>IF(B222="","",IF(ENTRADA!$L222="",R222*INDEX(PRECIOS!$G$6:$G$55,K222),ENTRADA!$L222))</f>
      </c>
      <c r="X222" s="37">
        <f>IF(B222="","",R222*Km_Puerto_Viaje*INDEX(PRECIOS!$N$6:$N$55,K222))</f>
      </c>
      <c r="Y222" s="70">
        <f>IF(B222="","",S222+V222+W222+X222)</f>
      </c>
      <c r="Z222" s="71">
        <f>IF(B222="","",IF(J222=0,0,ROUNDUP(J222/Rend_Desagrupe,0)))</f>
      </c>
      <c r="AA222" s="71">
        <f>IF(B222="","",IF(ENTRADA!$M222="",Z222,ENTRADA!$M222))</f>
      </c>
      <c r="AB222" s="37">
        <f>IF(B222="","",AA222*INDEX(PRECIOS!$H$6:$H$55,K222))</f>
      </c>
      <c r="AC222" s="37">
        <f>IF(B222="","",IF(E222="ENCI",INDEX(PRECIOS!$J$6:$J$55,K222),IF(E222="A.V",INDEX(PRECIOS!$K$6:$K$55,K222),0)))</f>
      </c>
      <c r="AD222" s="37">
        <f>IF(B222="","",N(ENTRADA!$N222))</f>
      </c>
      <c r="AE222" s="70">
        <f>IF(B222="","",AB222+AC222+AD222)</f>
      </c>
      <c r="AF222" s="71">
        <f>IF(B222="","",IF(G222=0,0,ROUNDUP(G222/Cap_Camion_OCC,0)))</f>
      </c>
      <c r="AG222" s="71">
        <f>IF(B222="","",AF222*L_Dist_OCC)</f>
      </c>
      <c r="AH222" s="71">
        <f>IF(B222="","",IF(ENTRADA!$O222="",AG222,ENTRADA!$O222))</f>
      </c>
      <c r="AI222" s="37">
        <f>IF(B222="","",AH222*INDEX(PRECIOS!$E$6:$E$55,K222))</f>
      </c>
      <c r="AJ222" s="71">
        <f>IF(B222="","",IF(H222=0,0,ROUNDUP(H222/Cap_Camion_CEN,0)))</f>
      </c>
      <c r="AK222" s="71">
        <f>IF(B222="","",AJ222*L_Tras_CEN)</f>
      </c>
      <c r="AL222" s="71">
        <f>IF(B222="","",IF(ENTRADA!$P222="",AK222,ENTRADA!$P222))</f>
      </c>
      <c r="AM222" s="71">
        <f>IF(B222="","",AJ222*L_Dist_CEN)</f>
      </c>
      <c r="AN222" s="71">
        <f>IF(B222="","",IF(ENTRADA!$Q222="",AM222,ENTRADA!$Q222))</f>
      </c>
      <c r="AO222" s="37">
        <f>IF(B222="","",(AL222+AN222)*INDEX(PRECIOS!$E$6:$E$55,K222))</f>
      </c>
      <c r="AP222" s="71">
        <f>IF(B222="","",IF(H222=0,0,ROUNDUP(H222/Rend_Desagrupe_CT,0)))</f>
      </c>
      <c r="AQ222" s="71">
        <f>IF(B222="","",IF(ENTRADA!$R222="",AP222,ENTRADA!$R222))</f>
      </c>
      <c r="AR222" s="37">
        <f>IF(B222="","",AQ222*INDEX(PRECIOS!$I$6:$I$55,K222))</f>
      </c>
      <c r="AS222" s="37">
        <f>IF(B222="","",AO222+AR222)</f>
      </c>
      <c r="AT222" s="71">
        <f>IF(B222="","",IF(I222=0,0,ROUNDUP(I222/Cap_Camion_ORI,0)))</f>
      </c>
      <c r="AU222" s="71">
        <f>IF(B222="","",AT222*L_Tras_ORI)</f>
      </c>
      <c r="AV222" s="71">
        <f>IF(B222="","",IF(ENTRADA!$S222="",AU222,ENTRADA!$S222))</f>
      </c>
      <c r="AW222" s="71">
        <f>IF(B222="","",AT222*L_Dist_ORI)</f>
      </c>
      <c r="AX222" s="71">
        <f>IF(B222="","",IF(ENTRADA!$T222="",AW222,ENTRADA!$T222))</f>
      </c>
      <c r="AY222" s="37">
        <f>IF(B222="","",(AV222+AX222)*INDEX(PRECIOS!$E$6:$E$55,K222))</f>
      </c>
      <c r="AZ222" s="71">
        <f>IF(B222="","",IF(I222=0,0,ROUNDUP(I222/Rend_Desagrupe_CT,0)))</f>
      </c>
      <c r="BA222" s="71">
        <f>IF(B222="","",IF(ENTRADA!$U222="",AZ222,ENTRADA!$U222))</f>
      </c>
      <c r="BB222" s="37">
        <f>IF(B222="","",BA222*INDEX(PRECIOS!$I$6:$I$55,K222))</f>
      </c>
      <c r="BC222" s="37">
        <f>IF(B222="","",AY222+BB222)</f>
      </c>
      <c r="BD222" s="70">
        <f>IF(B222="","",AI222+AS222+BC222)</f>
      </c>
      <c r="BE222" s="37">
        <f>IF(B222="","",IF(Base_Comision="% DEL INGRESO",M222*INDEX(PRECIOS!$L$6:$L$55,K222),G222*INDEX(PRECIOS!$M$6:$M$55,K222)))</f>
      </c>
      <c r="BF222" s="37">
        <f>IF(B222="","",IF(Base_Comision="% DEL INGRESO",N222*INDEX(PRECIOS!$L$6:$L$55,K222),H222*INDEX(PRECIOS!$M$6:$M$55,K222)))</f>
      </c>
      <c r="BG222" s="37">
        <f>IF(B222="","",IF(Base_Comision="% DEL INGRESO",O222*INDEX(PRECIOS!$L$6:$L$55,K222),I222*INDEX(PRECIOS!$M$6:$M$55,K222)))</f>
      </c>
      <c r="BH222" s="70">
        <f>IF(B222="","",BE222+BF222+BG222)</f>
      </c>
      <c r="BI222" s="37">
        <f>IF(B222="","",Q222*Pct_Reclamaciones)</f>
      </c>
      <c r="BJ222" s="37">
        <f>IF(B222="","",Q222*Pct_Banco)</f>
      </c>
      <c r="BK222" s="37">
        <f>IF(B222="","",N(ENTRADA!$V222))</f>
      </c>
      <c r="BL222" s="70">
        <f>IF(B222="","",Y222+AE222+BD222+BH222+BI222+BJ222+BK222)</f>
      </c>
      <c r="BM222" s="70">
        <f>IF(B222="","",Q222-BL222)</f>
      </c>
      <c r="BN222" s="72">
        <f>IF(B222="","",IF(Q222=0,0,BM222/Q222))</f>
      </c>
      <c r="BO222" s="73">
        <f>IF(B222="","",IF(J222=0,0,BM222/J222))</f>
      </c>
      <c r="BP222" s="60">
        <f>IF(B222="","",IFERROR(MATCH(D222,COSTOS_FIJOS!$G$5:$AD$5,0),0))</f>
      </c>
      <c r="BQ222" s="60">
        <f>IF(B222="","",COUNTIFS($D$6:$D$305,D222))</f>
      </c>
      <c r="BR222" s="67">
        <f>IF(B222="","",SUMIFS($J$6:$J$305,$D$6:$D$305,D222))</f>
      </c>
      <c r="BS222" s="72">
        <f>IF(B222="","",IF(Metodo_Prorrateo="KG",IF(BR222=0,0,J222/BR222),1/BQ222))</f>
      </c>
      <c r="BT222" s="37">
        <f>IF(B222="","",IF(BP222=0,0,INDEX(COSTOS_FIJOS!$G$38:$AD$38,BP222))*BS222)</f>
      </c>
      <c r="BU222" s="72">
        <f>IF(B222="","",IF(Metodo_Prorrateo="KG",IF(SUMIFS($G$6:$G$305,$D$6:$D$305,D222)=0,0,G222/SUMIFS($G$6:$G$305,$D$6:$D$305,D222)),IF(G222&gt;0,1/COUNTIFS($D$6:$D$305,D222,$G$6:$G$305,"&gt;0"),0)))</f>
      </c>
      <c r="BV222" s="37">
        <f>IF(B222="","",IF(BP222=0,0,INDEX(COSTOS_FIJOS!$G$39:$AD$39,BP222))*BU222)</f>
      </c>
      <c r="BW222" s="72">
        <f>IF(B222="","",IF(Metodo_Prorrateo="KG",IF(SUMIFS($H$6:$H$305,$D$6:$D$305,D222)=0,0,H222/SUMIFS($H$6:$H$305,$D$6:$D$305,D222)),IF(H222&gt;0,1/COUNTIFS($D$6:$D$305,D222,$H$6:$H$305,"&gt;0"),0)))</f>
      </c>
      <c r="BX222" s="37">
        <f>IF(B222="","",IF(BP222=0,0,INDEX(COSTOS_FIJOS!$G$40:$AD$40,BP222))*BW222)</f>
      </c>
      <c r="BY222" s="72">
        <f>IF(B222="","",IF(Metodo_Prorrateo="KG",IF(SUMIFS($I$6:$I$305,$D$6:$D$305,D222)=0,0,I222/SUMIFS($I$6:$I$305,$D$6:$D$305,D222)),IF(I222&gt;0,1/COUNTIFS($D$6:$D$305,D222,$I$6:$I$305,"&gt;0"),0)))</f>
      </c>
      <c r="BZ222" s="37">
        <f>IF(B222="","",IF(BP222=0,0,INDEX(COSTOS_FIJOS!$G$41:$AD$41,BP222))*BY222)</f>
      </c>
      <c r="CA222" s="70">
        <f>IF(B222="","",BT222+BV222+BX222+BZ222)</f>
      </c>
      <c r="CB222" s="37">
        <f>IF(B222="","",Q222*Imp_Ventas_Serv)</f>
      </c>
      <c r="CC222" s="37">
        <f>IF(B222="","",Q222*Contrib_Territorial)</f>
      </c>
      <c r="CD222" s="70">
        <f>IF(B222="","",BM222-CA222-CB222-CC222)</f>
      </c>
      <c r="CE222" s="37">
        <f>IF(B222="","",MAX(0,CD222)*Imp_Utilidades)</f>
      </c>
      <c r="CF222" s="70">
        <f>IF(B222="","",CD222-CE222)</f>
      </c>
      <c r="CG222" s="72">
        <f>IF(B222="","",IF(Q222=0,0,CF222/Q222))</f>
      </c>
      <c r="CH222" s="73">
        <f>IF(B222="","",IF(J222=0,0,(BL222+CA222+CB222+CC222)/J222))</f>
      </c>
      <c r="CI222" s="73">
        <f>IF(B222="","",IF(J222=0,0,Q222/J222))</f>
      </c>
      <c r="CJ222" s="73">
        <f>IF(B222="","",IF(J222=0,0,CD222/J222))</f>
      </c>
      <c r="CK222" s="37">
        <f>IF(B222="","",Y222+AE222+BK222+BT222)</f>
      </c>
      <c r="CL222" s="37">
        <f>IF(B222="","",IF(J222=0,0,(M222+P222*G222/J222)*(1-Pct_Reclamaciones-Pct_Banco-Imp_Ventas_Serv-Contrib_Territorial)-AI222-BE222-BV222-CK222*G222/J222))</f>
      </c>
      <c r="CM222" s="37">
        <f>IF(B222="","",IF(J222=0,0,(N222+P222*H222/J222)*(1-Pct_Reclamaciones-Pct_Banco-Imp_Ventas_Serv-Contrib_Territorial)-AS222-BF222-BX222-CK222*H222/J222))</f>
      </c>
      <c r="CN222" s="37">
        <f>IF(B222="","",IF(J222=0,0,(O222+P222*I222/J222)*(1-Pct_Reclamaciones-Pct_Banco-Imp_Ventas_Serv-Contrib_Territorial)-BC222-BG222-BZ222-CK222*I222/J222))</f>
      </c>
      <c r="CO222" s="37">
        <f>IF(B222="","",IF(J222=0,0,ROUND(CD222-CL222-CM222-CN222,4)))</f>
      </c>
      <c r="CP222" s="71">
        <f>IF(B222="","",T222+AG222+AK222+AM222+AU222+AW222)</f>
      </c>
      <c r="CQ222" s="71">
        <f>IF(B222="","",U222+AH222+AL222+AN222+AV222+AX222)</f>
      </c>
      <c r="CR222" s="72">
        <f>IF(B222="","",IF(CP222=0,0,CQ222/CP222-1))</f>
      </c>
      <c r="CS222" s="60">
        <f>IF(B222="","",IF(ENTRADA!$Y222="","",ENTRADA!$Y222-C222))</f>
      </c>
      <c r="CT222" s="66">
        <f>IF(B222="","",IF(ENTRADA!$C222="","Falta fecha. ","")&amp;IF(BP222=0,"Mes fuera del rango de COSTOS_FIJOS. ","")&amp;IF(J222=0,"Sin kg. ","")&amp;IF(E222="","Falta transitaria. ","")&amp;IF(AND(T222&gt;0,U222/T222-1&gt;Tolerancia_Comb),"Combustible al puerto "&amp;TEXT(U222/T222-1,"+0%")&amp;" sobre norma. ","")&amp;IF(AND(AG222&gt;0,AH222/AG222-1&gt;Tolerancia_Comb),"Combustible distribución Occidente "&amp;TEXT(AH222/AG222-1,"+0%")&amp;" sobre norma. ","")&amp;IF(AND(AK222&gt;0,AL222/AK222-1&gt;Tolerancia_Comb),"Combustible traslado Centro "&amp;TEXT(AL222/AK222-1,"+0%")&amp;" sobre norma. ","")&amp;IF(AND(AM222&gt;0,AN222/AM222-1&gt;Tolerancia_Comb),"Combustible distribución Centro "&amp;TEXT(AN222/AM222-1,"+0%")&amp;" sobre norma. ","")&amp;IF(AND(AU222&gt;0,AV222/AU222-1&gt;Tolerancia_Comb),"Combustible traslado Oriente "&amp;TEXT(AV222/AU222-1,"+0%")&amp;" sobre norma. ","")&amp;IF(AND(AW222&gt;0,AX222/AW222-1&gt;Tolerancia_Comb),"Combustible distribución Oriente "&amp;TEXT(AX222/AW222-1,"+0%")&amp;" sobre norma. ","")&amp;IF(AND(ENTRADA!$C222&lt;&gt;"",C222&lt;PRECIOS!$A$6),"Fecha anterior a la 1ª vigencia de precios. ","")&amp;IF(CD222&lt;0,"Contenedor con pérdida. ",""))</f>
      </c>
    </row>
    <row r="223">
      <c r="A223" s="60">
        <f>IF(B223="","",ROW()-5)</f>
      </c>
      <c r="B223" s="63">
        <f>IF(ENTRADA!$B223="","",ENTRADA!$B223)</f>
      </c>
      <c r="C223" s="64">
        <f>IF(B223="","",ENTRADA!$C223)</f>
      </c>
      <c r="D223" s="65">
        <f>IF(B223="","",DATE(YEAR(C223),MONTH(C223),1))</f>
      </c>
      <c r="E223" s="66">
        <f>IF(B223="","",ENTRADA!$D223&amp;"")</f>
      </c>
      <c r="F223" s="66">
        <f>IF(B223="","",ENTRADA!$Z223&amp;"")</f>
      </c>
      <c r="G223" s="67">
        <f>IF(B223="","",N(ENTRADA!$G223))</f>
      </c>
      <c r="H223" s="67">
        <f>IF(B223="","",N(ENTRADA!$H223))</f>
      </c>
      <c r="I223" s="67">
        <f>IF(B223="","",N(ENTRADA!$I223))</f>
      </c>
      <c r="J223" s="68">
        <f>IF(B223="","",G223+H223+I223)</f>
      </c>
      <c r="K223" s="60">
        <f>IF(B223="","",IFERROR(MATCH(SUMPRODUCT(MAX((PRECIOS!$A$6:$A$55&lt;=C223)*PRECIOS!$A$6:$A$55)),PRECIOS!$A$6:$A$55,0),1))</f>
      </c>
      <c r="L223" s="69">
        <f>IF(B223="","",INDEX(PRECIOS!$A$6:$A$55,K223))</f>
      </c>
      <c r="M223" s="37">
        <f>IF(B223="","",G223*INDEX(PRECIOS!$B$6:$B$55,K223))</f>
      </c>
      <c r="N223" s="37">
        <f>IF(B223="","",H223*INDEX(PRECIOS!$C$6:$C$55,K223))</f>
      </c>
      <c r="O223" s="37">
        <f>IF(B223="","",I223*INDEX(PRECIOS!$D$6:$D$55,K223))</f>
      </c>
      <c r="P223" s="37">
        <f>IF(B223="","",N(ENTRADA!$X223))</f>
      </c>
      <c r="Q223" s="70">
        <f>IF(B223="","",M223+N223+O223+P223)</f>
      </c>
      <c r="R223" s="71">
        <f>IF(B223="","",IF(ENTRADA!$J223="",Std_Viajes_Puerto,ENTRADA!$J223))</f>
      </c>
      <c r="S223" s="37">
        <f>IF(B223="","",R223*INDEX(PRECIOS!$F$6:$F$55,K223))</f>
      </c>
      <c r="T223" s="71">
        <f>IF(B223="","",R223*Litros_Puerto_Viaje)</f>
      </c>
      <c r="U223" s="71">
        <f>IF(B223="","",IF(ENTRADA!$K223="",T223,ENTRADA!$K223))</f>
      </c>
      <c r="V223" s="37">
        <f>IF(B223="","",U223*INDEX(PRECIOS!$E$6:$E$55,K223))</f>
      </c>
      <c r="W223" s="37">
        <f>IF(B223="","",IF(ENTRADA!$L223="",R223*INDEX(PRECIOS!$G$6:$G$55,K223),ENTRADA!$L223))</f>
      </c>
      <c r="X223" s="37">
        <f>IF(B223="","",R223*Km_Puerto_Viaje*INDEX(PRECIOS!$N$6:$N$55,K223))</f>
      </c>
      <c r="Y223" s="70">
        <f>IF(B223="","",S223+V223+W223+X223)</f>
      </c>
      <c r="Z223" s="71">
        <f>IF(B223="","",IF(J223=0,0,ROUNDUP(J223/Rend_Desagrupe,0)))</f>
      </c>
      <c r="AA223" s="71">
        <f>IF(B223="","",IF(ENTRADA!$M223="",Z223,ENTRADA!$M223))</f>
      </c>
      <c r="AB223" s="37">
        <f>IF(B223="","",AA223*INDEX(PRECIOS!$H$6:$H$55,K223))</f>
      </c>
      <c r="AC223" s="37">
        <f>IF(B223="","",IF(E223="ENCI",INDEX(PRECIOS!$J$6:$J$55,K223),IF(E223="A.V",INDEX(PRECIOS!$K$6:$K$55,K223),0)))</f>
      </c>
      <c r="AD223" s="37">
        <f>IF(B223="","",N(ENTRADA!$N223))</f>
      </c>
      <c r="AE223" s="70">
        <f>IF(B223="","",AB223+AC223+AD223)</f>
      </c>
      <c r="AF223" s="71">
        <f>IF(B223="","",IF(G223=0,0,ROUNDUP(G223/Cap_Camion_OCC,0)))</f>
      </c>
      <c r="AG223" s="71">
        <f>IF(B223="","",AF223*L_Dist_OCC)</f>
      </c>
      <c r="AH223" s="71">
        <f>IF(B223="","",IF(ENTRADA!$O223="",AG223,ENTRADA!$O223))</f>
      </c>
      <c r="AI223" s="37">
        <f>IF(B223="","",AH223*INDEX(PRECIOS!$E$6:$E$55,K223))</f>
      </c>
      <c r="AJ223" s="71">
        <f>IF(B223="","",IF(H223=0,0,ROUNDUP(H223/Cap_Camion_CEN,0)))</f>
      </c>
      <c r="AK223" s="71">
        <f>IF(B223="","",AJ223*L_Tras_CEN)</f>
      </c>
      <c r="AL223" s="71">
        <f>IF(B223="","",IF(ENTRADA!$P223="",AK223,ENTRADA!$P223))</f>
      </c>
      <c r="AM223" s="71">
        <f>IF(B223="","",AJ223*L_Dist_CEN)</f>
      </c>
      <c r="AN223" s="71">
        <f>IF(B223="","",IF(ENTRADA!$Q223="",AM223,ENTRADA!$Q223))</f>
      </c>
      <c r="AO223" s="37">
        <f>IF(B223="","",(AL223+AN223)*INDEX(PRECIOS!$E$6:$E$55,K223))</f>
      </c>
      <c r="AP223" s="71">
        <f>IF(B223="","",IF(H223=0,0,ROUNDUP(H223/Rend_Desagrupe_CT,0)))</f>
      </c>
      <c r="AQ223" s="71">
        <f>IF(B223="","",IF(ENTRADA!$R223="",AP223,ENTRADA!$R223))</f>
      </c>
      <c r="AR223" s="37">
        <f>IF(B223="","",AQ223*INDEX(PRECIOS!$I$6:$I$55,K223))</f>
      </c>
      <c r="AS223" s="37">
        <f>IF(B223="","",AO223+AR223)</f>
      </c>
      <c r="AT223" s="71">
        <f>IF(B223="","",IF(I223=0,0,ROUNDUP(I223/Cap_Camion_ORI,0)))</f>
      </c>
      <c r="AU223" s="71">
        <f>IF(B223="","",AT223*L_Tras_ORI)</f>
      </c>
      <c r="AV223" s="71">
        <f>IF(B223="","",IF(ENTRADA!$S223="",AU223,ENTRADA!$S223))</f>
      </c>
      <c r="AW223" s="71">
        <f>IF(B223="","",AT223*L_Dist_ORI)</f>
      </c>
      <c r="AX223" s="71">
        <f>IF(B223="","",IF(ENTRADA!$T223="",AW223,ENTRADA!$T223))</f>
      </c>
      <c r="AY223" s="37">
        <f>IF(B223="","",(AV223+AX223)*INDEX(PRECIOS!$E$6:$E$55,K223))</f>
      </c>
      <c r="AZ223" s="71">
        <f>IF(B223="","",IF(I223=0,0,ROUNDUP(I223/Rend_Desagrupe_CT,0)))</f>
      </c>
      <c r="BA223" s="71">
        <f>IF(B223="","",IF(ENTRADA!$U223="",AZ223,ENTRADA!$U223))</f>
      </c>
      <c r="BB223" s="37">
        <f>IF(B223="","",BA223*INDEX(PRECIOS!$I$6:$I$55,K223))</f>
      </c>
      <c r="BC223" s="37">
        <f>IF(B223="","",AY223+BB223)</f>
      </c>
      <c r="BD223" s="70">
        <f>IF(B223="","",AI223+AS223+BC223)</f>
      </c>
      <c r="BE223" s="37">
        <f>IF(B223="","",IF(Base_Comision="% DEL INGRESO",M223*INDEX(PRECIOS!$L$6:$L$55,K223),G223*INDEX(PRECIOS!$M$6:$M$55,K223)))</f>
      </c>
      <c r="BF223" s="37">
        <f>IF(B223="","",IF(Base_Comision="% DEL INGRESO",N223*INDEX(PRECIOS!$L$6:$L$55,K223),H223*INDEX(PRECIOS!$M$6:$M$55,K223)))</f>
      </c>
      <c r="BG223" s="37">
        <f>IF(B223="","",IF(Base_Comision="% DEL INGRESO",O223*INDEX(PRECIOS!$L$6:$L$55,K223),I223*INDEX(PRECIOS!$M$6:$M$55,K223)))</f>
      </c>
      <c r="BH223" s="70">
        <f>IF(B223="","",BE223+BF223+BG223)</f>
      </c>
      <c r="BI223" s="37">
        <f>IF(B223="","",Q223*Pct_Reclamaciones)</f>
      </c>
      <c r="BJ223" s="37">
        <f>IF(B223="","",Q223*Pct_Banco)</f>
      </c>
      <c r="BK223" s="37">
        <f>IF(B223="","",N(ENTRADA!$V223))</f>
      </c>
      <c r="BL223" s="70">
        <f>IF(B223="","",Y223+AE223+BD223+BH223+BI223+BJ223+BK223)</f>
      </c>
      <c r="BM223" s="70">
        <f>IF(B223="","",Q223-BL223)</f>
      </c>
      <c r="BN223" s="72">
        <f>IF(B223="","",IF(Q223=0,0,BM223/Q223))</f>
      </c>
      <c r="BO223" s="73">
        <f>IF(B223="","",IF(J223=0,0,BM223/J223))</f>
      </c>
      <c r="BP223" s="60">
        <f>IF(B223="","",IFERROR(MATCH(D223,COSTOS_FIJOS!$G$5:$AD$5,0),0))</f>
      </c>
      <c r="BQ223" s="60">
        <f>IF(B223="","",COUNTIFS($D$6:$D$305,D223))</f>
      </c>
      <c r="BR223" s="67">
        <f>IF(B223="","",SUMIFS($J$6:$J$305,$D$6:$D$305,D223))</f>
      </c>
      <c r="BS223" s="72">
        <f>IF(B223="","",IF(Metodo_Prorrateo="KG",IF(BR223=0,0,J223/BR223),1/BQ223))</f>
      </c>
      <c r="BT223" s="37">
        <f>IF(B223="","",IF(BP223=0,0,INDEX(COSTOS_FIJOS!$G$38:$AD$38,BP223))*BS223)</f>
      </c>
      <c r="BU223" s="72">
        <f>IF(B223="","",IF(Metodo_Prorrateo="KG",IF(SUMIFS($G$6:$G$305,$D$6:$D$305,D223)=0,0,G223/SUMIFS($G$6:$G$305,$D$6:$D$305,D223)),IF(G223&gt;0,1/COUNTIFS($D$6:$D$305,D223,$G$6:$G$305,"&gt;0"),0)))</f>
      </c>
      <c r="BV223" s="37">
        <f>IF(B223="","",IF(BP223=0,0,INDEX(COSTOS_FIJOS!$G$39:$AD$39,BP223))*BU223)</f>
      </c>
      <c r="BW223" s="72">
        <f>IF(B223="","",IF(Metodo_Prorrateo="KG",IF(SUMIFS($H$6:$H$305,$D$6:$D$305,D223)=0,0,H223/SUMIFS($H$6:$H$305,$D$6:$D$305,D223)),IF(H223&gt;0,1/COUNTIFS($D$6:$D$305,D223,$H$6:$H$305,"&gt;0"),0)))</f>
      </c>
      <c r="BX223" s="37">
        <f>IF(B223="","",IF(BP223=0,0,INDEX(COSTOS_FIJOS!$G$40:$AD$40,BP223))*BW223)</f>
      </c>
      <c r="BY223" s="72">
        <f>IF(B223="","",IF(Metodo_Prorrateo="KG",IF(SUMIFS($I$6:$I$305,$D$6:$D$305,D223)=0,0,I223/SUMIFS($I$6:$I$305,$D$6:$D$305,D223)),IF(I223&gt;0,1/COUNTIFS($D$6:$D$305,D223,$I$6:$I$305,"&gt;0"),0)))</f>
      </c>
      <c r="BZ223" s="37">
        <f>IF(B223="","",IF(BP223=0,0,INDEX(COSTOS_FIJOS!$G$41:$AD$41,BP223))*BY223)</f>
      </c>
      <c r="CA223" s="70">
        <f>IF(B223="","",BT223+BV223+BX223+BZ223)</f>
      </c>
      <c r="CB223" s="37">
        <f>IF(B223="","",Q223*Imp_Ventas_Serv)</f>
      </c>
      <c r="CC223" s="37">
        <f>IF(B223="","",Q223*Contrib_Territorial)</f>
      </c>
      <c r="CD223" s="70">
        <f>IF(B223="","",BM223-CA223-CB223-CC223)</f>
      </c>
      <c r="CE223" s="37">
        <f>IF(B223="","",MAX(0,CD223)*Imp_Utilidades)</f>
      </c>
      <c r="CF223" s="70">
        <f>IF(B223="","",CD223-CE223)</f>
      </c>
      <c r="CG223" s="72">
        <f>IF(B223="","",IF(Q223=0,0,CF223/Q223))</f>
      </c>
      <c r="CH223" s="73">
        <f>IF(B223="","",IF(J223=0,0,(BL223+CA223+CB223+CC223)/J223))</f>
      </c>
      <c r="CI223" s="73">
        <f>IF(B223="","",IF(J223=0,0,Q223/J223))</f>
      </c>
      <c r="CJ223" s="73">
        <f>IF(B223="","",IF(J223=0,0,CD223/J223))</f>
      </c>
      <c r="CK223" s="37">
        <f>IF(B223="","",Y223+AE223+BK223+BT223)</f>
      </c>
      <c r="CL223" s="37">
        <f>IF(B223="","",IF(J223=0,0,(M223+P223*G223/J223)*(1-Pct_Reclamaciones-Pct_Banco-Imp_Ventas_Serv-Contrib_Territorial)-AI223-BE223-BV223-CK223*G223/J223))</f>
      </c>
      <c r="CM223" s="37">
        <f>IF(B223="","",IF(J223=0,0,(N223+P223*H223/J223)*(1-Pct_Reclamaciones-Pct_Banco-Imp_Ventas_Serv-Contrib_Territorial)-AS223-BF223-BX223-CK223*H223/J223))</f>
      </c>
      <c r="CN223" s="37">
        <f>IF(B223="","",IF(J223=0,0,(O223+P223*I223/J223)*(1-Pct_Reclamaciones-Pct_Banco-Imp_Ventas_Serv-Contrib_Territorial)-BC223-BG223-BZ223-CK223*I223/J223))</f>
      </c>
      <c r="CO223" s="37">
        <f>IF(B223="","",IF(J223=0,0,ROUND(CD223-CL223-CM223-CN223,4)))</f>
      </c>
      <c r="CP223" s="71">
        <f>IF(B223="","",T223+AG223+AK223+AM223+AU223+AW223)</f>
      </c>
      <c r="CQ223" s="71">
        <f>IF(B223="","",U223+AH223+AL223+AN223+AV223+AX223)</f>
      </c>
      <c r="CR223" s="72">
        <f>IF(B223="","",IF(CP223=0,0,CQ223/CP223-1))</f>
      </c>
      <c r="CS223" s="60">
        <f>IF(B223="","",IF(ENTRADA!$Y223="","",ENTRADA!$Y223-C223))</f>
      </c>
      <c r="CT223" s="66">
        <f>IF(B223="","",IF(ENTRADA!$C223="","Falta fecha. ","")&amp;IF(BP223=0,"Mes fuera del rango de COSTOS_FIJOS. ","")&amp;IF(J223=0,"Sin kg. ","")&amp;IF(E223="","Falta transitaria. ","")&amp;IF(AND(T223&gt;0,U223/T223-1&gt;Tolerancia_Comb),"Combustible al puerto "&amp;TEXT(U223/T223-1,"+0%")&amp;" sobre norma. ","")&amp;IF(AND(AG223&gt;0,AH223/AG223-1&gt;Tolerancia_Comb),"Combustible distribución Occidente "&amp;TEXT(AH223/AG223-1,"+0%")&amp;" sobre norma. ","")&amp;IF(AND(AK223&gt;0,AL223/AK223-1&gt;Tolerancia_Comb),"Combustible traslado Centro "&amp;TEXT(AL223/AK223-1,"+0%")&amp;" sobre norma. ","")&amp;IF(AND(AM223&gt;0,AN223/AM223-1&gt;Tolerancia_Comb),"Combustible distribución Centro "&amp;TEXT(AN223/AM223-1,"+0%")&amp;" sobre norma. ","")&amp;IF(AND(AU223&gt;0,AV223/AU223-1&gt;Tolerancia_Comb),"Combustible traslado Oriente "&amp;TEXT(AV223/AU223-1,"+0%")&amp;" sobre norma. ","")&amp;IF(AND(AW223&gt;0,AX223/AW223-1&gt;Tolerancia_Comb),"Combustible distribución Oriente "&amp;TEXT(AX223/AW223-1,"+0%")&amp;" sobre norma. ","")&amp;IF(AND(ENTRADA!$C223&lt;&gt;"",C223&lt;PRECIOS!$A$6),"Fecha anterior a la 1ª vigencia de precios. ","")&amp;IF(CD223&lt;0,"Contenedor con pérdida. ",""))</f>
      </c>
    </row>
    <row r="224">
      <c r="A224" s="60">
        <f>IF(B224="","",ROW()-5)</f>
      </c>
      <c r="B224" s="63">
        <f>IF(ENTRADA!$B224="","",ENTRADA!$B224)</f>
      </c>
      <c r="C224" s="64">
        <f>IF(B224="","",ENTRADA!$C224)</f>
      </c>
      <c r="D224" s="65">
        <f>IF(B224="","",DATE(YEAR(C224),MONTH(C224),1))</f>
      </c>
      <c r="E224" s="66">
        <f>IF(B224="","",ENTRADA!$D224&amp;"")</f>
      </c>
      <c r="F224" s="66">
        <f>IF(B224="","",ENTRADA!$Z224&amp;"")</f>
      </c>
      <c r="G224" s="67">
        <f>IF(B224="","",N(ENTRADA!$G224))</f>
      </c>
      <c r="H224" s="67">
        <f>IF(B224="","",N(ENTRADA!$H224))</f>
      </c>
      <c r="I224" s="67">
        <f>IF(B224="","",N(ENTRADA!$I224))</f>
      </c>
      <c r="J224" s="68">
        <f>IF(B224="","",G224+H224+I224)</f>
      </c>
      <c r="K224" s="60">
        <f>IF(B224="","",IFERROR(MATCH(SUMPRODUCT(MAX((PRECIOS!$A$6:$A$55&lt;=C224)*PRECIOS!$A$6:$A$55)),PRECIOS!$A$6:$A$55,0),1))</f>
      </c>
      <c r="L224" s="69">
        <f>IF(B224="","",INDEX(PRECIOS!$A$6:$A$55,K224))</f>
      </c>
      <c r="M224" s="37">
        <f>IF(B224="","",G224*INDEX(PRECIOS!$B$6:$B$55,K224))</f>
      </c>
      <c r="N224" s="37">
        <f>IF(B224="","",H224*INDEX(PRECIOS!$C$6:$C$55,K224))</f>
      </c>
      <c r="O224" s="37">
        <f>IF(B224="","",I224*INDEX(PRECIOS!$D$6:$D$55,K224))</f>
      </c>
      <c r="P224" s="37">
        <f>IF(B224="","",N(ENTRADA!$X224))</f>
      </c>
      <c r="Q224" s="70">
        <f>IF(B224="","",M224+N224+O224+P224)</f>
      </c>
      <c r="R224" s="71">
        <f>IF(B224="","",IF(ENTRADA!$J224="",Std_Viajes_Puerto,ENTRADA!$J224))</f>
      </c>
      <c r="S224" s="37">
        <f>IF(B224="","",R224*INDEX(PRECIOS!$F$6:$F$55,K224))</f>
      </c>
      <c r="T224" s="71">
        <f>IF(B224="","",R224*Litros_Puerto_Viaje)</f>
      </c>
      <c r="U224" s="71">
        <f>IF(B224="","",IF(ENTRADA!$K224="",T224,ENTRADA!$K224))</f>
      </c>
      <c r="V224" s="37">
        <f>IF(B224="","",U224*INDEX(PRECIOS!$E$6:$E$55,K224))</f>
      </c>
      <c r="W224" s="37">
        <f>IF(B224="","",IF(ENTRADA!$L224="",R224*INDEX(PRECIOS!$G$6:$G$55,K224),ENTRADA!$L224))</f>
      </c>
      <c r="X224" s="37">
        <f>IF(B224="","",R224*Km_Puerto_Viaje*INDEX(PRECIOS!$N$6:$N$55,K224))</f>
      </c>
      <c r="Y224" s="70">
        <f>IF(B224="","",S224+V224+W224+X224)</f>
      </c>
      <c r="Z224" s="71">
        <f>IF(B224="","",IF(J224=0,0,ROUNDUP(J224/Rend_Desagrupe,0)))</f>
      </c>
      <c r="AA224" s="71">
        <f>IF(B224="","",IF(ENTRADA!$M224="",Z224,ENTRADA!$M224))</f>
      </c>
      <c r="AB224" s="37">
        <f>IF(B224="","",AA224*INDEX(PRECIOS!$H$6:$H$55,K224))</f>
      </c>
      <c r="AC224" s="37">
        <f>IF(B224="","",IF(E224="ENCI",INDEX(PRECIOS!$J$6:$J$55,K224),IF(E224="A.V",INDEX(PRECIOS!$K$6:$K$55,K224),0)))</f>
      </c>
      <c r="AD224" s="37">
        <f>IF(B224="","",N(ENTRADA!$N224))</f>
      </c>
      <c r="AE224" s="70">
        <f>IF(B224="","",AB224+AC224+AD224)</f>
      </c>
      <c r="AF224" s="71">
        <f>IF(B224="","",IF(G224=0,0,ROUNDUP(G224/Cap_Camion_OCC,0)))</f>
      </c>
      <c r="AG224" s="71">
        <f>IF(B224="","",AF224*L_Dist_OCC)</f>
      </c>
      <c r="AH224" s="71">
        <f>IF(B224="","",IF(ENTRADA!$O224="",AG224,ENTRADA!$O224))</f>
      </c>
      <c r="AI224" s="37">
        <f>IF(B224="","",AH224*INDEX(PRECIOS!$E$6:$E$55,K224))</f>
      </c>
      <c r="AJ224" s="71">
        <f>IF(B224="","",IF(H224=0,0,ROUNDUP(H224/Cap_Camion_CEN,0)))</f>
      </c>
      <c r="AK224" s="71">
        <f>IF(B224="","",AJ224*L_Tras_CEN)</f>
      </c>
      <c r="AL224" s="71">
        <f>IF(B224="","",IF(ENTRADA!$P224="",AK224,ENTRADA!$P224))</f>
      </c>
      <c r="AM224" s="71">
        <f>IF(B224="","",AJ224*L_Dist_CEN)</f>
      </c>
      <c r="AN224" s="71">
        <f>IF(B224="","",IF(ENTRADA!$Q224="",AM224,ENTRADA!$Q224))</f>
      </c>
      <c r="AO224" s="37">
        <f>IF(B224="","",(AL224+AN224)*INDEX(PRECIOS!$E$6:$E$55,K224))</f>
      </c>
      <c r="AP224" s="71">
        <f>IF(B224="","",IF(H224=0,0,ROUNDUP(H224/Rend_Desagrupe_CT,0)))</f>
      </c>
      <c r="AQ224" s="71">
        <f>IF(B224="","",IF(ENTRADA!$R224="",AP224,ENTRADA!$R224))</f>
      </c>
      <c r="AR224" s="37">
        <f>IF(B224="","",AQ224*INDEX(PRECIOS!$I$6:$I$55,K224))</f>
      </c>
      <c r="AS224" s="37">
        <f>IF(B224="","",AO224+AR224)</f>
      </c>
      <c r="AT224" s="71">
        <f>IF(B224="","",IF(I224=0,0,ROUNDUP(I224/Cap_Camion_ORI,0)))</f>
      </c>
      <c r="AU224" s="71">
        <f>IF(B224="","",AT224*L_Tras_ORI)</f>
      </c>
      <c r="AV224" s="71">
        <f>IF(B224="","",IF(ENTRADA!$S224="",AU224,ENTRADA!$S224))</f>
      </c>
      <c r="AW224" s="71">
        <f>IF(B224="","",AT224*L_Dist_ORI)</f>
      </c>
      <c r="AX224" s="71">
        <f>IF(B224="","",IF(ENTRADA!$T224="",AW224,ENTRADA!$T224))</f>
      </c>
      <c r="AY224" s="37">
        <f>IF(B224="","",(AV224+AX224)*INDEX(PRECIOS!$E$6:$E$55,K224))</f>
      </c>
      <c r="AZ224" s="71">
        <f>IF(B224="","",IF(I224=0,0,ROUNDUP(I224/Rend_Desagrupe_CT,0)))</f>
      </c>
      <c r="BA224" s="71">
        <f>IF(B224="","",IF(ENTRADA!$U224="",AZ224,ENTRADA!$U224))</f>
      </c>
      <c r="BB224" s="37">
        <f>IF(B224="","",BA224*INDEX(PRECIOS!$I$6:$I$55,K224))</f>
      </c>
      <c r="BC224" s="37">
        <f>IF(B224="","",AY224+BB224)</f>
      </c>
      <c r="BD224" s="70">
        <f>IF(B224="","",AI224+AS224+BC224)</f>
      </c>
      <c r="BE224" s="37">
        <f>IF(B224="","",IF(Base_Comision="% DEL INGRESO",M224*INDEX(PRECIOS!$L$6:$L$55,K224),G224*INDEX(PRECIOS!$M$6:$M$55,K224)))</f>
      </c>
      <c r="BF224" s="37">
        <f>IF(B224="","",IF(Base_Comision="% DEL INGRESO",N224*INDEX(PRECIOS!$L$6:$L$55,K224),H224*INDEX(PRECIOS!$M$6:$M$55,K224)))</f>
      </c>
      <c r="BG224" s="37">
        <f>IF(B224="","",IF(Base_Comision="% DEL INGRESO",O224*INDEX(PRECIOS!$L$6:$L$55,K224),I224*INDEX(PRECIOS!$M$6:$M$55,K224)))</f>
      </c>
      <c r="BH224" s="70">
        <f>IF(B224="","",BE224+BF224+BG224)</f>
      </c>
      <c r="BI224" s="37">
        <f>IF(B224="","",Q224*Pct_Reclamaciones)</f>
      </c>
      <c r="BJ224" s="37">
        <f>IF(B224="","",Q224*Pct_Banco)</f>
      </c>
      <c r="BK224" s="37">
        <f>IF(B224="","",N(ENTRADA!$V224))</f>
      </c>
      <c r="BL224" s="70">
        <f>IF(B224="","",Y224+AE224+BD224+BH224+BI224+BJ224+BK224)</f>
      </c>
      <c r="BM224" s="70">
        <f>IF(B224="","",Q224-BL224)</f>
      </c>
      <c r="BN224" s="72">
        <f>IF(B224="","",IF(Q224=0,0,BM224/Q224))</f>
      </c>
      <c r="BO224" s="73">
        <f>IF(B224="","",IF(J224=0,0,BM224/J224))</f>
      </c>
      <c r="BP224" s="60">
        <f>IF(B224="","",IFERROR(MATCH(D224,COSTOS_FIJOS!$G$5:$AD$5,0),0))</f>
      </c>
      <c r="BQ224" s="60">
        <f>IF(B224="","",COUNTIFS($D$6:$D$305,D224))</f>
      </c>
      <c r="BR224" s="67">
        <f>IF(B224="","",SUMIFS($J$6:$J$305,$D$6:$D$305,D224))</f>
      </c>
      <c r="BS224" s="72">
        <f>IF(B224="","",IF(Metodo_Prorrateo="KG",IF(BR224=0,0,J224/BR224),1/BQ224))</f>
      </c>
      <c r="BT224" s="37">
        <f>IF(B224="","",IF(BP224=0,0,INDEX(COSTOS_FIJOS!$G$38:$AD$38,BP224))*BS224)</f>
      </c>
      <c r="BU224" s="72">
        <f>IF(B224="","",IF(Metodo_Prorrateo="KG",IF(SUMIFS($G$6:$G$305,$D$6:$D$305,D224)=0,0,G224/SUMIFS($G$6:$G$305,$D$6:$D$305,D224)),IF(G224&gt;0,1/COUNTIFS($D$6:$D$305,D224,$G$6:$G$305,"&gt;0"),0)))</f>
      </c>
      <c r="BV224" s="37">
        <f>IF(B224="","",IF(BP224=0,0,INDEX(COSTOS_FIJOS!$G$39:$AD$39,BP224))*BU224)</f>
      </c>
      <c r="BW224" s="72">
        <f>IF(B224="","",IF(Metodo_Prorrateo="KG",IF(SUMIFS($H$6:$H$305,$D$6:$D$305,D224)=0,0,H224/SUMIFS($H$6:$H$305,$D$6:$D$305,D224)),IF(H224&gt;0,1/COUNTIFS($D$6:$D$305,D224,$H$6:$H$305,"&gt;0"),0)))</f>
      </c>
      <c r="BX224" s="37">
        <f>IF(B224="","",IF(BP224=0,0,INDEX(COSTOS_FIJOS!$G$40:$AD$40,BP224))*BW224)</f>
      </c>
      <c r="BY224" s="72">
        <f>IF(B224="","",IF(Metodo_Prorrateo="KG",IF(SUMIFS($I$6:$I$305,$D$6:$D$305,D224)=0,0,I224/SUMIFS($I$6:$I$305,$D$6:$D$305,D224)),IF(I224&gt;0,1/COUNTIFS($D$6:$D$305,D224,$I$6:$I$305,"&gt;0"),0)))</f>
      </c>
      <c r="BZ224" s="37">
        <f>IF(B224="","",IF(BP224=0,0,INDEX(COSTOS_FIJOS!$G$41:$AD$41,BP224))*BY224)</f>
      </c>
      <c r="CA224" s="70">
        <f>IF(B224="","",BT224+BV224+BX224+BZ224)</f>
      </c>
      <c r="CB224" s="37">
        <f>IF(B224="","",Q224*Imp_Ventas_Serv)</f>
      </c>
      <c r="CC224" s="37">
        <f>IF(B224="","",Q224*Contrib_Territorial)</f>
      </c>
      <c r="CD224" s="70">
        <f>IF(B224="","",BM224-CA224-CB224-CC224)</f>
      </c>
      <c r="CE224" s="37">
        <f>IF(B224="","",MAX(0,CD224)*Imp_Utilidades)</f>
      </c>
      <c r="CF224" s="70">
        <f>IF(B224="","",CD224-CE224)</f>
      </c>
      <c r="CG224" s="72">
        <f>IF(B224="","",IF(Q224=0,0,CF224/Q224))</f>
      </c>
      <c r="CH224" s="73">
        <f>IF(B224="","",IF(J224=0,0,(BL224+CA224+CB224+CC224)/J224))</f>
      </c>
      <c r="CI224" s="73">
        <f>IF(B224="","",IF(J224=0,0,Q224/J224))</f>
      </c>
      <c r="CJ224" s="73">
        <f>IF(B224="","",IF(J224=0,0,CD224/J224))</f>
      </c>
      <c r="CK224" s="37">
        <f>IF(B224="","",Y224+AE224+BK224+BT224)</f>
      </c>
      <c r="CL224" s="37">
        <f>IF(B224="","",IF(J224=0,0,(M224+P224*G224/J224)*(1-Pct_Reclamaciones-Pct_Banco-Imp_Ventas_Serv-Contrib_Territorial)-AI224-BE224-BV224-CK224*G224/J224))</f>
      </c>
      <c r="CM224" s="37">
        <f>IF(B224="","",IF(J224=0,0,(N224+P224*H224/J224)*(1-Pct_Reclamaciones-Pct_Banco-Imp_Ventas_Serv-Contrib_Territorial)-AS224-BF224-BX224-CK224*H224/J224))</f>
      </c>
      <c r="CN224" s="37">
        <f>IF(B224="","",IF(J224=0,0,(O224+P224*I224/J224)*(1-Pct_Reclamaciones-Pct_Banco-Imp_Ventas_Serv-Contrib_Territorial)-BC224-BG224-BZ224-CK224*I224/J224))</f>
      </c>
      <c r="CO224" s="37">
        <f>IF(B224="","",IF(J224=0,0,ROUND(CD224-CL224-CM224-CN224,4)))</f>
      </c>
      <c r="CP224" s="71">
        <f>IF(B224="","",T224+AG224+AK224+AM224+AU224+AW224)</f>
      </c>
      <c r="CQ224" s="71">
        <f>IF(B224="","",U224+AH224+AL224+AN224+AV224+AX224)</f>
      </c>
      <c r="CR224" s="72">
        <f>IF(B224="","",IF(CP224=0,0,CQ224/CP224-1))</f>
      </c>
      <c r="CS224" s="60">
        <f>IF(B224="","",IF(ENTRADA!$Y224="","",ENTRADA!$Y224-C224))</f>
      </c>
      <c r="CT224" s="66">
        <f>IF(B224="","",IF(ENTRADA!$C224="","Falta fecha. ","")&amp;IF(BP224=0,"Mes fuera del rango de COSTOS_FIJOS. ","")&amp;IF(J224=0,"Sin kg. ","")&amp;IF(E224="","Falta transitaria. ","")&amp;IF(AND(T224&gt;0,U224/T224-1&gt;Tolerancia_Comb),"Combustible al puerto "&amp;TEXT(U224/T224-1,"+0%")&amp;" sobre norma. ","")&amp;IF(AND(AG224&gt;0,AH224/AG224-1&gt;Tolerancia_Comb),"Combustible distribución Occidente "&amp;TEXT(AH224/AG224-1,"+0%")&amp;" sobre norma. ","")&amp;IF(AND(AK224&gt;0,AL224/AK224-1&gt;Tolerancia_Comb),"Combustible traslado Centro "&amp;TEXT(AL224/AK224-1,"+0%")&amp;" sobre norma. ","")&amp;IF(AND(AM224&gt;0,AN224/AM224-1&gt;Tolerancia_Comb),"Combustible distribución Centro "&amp;TEXT(AN224/AM224-1,"+0%")&amp;" sobre norma. ","")&amp;IF(AND(AU224&gt;0,AV224/AU224-1&gt;Tolerancia_Comb),"Combustible traslado Oriente "&amp;TEXT(AV224/AU224-1,"+0%")&amp;" sobre norma. ","")&amp;IF(AND(AW224&gt;0,AX224/AW224-1&gt;Tolerancia_Comb),"Combustible distribución Oriente "&amp;TEXT(AX224/AW224-1,"+0%")&amp;" sobre norma. ","")&amp;IF(AND(ENTRADA!$C224&lt;&gt;"",C224&lt;PRECIOS!$A$6),"Fecha anterior a la 1ª vigencia de precios. ","")&amp;IF(CD224&lt;0,"Contenedor con pérdida. ",""))</f>
      </c>
    </row>
    <row r="225">
      <c r="A225" s="60">
        <f>IF(B225="","",ROW()-5)</f>
      </c>
      <c r="B225" s="63">
        <f>IF(ENTRADA!$B225="","",ENTRADA!$B225)</f>
      </c>
      <c r="C225" s="64">
        <f>IF(B225="","",ENTRADA!$C225)</f>
      </c>
      <c r="D225" s="65">
        <f>IF(B225="","",DATE(YEAR(C225),MONTH(C225),1))</f>
      </c>
      <c r="E225" s="66">
        <f>IF(B225="","",ENTRADA!$D225&amp;"")</f>
      </c>
      <c r="F225" s="66">
        <f>IF(B225="","",ENTRADA!$Z225&amp;"")</f>
      </c>
      <c r="G225" s="67">
        <f>IF(B225="","",N(ENTRADA!$G225))</f>
      </c>
      <c r="H225" s="67">
        <f>IF(B225="","",N(ENTRADA!$H225))</f>
      </c>
      <c r="I225" s="67">
        <f>IF(B225="","",N(ENTRADA!$I225))</f>
      </c>
      <c r="J225" s="68">
        <f>IF(B225="","",G225+H225+I225)</f>
      </c>
      <c r="K225" s="60">
        <f>IF(B225="","",IFERROR(MATCH(SUMPRODUCT(MAX((PRECIOS!$A$6:$A$55&lt;=C225)*PRECIOS!$A$6:$A$55)),PRECIOS!$A$6:$A$55,0),1))</f>
      </c>
      <c r="L225" s="69">
        <f>IF(B225="","",INDEX(PRECIOS!$A$6:$A$55,K225))</f>
      </c>
      <c r="M225" s="37">
        <f>IF(B225="","",G225*INDEX(PRECIOS!$B$6:$B$55,K225))</f>
      </c>
      <c r="N225" s="37">
        <f>IF(B225="","",H225*INDEX(PRECIOS!$C$6:$C$55,K225))</f>
      </c>
      <c r="O225" s="37">
        <f>IF(B225="","",I225*INDEX(PRECIOS!$D$6:$D$55,K225))</f>
      </c>
      <c r="P225" s="37">
        <f>IF(B225="","",N(ENTRADA!$X225))</f>
      </c>
      <c r="Q225" s="70">
        <f>IF(B225="","",M225+N225+O225+P225)</f>
      </c>
      <c r="R225" s="71">
        <f>IF(B225="","",IF(ENTRADA!$J225="",Std_Viajes_Puerto,ENTRADA!$J225))</f>
      </c>
      <c r="S225" s="37">
        <f>IF(B225="","",R225*INDEX(PRECIOS!$F$6:$F$55,K225))</f>
      </c>
      <c r="T225" s="71">
        <f>IF(B225="","",R225*Litros_Puerto_Viaje)</f>
      </c>
      <c r="U225" s="71">
        <f>IF(B225="","",IF(ENTRADA!$K225="",T225,ENTRADA!$K225))</f>
      </c>
      <c r="V225" s="37">
        <f>IF(B225="","",U225*INDEX(PRECIOS!$E$6:$E$55,K225))</f>
      </c>
      <c r="W225" s="37">
        <f>IF(B225="","",IF(ENTRADA!$L225="",R225*INDEX(PRECIOS!$G$6:$G$55,K225),ENTRADA!$L225))</f>
      </c>
      <c r="X225" s="37">
        <f>IF(B225="","",R225*Km_Puerto_Viaje*INDEX(PRECIOS!$N$6:$N$55,K225))</f>
      </c>
      <c r="Y225" s="70">
        <f>IF(B225="","",S225+V225+W225+X225)</f>
      </c>
      <c r="Z225" s="71">
        <f>IF(B225="","",IF(J225=0,0,ROUNDUP(J225/Rend_Desagrupe,0)))</f>
      </c>
      <c r="AA225" s="71">
        <f>IF(B225="","",IF(ENTRADA!$M225="",Z225,ENTRADA!$M225))</f>
      </c>
      <c r="AB225" s="37">
        <f>IF(B225="","",AA225*INDEX(PRECIOS!$H$6:$H$55,K225))</f>
      </c>
      <c r="AC225" s="37">
        <f>IF(B225="","",IF(E225="ENCI",INDEX(PRECIOS!$J$6:$J$55,K225),IF(E225="A.V",INDEX(PRECIOS!$K$6:$K$55,K225),0)))</f>
      </c>
      <c r="AD225" s="37">
        <f>IF(B225="","",N(ENTRADA!$N225))</f>
      </c>
      <c r="AE225" s="70">
        <f>IF(B225="","",AB225+AC225+AD225)</f>
      </c>
      <c r="AF225" s="71">
        <f>IF(B225="","",IF(G225=0,0,ROUNDUP(G225/Cap_Camion_OCC,0)))</f>
      </c>
      <c r="AG225" s="71">
        <f>IF(B225="","",AF225*L_Dist_OCC)</f>
      </c>
      <c r="AH225" s="71">
        <f>IF(B225="","",IF(ENTRADA!$O225="",AG225,ENTRADA!$O225))</f>
      </c>
      <c r="AI225" s="37">
        <f>IF(B225="","",AH225*INDEX(PRECIOS!$E$6:$E$55,K225))</f>
      </c>
      <c r="AJ225" s="71">
        <f>IF(B225="","",IF(H225=0,0,ROUNDUP(H225/Cap_Camion_CEN,0)))</f>
      </c>
      <c r="AK225" s="71">
        <f>IF(B225="","",AJ225*L_Tras_CEN)</f>
      </c>
      <c r="AL225" s="71">
        <f>IF(B225="","",IF(ENTRADA!$P225="",AK225,ENTRADA!$P225))</f>
      </c>
      <c r="AM225" s="71">
        <f>IF(B225="","",AJ225*L_Dist_CEN)</f>
      </c>
      <c r="AN225" s="71">
        <f>IF(B225="","",IF(ENTRADA!$Q225="",AM225,ENTRADA!$Q225))</f>
      </c>
      <c r="AO225" s="37">
        <f>IF(B225="","",(AL225+AN225)*INDEX(PRECIOS!$E$6:$E$55,K225))</f>
      </c>
      <c r="AP225" s="71">
        <f>IF(B225="","",IF(H225=0,0,ROUNDUP(H225/Rend_Desagrupe_CT,0)))</f>
      </c>
      <c r="AQ225" s="71">
        <f>IF(B225="","",IF(ENTRADA!$R225="",AP225,ENTRADA!$R225))</f>
      </c>
      <c r="AR225" s="37">
        <f>IF(B225="","",AQ225*INDEX(PRECIOS!$I$6:$I$55,K225))</f>
      </c>
      <c r="AS225" s="37">
        <f>IF(B225="","",AO225+AR225)</f>
      </c>
      <c r="AT225" s="71">
        <f>IF(B225="","",IF(I225=0,0,ROUNDUP(I225/Cap_Camion_ORI,0)))</f>
      </c>
      <c r="AU225" s="71">
        <f>IF(B225="","",AT225*L_Tras_ORI)</f>
      </c>
      <c r="AV225" s="71">
        <f>IF(B225="","",IF(ENTRADA!$S225="",AU225,ENTRADA!$S225))</f>
      </c>
      <c r="AW225" s="71">
        <f>IF(B225="","",AT225*L_Dist_ORI)</f>
      </c>
      <c r="AX225" s="71">
        <f>IF(B225="","",IF(ENTRADA!$T225="",AW225,ENTRADA!$T225))</f>
      </c>
      <c r="AY225" s="37">
        <f>IF(B225="","",(AV225+AX225)*INDEX(PRECIOS!$E$6:$E$55,K225))</f>
      </c>
      <c r="AZ225" s="71">
        <f>IF(B225="","",IF(I225=0,0,ROUNDUP(I225/Rend_Desagrupe_CT,0)))</f>
      </c>
      <c r="BA225" s="71">
        <f>IF(B225="","",IF(ENTRADA!$U225="",AZ225,ENTRADA!$U225))</f>
      </c>
      <c r="BB225" s="37">
        <f>IF(B225="","",BA225*INDEX(PRECIOS!$I$6:$I$55,K225))</f>
      </c>
      <c r="BC225" s="37">
        <f>IF(B225="","",AY225+BB225)</f>
      </c>
      <c r="BD225" s="70">
        <f>IF(B225="","",AI225+AS225+BC225)</f>
      </c>
      <c r="BE225" s="37">
        <f>IF(B225="","",IF(Base_Comision="% DEL INGRESO",M225*INDEX(PRECIOS!$L$6:$L$55,K225),G225*INDEX(PRECIOS!$M$6:$M$55,K225)))</f>
      </c>
      <c r="BF225" s="37">
        <f>IF(B225="","",IF(Base_Comision="% DEL INGRESO",N225*INDEX(PRECIOS!$L$6:$L$55,K225),H225*INDEX(PRECIOS!$M$6:$M$55,K225)))</f>
      </c>
      <c r="BG225" s="37">
        <f>IF(B225="","",IF(Base_Comision="% DEL INGRESO",O225*INDEX(PRECIOS!$L$6:$L$55,K225),I225*INDEX(PRECIOS!$M$6:$M$55,K225)))</f>
      </c>
      <c r="BH225" s="70">
        <f>IF(B225="","",BE225+BF225+BG225)</f>
      </c>
      <c r="BI225" s="37">
        <f>IF(B225="","",Q225*Pct_Reclamaciones)</f>
      </c>
      <c r="BJ225" s="37">
        <f>IF(B225="","",Q225*Pct_Banco)</f>
      </c>
      <c r="BK225" s="37">
        <f>IF(B225="","",N(ENTRADA!$V225))</f>
      </c>
      <c r="BL225" s="70">
        <f>IF(B225="","",Y225+AE225+BD225+BH225+BI225+BJ225+BK225)</f>
      </c>
      <c r="BM225" s="70">
        <f>IF(B225="","",Q225-BL225)</f>
      </c>
      <c r="BN225" s="72">
        <f>IF(B225="","",IF(Q225=0,0,BM225/Q225))</f>
      </c>
      <c r="BO225" s="73">
        <f>IF(B225="","",IF(J225=0,0,BM225/J225))</f>
      </c>
      <c r="BP225" s="60">
        <f>IF(B225="","",IFERROR(MATCH(D225,COSTOS_FIJOS!$G$5:$AD$5,0),0))</f>
      </c>
      <c r="BQ225" s="60">
        <f>IF(B225="","",COUNTIFS($D$6:$D$305,D225))</f>
      </c>
      <c r="BR225" s="67">
        <f>IF(B225="","",SUMIFS($J$6:$J$305,$D$6:$D$305,D225))</f>
      </c>
      <c r="BS225" s="72">
        <f>IF(B225="","",IF(Metodo_Prorrateo="KG",IF(BR225=0,0,J225/BR225),1/BQ225))</f>
      </c>
      <c r="BT225" s="37">
        <f>IF(B225="","",IF(BP225=0,0,INDEX(COSTOS_FIJOS!$G$38:$AD$38,BP225))*BS225)</f>
      </c>
      <c r="BU225" s="72">
        <f>IF(B225="","",IF(Metodo_Prorrateo="KG",IF(SUMIFS($G$6:$G$305,$D$6:$D$305,D225)=0,0,G225/SUMIFS($G$6:$G$305,$D$6:$D$305,D225)),IF(G225&gt;0,1/COUNTIFS($D$6:$D$305,D225,$G$6:$G$305,"&gt;0"),0)))</f>
      </c>
      <c r="BV225" s="37">
        <f>IF(B225="","",IF(BP225=0,0,INDEX(COSTOS_FIJOS!$G$39:$AD$39,BP225))*BU225)</f>
      </c>
      <c r="BW225" s="72">
        <f>IF(B225="","",IF(Metodo_Prorrateo="KG",IF(SUMIFS($H$6:$H$305,$D$6:$D$305,D225)=0,0,H225/SUMIFS($H$6:$H$305,$D$6:$D$305,D225)),IF(H225&gt;0,1/COUNTIFS($D$6:$D$305,D225,$H$6:$H$305,"&gt;0"),0)))</f>
      </c>
      <c r="BX225" s="37">
        <f>IF(B225="","",IF(BP225=0,0,INDEX(COSTOS_FIJOS!$G$40:$AD$40,BP225))*BW225)</f>
      </c>
      <c r="BY225" s="72">
        <f>IF(B225="","",IF(Metodo_Prorrateo="KG",IF(SUMIFS($I$6:$I$305,$D$6:$D$305,D225)=0,0,I225/SUMIFS($I$6:$I$305,$D$6:$D$305,D225)),IF(I225&gt;0,1/COUNTIFS($D$6:$D$305,D225,$I$6:$I$305,"&gt;0"),0)))</f>
      </c>
      <c r="BZ225" s="37">
        <f>IF(B225="","",IF(BP225=0,0,INDEX(COSTOS_FIJOS!$G$41:$AD$41,BP225))*BY225)</f>
      </c>
      <c r="CA225" s="70">
        <f>IF(B225="","",BT225+BV225+BX225+BZ225)</f>
      </c>
      <c r="CB225" s="37">
        <f>IF(B225="","",Q225*Imp_Ventas_Serv)</f>
      </c>
      <c r="CC225" s="37">
        <f>IF(B225="","",Q225*Contrib_Territorial)</f>
      </c>
      <c r="CD225" s="70">
        <f>IF(B225="","",BM225-CA225-CB225-CC225)</f>
      </c>
      <c r="CE225" s="37">
        <f>IF(B225="","",MAX(0,CD225)*Imp_Utilidades)</f>
      </c>
      <c r="CF225" s="70">
        <f>IF(B225="","",CD225-CE225)</f>
      </c>
      <c r="CG225" s="72">
        <f>IF(B225="","",IF(Q225=0,0,CF225/Q225))</f>
      </c>
      <c r="CH225" s="73">
        <f>IF(B225="","",IF(J225=0,0,(BL225+CA225+CB225+CC225)/J225))</f>
      </c>
      <c r="CI225" s="73">
        <f>IF(B225="","",IF(J225=0,0,Q225/J225))</f>
      </c>
      <c r="CJ225" s="73">
        <f>IF(B225="","",IF(J225=0,0,CD225/J225))</f>
      </c>
      <c r="CK225" s="37">
        <f>IF(B225="","",Y225+AE225+BK225+BT225)</f>
      </c>
      <c r="CL225" s="37">
        <f>IF(B225="","",IF(J225=0,0,(M225+P225*G225/J225)*(1-Pct_Reclamaciones-Pct_Banco-Imp_Ventas_Serv-Contrib_Territorial)-AI225-BE225-BV225-CK225*G225/J225))</f>
      </c>
      <c r="CM225" s="37">
        <f>IF(B225="","",IF(J225=0,0,(N225+P225*H225/J225)*(1-Pct_Reclamaciones-Pct_Banco-Imp_Ventas_Serv-Contrib_Territorial)-AS225-BF225-BX225-CK225*H225/J225))</f>
      </c>
      <c r="CN225" s="37">
        <f>IF(B225="","",IF(J225=0,0,(O225+P225*I225/J225)*(1-Pct_Reclamaciones-Pct_Banco-Imp_Ventas_Serv-Contrib_Territorial)-BC225-BG225-BZ225-CK225*I225/J225))</f>
      </c>
      <c r="CO225" s="37">
        <f>IF(B225="","",IF(J225=0,0,ROUND(CD225-CL225-CM225-CN225,4)))</f>
      </c>
      <c r="CP225" s="71">
        <f>IF(B225="","",T225+AG225+AK225+AM225+AU225+AW225)</f>
      </c>
      <c r="CQ225" s="71">
        <f>IF(B225="","",U225+AH225+AL225+AN225+AV225+AX225)</f>
      </c>
      <c r="CR225" s="72">
        <f>IF(B225="","",IF(CP225=0,0,CQ225/CP225-1))</f>
      </c>
      <c r="CS225" s="60">
        <f>IF(B225="","",IF(ENTRADA!$Y225="","",ENTRADA!$Y225-C225))</f>
      </c>
      <c r="CT225" s="66">
        <f>IF(B225="","",IF(ENTRADA!$C225="","Falta fecha. ","")&amp;IF(BP225=0,"Mes fuera del rango de COSTOS_FIJOS. ","")&amp;IF(J225=0,"Sin kg. ","")&amp;IF(E225="","Falta transitaria. ","")&amp;IF(AND(T225&gt;0,U225/T225-1&gt;Tolerancia_Comb),"Combustible al puerto "&amp;TEXT(U225/T225-1,"+0%")&amp;" sobre norma. ","")&amp;IF(AND(AG225&gt;0,AH225/AG225-1&gt;Tolerancia_Comb),"Combustible distribución Occidente "&amp;TEXT(AH225/AG225-1,"+0%")&amp;" sobre norma. ","")&amp;IF(AND(AK225&gt;0,AL225/AK225-1&gt;Tolerancia_Comb),"Combustible traslado Centro "&amp;TEXT(AL225/AK225-1,"+0%")&amp;" sobre norma. ","")&amp;IF(AND(AM225&gt;0,AN225/AM225-1&gt;Tolerancia_Comb),"Combustible distribución Centro "&amp;TEXT(AN225/AM225-1,"+0%")&amp;" sobre norma. ","")&amp;IF(AND(AU225&gt;0,AV225/AU225-1&gt;Tolerancia_Comb),"Combustible traslado Oriente "&amp;TEXT(AV225/AU225-1,"+0%")&amp;" sobre norma. ","")&amp;IF(AND(AW225&gt;0,AX225/AW225-1&gt;Tolerancia_Comb),"Combustible distribución Oriente "&amp;TEXT(AX225/AW225-1,"+0%")&amp;" sobre norma. ","")&amp;IF(AND(ENTRADA!$C225&lt;&gt;"",C225&lt;PRECIOS!$A$6),"Fecha anterior a la 1ª vigencia de precios. ","")&amp;IF(CD225&lt;0,"Contenedor con pérdida. ",""))</f>
      </c>
    </row>
    <row r="226">
      <c r="A226" s="60">
        <f>IF(B226="","",ROW()-5)</f>
      </c>
      <c r="B226" s="63">
        <f>IF(ENTRADA!$B226="","",ENTRADA!$B226)</f>
      </c>
      <c r="C226" s="64">
        <f>IF(B226="","",ENTRADA!$C226)</f>
      </c>
      <c r="D226" s="65">
        <f>IF(B226="","",DATE(YEAR(C226),MONTH(C226),1))</f>
      </c>
      <c r="E226" s="66">
        <f>IF(B226="","",ENTRADA!$D226&amp;"")</f>
      </c>
      <c r="F226" s="66">
        <f>IF(B226="","",ENTRADA!$Z226&amp;"")</f>
      </c>
      <c r="G226" s="67">
        <f>IF(B226="","",N(ENTRADA!$G226))</f>
      </c>
      <c r="H226" s="67">
        <f>IF(B226="","",N(ENTRADA!$H226))</f>
      </c>
      <c r="I226" s="67">
        <f>IF(B226="","",N(ENTRADA!$I226))</f>
      </c>
      <c r="J226" s="68">
        <f>IF(B226="","",G226+H226+I226)</f>
      </c>
      <c r="K226" s="60">
        <f>IF(B226="","",IFERROR(MATCH(SUMPRODUCT(MAX((PRECIOS!$A$6:$A$55&lt;=C226)*PRECIOS!$A$6:$A$55)),PRECIOS!$A$6:$A$55,0),1))</f>
      </c>
      <c r="L226" s="69">
        <f>IF(B226="","",INDEX(PRECIOS!$A$6:$A$55,K226))</f>
      </c>
      <c r="M226" s="37">
        <f>IF(B226="","",G226*INDEX(PRECIOS!$B$6:$B$55,K226))</f>
      </c>
      <c r="N226" s="37">
        <f>IF(B226="","",H226*INDEX(PRECIOS!$C$6:$C$55,K226))</f>
      </c>
      <c r="O226" s="37">
        <f>IF(B226="","",I226*INDEX(PRECIOS!$D$6:$D$55,K226))</f>
      </c>
      <c r="P226" s="37">
        <f>IF(B226="","",N(ENTRADA!$X226))</f>
      </c>
      <c r="Q226" s="70">
        <f>IF(B226="","",M226+N226+O226+P226)</f>
      </c>
      <c r="R226" s="71">
        <f>IF(B226="","",IF(ENTRADA!$J226="",Std_Viajes_Puerto,ENTRADA!$J226))</f>
      </c>
      <c r="S226" s="37">
        <f>IF(B226="","",R226*INDEX(PRECIOS!$F$6:$F$55,K226))</f>
      </c>
      <c r="T226" s="71">
        <f>IF(B226="","",R226*Litros_Puerto_Viaje)</f>
      </c>
      <c r="U226" s="71">
        <f>IF(B226="","",IF(ENTRADA!$K226="",T226,ENTRADA!$K226))</f>
      </c>
      <c r="V226" s="37">
        <f>IF(B226="","",U226*INDEX(PRECIOS!$E$6:$E$55,K226))</f>
      </c>
      <c r="W226" s="37">
        <f>IF(B226="","",IF(ENTRADA!$L226="",R226*INDEX(PRECIOS!$G$6:$G$55,K226),ENTRADA!$L226))</f>
      </c>
      <c r="X226" s="37">
        <f>IF(B226="","",R226*Km_Puerto_Viaje*INDEX(PRECIOS!$N$6:$N$55,K226))</f>
      </c>
      <c r="Y226" s="70">
        <f>IF(B226="","",S226+V226+W226+X226)</f>
      </c>
      <c r="Z226" s="71">
        <f>IF(B226="","",IF(J226=0,0,ROUNDUP(J226/Rend_Desagrupe,0)))</f>
      </c>
      <c r="AA226" s="71">
        <f>IF(B226="","",IF(ENTRADA!$M226="",Z226,ENTRADA!$M226))</f>
      </c>
      <c r="AB226" s="37">
        <f>IF(B226="","",AA226*INDEX(PRECIOS!$H$6:$H$55,K226))</f>
      </c>
      <c r="AC226" s="37">
        <f>IF(B226="","",IF(E226="ENCI",INDEX(PRECIOS!$J$6:$J$55,K226),IF(E226="A.V",INDEX(PRECIOS!$K$6:$K$55,K226),0)))</f>
      </c>
      <c r="AD226" s="37">
        <f>IF(B226="","",N(ENTRADA!$N226))</f>
      </c>
      <c r="AE226" s="70">
        <f>IF(B226="","",AB226+AC226+AD226)</f>
      </c>
      <c r="AF226" s="71">
        <f>IF(B226="","",IF(G226=0,0,ROUNDUP(G226/Cap_Camion_OCC,0)))</f>
      </c>
      <c r="AG226" s="71">
        <f>IF(B226="","",AF226*L_Dist_OCC)</f>
      </c>
      <c r="AH226" s="71">
        <f>IF(B226="","",IF(ENTRADA!$O226="",AG226,ENTRADA!$O226))</f>
      </c>
      <c r="AI226" s="37">
        <f>IF(B226="","",AH226*INDEX(PRECIOS!$E$6:$E$55,K226))</f>
      </c>
      <c r="AJ226" s="71">
        <f>IF(B226="","",IF(H226=0,0,ROUNDUP(H226/Cap_Camion_CEN,0)))</f>
      </c>
      <c r="AK226" s="71">
        <f>IF(B226="","",AJ226*L_Tras_CEN)</f>
      </c>
      <c r="AL226" s="71">
        <f>IF(B226="","",IF(ENTRADA!$P226="",AK226,ENTRADA!$P226))</f>
      </c>
      <c r="AM226" s="71">
        <f>IF(B226="","",AJ226*L_Dist_CEN)</f>
      </c>
      <c r="AN226" s="71">
        <f>IF(B226="","",IF(ENTRADA!$Q226="",AM226,ENTRADA!$Q226))</f>
      </c>
      <c r="AO226" s="37">
        <f>IF(B226="","",(AL226+AN226)*INDEX(PRECIOS!$E$6:$E$55,K226))</f>
      </c>
      <c r="AP226" s="71">
        <f>IF(B226="","",IF(H226=0,0,ROUNDUP(H226/Rend_Desagrupe_CT,0)))</f>
      </c>
      <c r="AQ226" s="71">
        <f>IF(B226="","",IF(ENTRADA!$R226="",AP226,ENTRADA!$R226))</f>
      </c>
      <c r="AR226" s="37">
        <f>IF(B226="","",AQ226*INDEX(PRECIOS!$I$6:$I$55,K226))</f>
      </c>
      <c r="AS226" s="37">
        <f>IF(B226="","",AO226+AR226)</f>
      </c>
      <c r="AT226" s="71">
        <f>IF(B226="","",IF(I226=0,0,ROUNDUP(I226/Cap_Camion_ORI,0)))</f>
      </c>
      <c r="AU226" s="71">
        <f>IF(B226="","",AT226*L_Tras_ORI)</f>
      </c>
      <c r="AV226" s="71">
        <f>IF(B226="","",IF(ENTRADA!$S226="",AU226,ENTRADA!$S226))</f>
      </c>
      <c r="AW226" s="71">
        <f>IF(B226="","",AT226*L_Dist_ORI)</f>
      </c>
      <c r="AX226" s="71">
        <f>IF(B226="","",IF(ENTRADA!$T226="",AW226,ENTRADA!$T226))</f>
      </c>
      <c r="AY226" s="37">
        <f>IF(B226="","",(AV226+AX226)*INDEX(PRECIOS!$E$6:$E$55,K226))</f>
      </c>
      <c r="AZ226" s="71">
        <f>IF(B226="","",IF(I226=0,0,ROUNDUP(I226/Rend_Desagrupe_CT,0)))</f>
      </c>
      <c r="BA226" s="71">
        <f>IF(B226="","",IF(ENTRADA!$U226="",AZ226,ENTRADA!$U226))</f>
      </c>
      <c r="BB226" s="37">
        <f>IF(B226="","",BA226*INDEX(PRECIOS!$I$6:$I$55,K226))</f>
      </c>
      <c r="BC226" s="37">
        <f>IF(B226="","",AY226+BB226)</f>
      </c>
      <c r="BD226" s="70">
        <f>IF(B226="","",AI226+AS226+BC226)</f>
      </c>
      <c r="BE226" s="37">
        <f>IF(B226="","",IF(Base_Comision="% DEL INGRESO",M226*INDEX(PRECIOS!$L$6:$L$55,K226),G226*INDEX(PRECIOS!$M$6:$M$55,K226)))</f>
      </c>
      <c r="BF226" s="37">
        <f>IF(B226="","",IF(Base_Comision="% DEL INGRESO",N226*INDEX(PRECIOS!$L$6:$L$55,K226),H226*INDEX(PRECIOS!$M$6:$M$55,K226)))</f>
      </c>
      <c r="BG226" s="37">
        <f>IF(B226="","",IF(Base_Comision="% DEL INGRESO",O226*INDEX(PRECIOS!$L$6:$L$55,K226),I226*INDEX(PRECIOS!$M$6:$M$55,K226)))</f>
      </c>
      <c r="BH226" s="70">
        <f>IF(B226="","",BE226+BF226+BG226)</f>
      </c>
      <c r="BI226" s="37">
        <f>IF(B226="","",Q226*Pct_Reclamaciones)</f>
      </c>
      <c r="BJ226" s="37">
        <f>IF(B226="","",Q226*Pct_Banco)</f>
      </c>
      <c r="BK226" s="37">
        <f>IF(B226="","",N(ENTRADA!$V226))</f>
      </c>
      <c r="BL226" s="70">
        <f>IF(B226="","",Y226+AE226+BD226+BH226+BI226+BJ226+BK226)</f>
      </c>
      <c r="BM226" s="70">
        <f>IF(B226="","",Q226-BL226)</f>
      </c>
      <c r="BN226" s="72">
        <f>IF(B226="","",IF(Q226=0,0,BM226/Q226))</f>
      </c>
      <c r="BO226" s="73">
        <f>IF(B226="","",IF(J226=0,0,BM226/J226))</f>
      </c>
      <c r="BP226" s="60">
        <f>IF(B226="","",IFERROR(MATCH(D226,COSTOS_FIJOS!$G$5:$AD$5,0),0))</f>
      </c>
      <c r="BQ226" s="60">
        <f>IF(B226="","",COUNTIFS($D$6:$D$305,D226))</f>
      </c>
      <c r="BR226" s="67">
        <f>IF(B226="","",SUMIFS($J$6:$J$305,$D$6:$D$305,D226))</f>
      </c>
      <c r="BS226" s="72">
        <f>IF(B226="","",IF(Metodo_Prorrateo="KG",IF(BR226=0,0,J226/BR226),1/BQ226))</f>
      </c>
      <c r="BT226" s="37">
        <f>IF(B226="","",IF(BP226=0,0,INDEX(COSTOS_FIJOS!$G$38:$AD$38,BP226))*BS226)</f>
      </c>
      <c r="BU226" s="72">
        <f>IF(B226="","",IF(Metodo_Prorrateo="KG",IF(SUMIFS($G$6:$G$305,$D$6:$D$305,D226)=0,0,G226/SUMIFS($G$6:$G$305,$D$6:$D$305,D226)),IF(G226&gt;0,1/COUNTIFS($D$6:$D$305,D226,$G$6:$G$305,"&gt;0"),0)))</f>
      </c>
      <c r="BV226" s="37">
        <f>IF(B226="","",IF(BP226=0,0,INDEX(COSTOS_FIJOS!$G$39:$AD$39,BP226))*BU226)</f>
      </c>
      <c r="BW226" s="72">
        <f>IF(B226="","",IF(Metodo_Prorrateo="KG",IF(SUMIFS($H$6:$H$305,$D$6:$D$305,D226)=0,0,H226/SUMIFS($H$6:$H$305,$D$6:$D$305,D226)),IF(H226&gt;0,1/COUNTIFS($D$6:$D$305,D226,$H$6:$H$305,"&gt;0"),0)))</f>
      </c>
      <c r="BX226" s="37">
        <f>IF(B226="","",IF(BP226=0,0,INDEX(COSTOS_FIJOS!$G$40:$AD$40,BP226))*BW226)</f>
      </c>
      <c r="BY226" s="72">
        <f>IF(B226="","",IF(Metodo_Prorrateo="KG",IF(SUMIFS($I$6:$I$305,$D$6:$D$305,D226)=0,0,I226/SUMIFS($I$6:$I$305,$D$6:$D$305,D226)),IF(I226&gt;0,1/COUNTIFS($D$6:$D$305,D226,$I$6:$I$305,"&gt;0"),0)))</f>
      </c>
      <c r="BZ226" s="37">
        <f>IF(B226="","",IF(BP226=0,0,INDEX(COSTOS_FIJOS!$G$41:$AD$41,BP226))*BY226)</f>
      </c>
      <c r="CA226" s="70">
        <f>IF(B226="","",BT226+BV226+BX226+BZ226)</f>
      </c>
      <c r="CB226" s="37">
        <f>IF(B226="","",Q226*Imp_Ventas_Serv)</f>
      </c>
      <c r="CC226" s="37">
        <f>IF(B226="","",Q226*Contrib_Territorial)</f>
      </c>
      <c r="CD226" s="70">
        <f>IF(B226="","",BM226-CA226-CB226-CC226)</f>
      </c>
      <c r="CE226" s="37">
        <f>IF(B226="","",MAX(0,CD226)*Imp_Utilidades)</f>
      </c>
      <c r="CF226" s="70">
        <f>IF(B226="","",CD226-CE226)</f>
      </c>
      <c r="CG226" s="72">
        <f>IF(B226="","",IF(Q226=0,0,CF226/Q226))</f>
      </c>
      <c r="CH226" s="73">
        <f>IF(B226="","",IF(J226=0,0,(BL226+CA226+CB226+CC226)/J226))</f>
      </c>
      <c r="CI226" s="73">
        <f>IF(B226="","",IF(J226=0,0,Q226/J226))</f>
      </c>
      <c r="CJ226" s="73">
        <f>IF(B226="","",IF(J226=0,0,CD226/J226))</f>
      </c>
      <c r="CK226" s="37">
        <f>IF(B226="","",Y226+AE226+BK226+BT226)</f>
      </c>
      <c r="CL226" s="37">
        <f>IF(B226="","",IF(J226=0,0,(M226+P226*G226/J226)*(1-Pct_Reclamaciones-Pct_Banco-Imp_Ventas_Serv-Contrib_Territorial)-AI226-BE226-BV226-CK226*G226/J226))</f>
      </c>
      <c r="CM226" s="37">
        <f>IF(B226="","",IF(J226=0,0,(N226+P226*H226/J226)*(1-Pct_Reclamaciones-Pct_Banco-Imp_Ventas_Serv-Contrib_Territorial)-AS226-BF226-BX226-CK226*H226/J226))</f>
      </c>
      <c r="CN226" s="37">
        <f>IF(B226="","",IF(J226=0,0,(O226+P226*I226/J226)*(1-Pct_Reclamaciones-Pct_Banco-Imp_Ventas_Serv-Contrib_Territorial)-BC226-BG226-BZ226-CK226*I226/J226))</f>
      </c>
      <c r="CO226" s="37">
        <f>IF(B226="","",IF(J226=0,0,ROUND(CD226-CL226-CM226-CN226,4)))</f>
      </c>
      <c r="CP226" s="71">
        <f>IF(B226="","",T226+AG226+AK226+AM226+AU226+AW226)</f>
      </c>
      <c r="CQ226" s="71">
        <f>IF(B226="","",U226+AH226+AL226+AN226+AV226+AX226)</f>
      </c>
      <c r="CR226" s="72">
        <f>IF(B226="","",IF(CP226=0,0,CQ226/CP226-1))</f>
      </c>
      <c r="CS226" s="60">
        <f>IF(B226="","",IF(ENTRADA!$Y226="","",ENTRADA!$Y226-C226))</f>
      </c>
      <c r="CT226" s="66">
        <f>IF(B226="","",IF(ENTRADA!$C226="","Falta fecha. ","")&amp;IF(BP226=0,"Mes fuera del rango de COSTOS_FIJOS. ","")&amp;IF(J226=0,"Sin kg. ","")&amp;IF(E226="","Falta transitaria. ","")&amp;IF(AND(T226&gt;0,U226/T226-1&gt;Tolerancia_Comb),"Combustible al puerto "&amp;TEXT(U226/T226-1,"+0%")&amp;" sobre norma. ","")&amp;IF(AND(AG226&gt;0,AH226/AG226-1&gt;Tolerancia_Comb),"Combustible distribución Occidente "&amp;TEXT(AH226/AG226-1,"+0%")&amp;" sobre norma. ","")&amp;IF(AND(AK226&gt;0,AL226/AK226-1&gt;Tolerancia_Comb),"Combustible traslado Centro "&amp;TEXT(AL226/AK226-1,"+0%")&amp;" sobre norma. ","")&amp;IF(AND(AM226&gt;0,AN226/AM226-1&gt;Tolerancia_Comb),"Combustible distribución Centro "&amp;TEXT(AN226/AM226-1,"+0%")&amp;" sobre norma. ","")&amp;IF(AND(AU226&gt;0,AV226/AU226-1&gt;Tolerancia_Comb),"Combustible traslado Oriente "&amp;TEXT(AV226/AU226-1,"+0%")&amp;" sobre norma. ","")&amp;IF(AND(AW226&gt;0,AX226/AW226-1&gt;Tolerancia_Comb),"Combustible distribución Oriente "&amp;TEXT(AX226/AW226-1,"+0%")&amp;" sobre norma. ","")&amp;IF(AND(ENTRADA!$C226&lt;&gt;"",C226&lt;PRECIOS!$A$6),"Fecha anterior a la 1ª vigencia de precios. ","")&amp;IF(CD226&lt;0,"Contenedor con pérdida. ",""))</f>
      </c>
    </row>
    <row r="227">
      <c r="A227" s="60">
        <f>IF(B227="","",ROW()-5)</f>
      </c>
      <c r="B227" s="63">
        <f>IF(ENTRADA!$B227="","",ENTRADA!$B227)</f>
      </c>
      <c r="C227" s="64">
        <f>IF(B227="","",ENTRADA!$C227)</f>
      </c>
      <c r="D227" s="65">
        <f>IF(B227="","",DATE(YEAR(C227),MONTH(C227),1))</f>
      </c>
      <c r="E227" s="66">
        <f>IF(B227="","",ENTRADA!$D227&amp;"")</f>
      </c>
      <c r="F227" s="66">
        <f>IF(B227="","",ENTRADA!$Z227&amp;"")</f>
      </c>
      <c r="G227" s="67">
        <f>IF(B227="","",N(ENTRADA!$G227))</f>
      </c>
      <c r="H227" s="67">
        <f>IF(B227="","",N(ENTRADA!$H227))</f>
      </c>
      <c r="I227" s="67">
        <f>IF(B227="","",N(ENTRADA!$I227))</f>
      </c>
      <c r="J227" s="68">
        <f>IF(B227="","",G227+H227+I227)</f>
      </c>
      <c r="K227" s="60">
        <f>IF(B227="","",IFERROR(MATCH(SUMPRODUCT(MAX((PRECIOS!$A$6:$A$55&lt;=C227)*PRECIOS!$A$6:$A$55)),PRECIOS!$A$6:$A$55,0),1))</f>
      </c>
      <c r="L227" s="69">
        <f>IF(B227="","",INDEX(PRECIOS!$A$6:$A$55,K227))</f>
      </c>
      <c r="M227" s="37">
        <f>IF(B227="","",G227*INDEX(PRECIOS!$B$6:$B$55,K227))</f>
      </c>
      <c r="N227" s="37">
        <f>IF(B227="","",H227*INDEX(PRECIOS!$C$6:$C$55,K227))</f>
      </c>
      <c r="O227" s="37">
        <f>IF(B227="","",I227*INDEX(PRECIOS!$D$6:$D$55,K227))</f>
      </c>
      <c r="P227" s="37">
        <f>IF(B227="","",N(ENTRADA!$X227))</f>
      </c>
      <c r="Q227" s="70">
        <f>IF(B227="","",M227+N227+O227+P227)</f>
      </c>
      <c r="R227" s="71">
        <f>IF(B227="","",IF(ENTRADA!$J227="",Std_Viajes_Puerto,ENTRADA!$J227))</f>
      </c>
      <c r="S227" s="37">
        <f>IF(B227="","",R227*INDEX(PRECIOS!$F$6:$F$55,K227))</f>
      </c>
      <c r="T227" s="71">
        <f>IF(B227="","",R227*Litros_Puerto_Viaje)</f>
      </c>
      <c r="U227" s="71">
        <f>IF(B227="","",IF(ENTRADA!$K227="",T227,ENTRADA!$K227))</f>
      </c>
      <c r="V227" s="37">
        <f>IF(B227="","",U227*INDEX(PRECIOS!$E$6:$E$55,K227))</f>
      </c>
      <c r="W227" s="37">
        <f>IF(B227="","",IF(ENTRADA!$L227="",R227*INDEX(PRECIOS!$G$6:$G$55,K227),ENTRADA!$L227))</f>
      </c>
      <c r="X227" s="37">
        <f>IF(B227="","",R227*Km_Puerto_Viaje*INDEX(PRECIOS!$N$6:$N$55,K227))</f>
      </c>
      <c r="Y227" s="70">
        <f>IF(B227="","",S227+V227+W227+X227)</f>
      </c>
      <c r="Z227" s="71">
        <f>IF(B227="","",IF(J227=0,0,ROUNDUP(J227/Rend_Desagrupe,0)))</f>
      </c>
      <c r="AA227" s="71">
        <f>IF(B227="","",IF(ENTRADA!$M227="",Z227,ENTRADA!$M227))</f>
      </c>
      <c r="AB227" s="37">
        <f>IF(B227="","",AA227*INDEX(PRECIOS!$H$6:$H$55,K227))</f>
      </c>
      <c r="AC227" s="37">
        <f>IF(B227="","",IF(E227="ENCI",INDEX(PRECIOS!$J$6:$J$55,K227),IF(E227="A.V",INDEX(PRECIOS!$K$6:$K$55,K227),0)))</f>
      </c>
      <c r="AD227" s="37">
        <f>IF(B227="","",N(ENTRADA!$N227))</f>
      </c>
      <c r="AE227" s="70">
        <f>IF(B227="","",AB227+AC227+AD227)</f>
      </c>
      <c r="AF227" s="71">
        <f>IF(B227="","",IF(G227=0,0,ROUNDUP(G227/Cap_Camion_OCC,0)))</f>
      </c>
      <c r="AG227" s="71">
        <f>IF(B227="","",AF227*L_Dist_OCC)</f>
      </c>
      <c r="AH227" s="71">
        <f>IF(B227="","",IF(ENTRADA!$O227="",AG227,ENTRADA!$O227))</f>
      </c>
      <c r="AI227" s="37">
        <f>IF(B227="","",AH227*INDEX(PRECIOS!$E$6:$E$55,K227))</f>
      </c>
      <c r="AJ227" s="71">
        <f>IF(B227="","",IF(H227=0,0,ROUNDUP(H227/Cap_Camion_CEN,0)))</f>
      </c>
      <c r="AK227" s="71">
        <f>IF(B227="","",AJ227*L_Tras_CEN)</f>
      </c>
      <c r="AL227" s="71">
        <f>IF(B227="","",IF(ENTRADA!$P227="",AK227,ENTRADA!$P227))</f>
      </c>
      <c r="AM227" s="71">
        <f>IF(B227="","",AJ227*L_Dist_CEN)</f>
      </c>
      <c r="AN227" s="71">
        <f>IF(B227="","",IF(ENTRADA!$Q227="",AM227,ENTRADA!$Q227))</f>
      </c>
      <c r="AO227" s="37">
        <f>IF(B227="","",(AL227+AN227)*INDEX(PRECIOS!$E$6:$E$55,K227))</f>
      </c>
      <c r="AP227" s="71">
        <f>IF(B227="","",IF(H227=0,0,ROUNDUP(H227/Rend_Desagrupe_CT,0)))</f>
      </c>
      <c r="AQ227" s="71">
        <f>IF(B227="","",IF(ENTRADA!$R227="",AP227,ENTRADA!$R227))</f>
      </c>
      <c r="AR227" s="37">
        <f>IF(B227="","",AQ227*INDEX(PRECIOS!$I$6:$I$55,K227))</f>
      </c>
      <c r="AS227" s="37">
        <f>IF(B227="","",AO227+AR227)</f>
      </c>
      <c r="AT227" s="71">
        <f>IF(B227="","",IF(I227=0,0,ROUNDUP(I227/Cap_Camion_ORI,0)))</f>
      </c>
      <c r="AU227" s="71">
        <f>IF(B227="","",AT227*L_Tras_ORI)</f>
      </c>
      <c r="AV227" s="71">
        <f>IF(B227="","",IF(ENTRADA!$S227="",AU227,ENTRADA!$S227))</f>
      </c>
      <c r="AW227" s="71">
        <f>IF(B227="","",AT227*L_Dist_ORI)</f>
      </c>
      <c r="AX227" s="71">
        <f>IF(B227="","",IF(ENTRADA!$T227="",AW227,ENTRADA!$T227))</f>
      </c>
      <c r="AY227" s="37">
        <f>IF(B227="","",(AV227+AX227)*INDEX(PRECIOS!$E$6:$E$55,K227))</f>
      </c>
      <c r="AZ227" s="71">
        <f>IF(B227="","",IF(I227=0,0,ROUNDUP(I227/Rend_Desagrupe_CT,0)))</f>
      </c>
      <c r="BA227" s="71">
        <f>IF(B227="","",IF(ENTRADA!$U227="",AZ227,ENTRADA!$U227))</f>
      </c>
      <c r="BB227" s="37">
        <f>IF(B227="","",BA227*INDEX(PRECIOS!$I$6:$I$55,K227))</f>
      </c>
      <c r="BC227" s="37">
        <f>IF(B227="","",AY227+BB227)</f>
      </c>
      <c r="BD227" s="70">
        <f>IF(B227="","",AI227+AS227+BC227)</f>
      </c>
      <c r="BE227" s="37">
        <f>IF(B227="","",IF(Base_Comision="% DEL INGRESO",M227*INDEX(PRECIOS!$L$6:$L$55,K227),G227*INDEX(PRECIOS!$M$6:$M$55,K227)))</f>
      </c>
      <c r="BF227" s="37">
        <f>IF(B227="","",IF(Base_Comision="% DEL INGRESO",N227*INDEX(PRECIOS!$L$6:$L$55,K227),H227*INDEX(PRECIOS!$M$6:$M$55,K227)))</f>
      </c>
      <c r="BG227" s="37">
        <f>IF(B227="","",IF(Base_Comision="% DEL INGRESO",O227*INDEX(PRECIOS!$L$6:$L$55,K227),I227*INDEX(PRECIOS!$M$6:$M$55,K227)))</f>
      </c>
      <c r="BH227" s="70">
        <f>IF(B227="","",BE227+BF227+BG227)</f>
      </c>
      <c r="BI227" s="37">
        <f>IF(B227="","",Q227*Pct_Reclamaciones)</f>
      </c>
      <c r="BJ227" s="37">
        <f>IF(B227="","",Q227*Pct_Banco)</f>
      </c>
      <c r="BK227" s="37">
        <f>IF(B227="","",N(ENTRADA!$V227))</f>
      </c>
      <c r="BL227" s="70">
        <f>IF(B227="","",Y227+AE227+BD227+BH227+BI227+BJ227+BK227)</f>
      </c>
      <c r="BM227" s="70">
        <f>IF(B227="","",Q227-BL227)</f>
      </c>
      <c r="BN227" s="72">
        <f>IF(B227="","",IF(Q227=0,0,BM227/Q227))</f>
      </c>
      <c r="BO227" s="73">
        <f>IF(B227="","",IF(J227=0,0,BM227/J227))</f>
      </c>
      <c r="BP227" s="60">
        <f>IF(B227="","",IFERROR(MATCH(D227,COSTOS_FIJOS!$G$5:$AD$5,0),0))</f>
      </c>
      <c r="BQ227" s="60">
        <f>IF(B227="","",COUNTIFS($D$6:$D$305,D227))</f>
      </c>
      <c r="BR227" s="67">
        <f>IF(B227="","",SUMIFS($J$6:$J$305,$D$6:$D$305,D227))</f>
      </c>
      <c r="BS227" s="72">
        <f>IF(B227="","",IF(Metodo_Prorrateo="KG",IF(BR227=0,0,J227/BR227),1/BQ227))</f>
      </c>
      <c r="BT227" s="37">
        <f>IF(B227="","",IF(BP227=0,0,INDEX(COSTOS_FIJOS!$G$38:$AD$38,BP227))*BS227)</f>
      </c>
      <c r="BU227" s="72">
        <f>IF(B227="","",IF(Metodo_Prorrateo="KG",IF(SUMIFS($G$6:$G$305,$D$6:$D$305,D227)=0,0,G227/SUMIFS($G$6:$G$305,$D$6:$D$305,D227)),IF(G227&gt;0,1/COUNTIFS($D$6:$D$305,D227,$G$6:$G$305,"&gt;0"),0)))</f>
      </c>
      <c r="BV227" s="37">
        <f>IF(B227="","",IF(BP227=0,0,INDEX(COSTOS_FIJOS!$G$39:$AD$39,BP227))*BU227)</f>
      </c>
      <c r="BW227" s="72">
        <f>IF(B227="","",IF(Metodo_Prorrateo="KG",IF(SUMIFS($H$6:$H$305,$D$6:$D$305,D227)=0,0,H227/SUMIFS($H$6:$H$305,$D$6:$D$305,D227)),IF(H227&gt;0,1/COUNTIFS($D$6:$D$305,D227,$H$6:$H$305,"&gt;0"),0)))</f>
      </c>
      <c r="BX227" s="37">
        <f>IF(B227="","",IF(BP227=0,0,INDEX(COSTOS_FIJOS!$G$40:$AD$40,BP227))*BW227)</f>
      </c>
      <c r="BY227" s="72">
        <f>IF(B227="","",IF(Metodo_Prorrateo="KG",IF(SUMIFS($I$6:$I$305,$D$6:$D$305,D227)=0,0,I227/SUMIFS($I$6:$I$305,$D$6:$D$305,D227)),IF(I227&gt;0,1/COUNTIFS($D$6:$D$305,D227,$I$6:$I$305,"&gt;0"),0)))</f>
      </c>
      <c r="BZ227" s="37">
        <f>IF(B227="","",IF(BP227=0,0,INDEX(COSTOS_FIJOS!$G$41:$AD$41,BP227))*BY227)</f>
      </c>
      <c r="CA227" s="70">
        <f>IF(B227="","",BT227+BV227+BX227+BZ227)</f>
      </c>
      <c r="CB227" s="37">
        <f>IF(B227="","",Q227*Imp_Ventas_Serv)</f>
      </c>
      <c r="CC227" s="37">
        <f>IF(B227="","",Q227*Contrib_Territorial)</f>
      </c>
      <c r="CD227" s="70">
        <f>IF(B227="","",BM227-CA227-CB227-CC227)</f>
      </c>
      <c r="CE227" s="37">
        <f>IF(B227="","",MAX(0,CD227)*Imp_Utilidades)</f>
      </c>
      <c r="CF227" s="70">
        <f>IF(B227="","",CD227-CE227)</f>
      </c>
      <c r="CG227" s="72">
        <f>IF(B227="","",IF(Q227=0,0,CF227/Q227))</f>
      </c>
      <c r="CH227" s="73">
        <f>IF(B227="","",IF(J227=0,0,(BL227+CA227+CB227+CC227)/J227))</f>
      </c>
      <c r="CI227" s="73">
        <f>IF(B227="","",IF(J227=0,0,Q227/J227))</f>
      </c>
      <c r="CJ227" s="73">
        <f>IF(B227="","",IF(J227=0,0,CD227/J227))</f>
      </c>
      <c r="CK227" s="37">
        <f>IF(B227="","",Y227+AE227+BK227+BT227)</f>
      </c>
      <c r="CL227" s="37">
        <f>IF(B227="","",IF(J227=0,0,(M227+P227*G227/J227)*(1-Pct_Reclamaciones-Pct_Banco-Imp_Ventas_Serv-Contrib_Territorial)-AI227-BE227-BV227-CK227*G227/J227))</f>
      </c>
      <c r="CM227" s="37">
        <f>IF(B227="","",IF(J227=0,0,(N227+P227*H227/J227)*(1-Pct_Reclamaciones-Pct_Banco-Imp_Ventas_Serv-Contrib_Territorial)-AS227-BF227-BX227-CK227*H227/J227))</f>
      </c>
      <c r="CN227" s="37">
        <f>IF(B227="","",IF(J227=0,0,(O227+P227*I227/J227)*(1-Pct_Reclamaciones-Pct_Banco-Imp_Ventas_Serv-Contrib_Territorial)-BC227-BG227-BZ227-CK227*I227/J227))</f>
      </c>
      <c r="CO227" s="37">
        <f>IF(B227="","",IF(J227=0,0,ROUND(CD227-CL227-CM227-CN227,4)))</f>
      </c>
      <c r="CP227" s="71">
        <f>IF(B227="","",T227+AG227+AK227+AM227+AU227+AW227)</f>
      </c>
      <c r="CQ227" s="71">
        <f>IF(B227="","",U227+AH227+AL227+AN227+AV227+AX227)</f>
      </c>
      <c r="CR227" s="72">
        <f>IF(B227="","",IF(CP227=0,0,CQ227/CP227-1))</f>
      </c>
      <c r="CS227" s="60">
        <f>IF(B227="","",IF(ENTRADA!$Y227="","",ENTRADA!$Y227-C227))</f>
      </c>
      <c r="CT227" s="66">
        <f>IF(B227="","",IF(ENTRADA!$C227="","Falta fecha. ","")&amp;IF(BP227=0,"Mes fuera del rango de COSTOS_FIJOS. ","")&amp;IF(J227=0,"Sin kg. ","")&amp;IF(E227="","Falta transitaria. ","")&amp;IF(AND(T227&gt;0,U227/T227-1&gt;Tolerancia_Comb),"Combustible al puerto "&amp;TEXT(U227/T227-1,"+0%")&amp;" sobre norma. ","")&amp;IF(AND(AG227&gt;0,AH227/AG227-1&gt;Tolerancia_Comb),"Combustible distribución Occidente "&amp;TEXT(AH227/AG227-1,"+0%")&amp;" sobre norma. ","")&amp;IF(AND(AK227&gt;0,AL227/AK227-1&gt;Tolerancia_Comb),"Combustible traslado Centro "&amp;TEXT(AL227/AK227-1,"+0%")&amp;" sobre norma. ","")&amp;IF(AND(AM227&gt;0,AN227/AM227-1&gt;Tolerancia_Comb),"Combustible distribución Centro "&amp;TEXT(AN227/AM227-1,"+0%")&amp;" sobre norma. ","")&amp;IF(AND(AU227&gt;0,AV227/AU227-1&gt;Tolerancia_Comb),"Combustible traslado Oriente "&amp;TEXT(AV227/AU227-1,"+0%")&amp;" sobre norma. ","")&amp;IF(AND(AW227&gt;0,AX227/AW227-1&gt;Tolerancia_Comb),"Combustible distribución Oriente "&amp;TEXT(AX227/AW227-1,"+0%")&amp;" sobre norma. ","")&amp;IF(AND(ENTRADA!$C227&lt;&gt;"",C227&lt;PRECIOS!$A$6),"Fecha anterior a la 1ª vigencia de precios. ","")&amp;IF(CD227&lt;0,"Contenedor con pérdida. ",""))</f>
      </c>
    </row>
    <row r="228">
      <c r="A228" s="60">
        <f>IF(B228="","",ROW()-5)</f>
      </c>
      <c r="B228" s="63">
        <f>IF(ENTRADA!$B228="","",ENTRADA!$B228)</f>
      </c>
      <c r="C228" s="64">
        <f>IF(B228="","",ENTRADA!$C228)</f>
      </c>
      <c r="D228" s="65">
        <f>IF(B228="","",DATE(YEAR(C228),MONTH(C228),1))</f>
      </c>
      <c r="E228" s="66">
        <f>IF(B228="","",ENTRADA!$D228&amp;"")</f>
      </c>
      <c r="F228" s="66">
        <f>IF(B228="","",ENTRADA!$Z228&amp;"")</f>
      </c>
      <c r="G228" s="67">
        <f>IF(B228="","",N(ENTRADA!$G228))</f>
      </c>
      <c r="H228" s="67">
        <f>IF(B228="","",N(ENTRADA!$H228))</f>
      </c>
      <c r="I228" s="67">
        <f>IF(B228="","",N(ENTRADA!$I228))</f>
      </c>
      <c r="J228" s="68">
        <f>IF(B228="","",G228+H228+I228)</f>
      </c>
      <c r="K228" s="60">
        <f>IF(B228="","",IFERROR(MATCH(SUMPRODUCT(MAX((PRECIOS!$A$6:$A$55&lt;=C228)*PRECIOS!$A$6:$A$55)),PRECIOS!$A$6:$A$55,0),1))</f>
      </c>
      <c r="L228" s="69">
        <f>IF(B228="","",INDEX(PRECIOS!$A$6:$A$55,K228))</f>
      </c>
      <c r="M228" s="37">
        <f>IF(B228="","",G228*INDEX(PRECIOS!$B$6:$B$55,K228))</f>
      </c>
      <c r="N228" s="37">
        <f>IF(B228="","",H228*INDEX(PRECIOS!$C$6:$C$55,K228))</f>
      </c>
      <c r="O228" s="37">
        <f>IF(B228="","",I228*INDEX(PRECIOS!$D$6:$D$55,K228))</f>
      </c>
      <c r="P228" s="37">
        <f>IF(B228="","",N(ENTRADA!$X228))</f>
      </c>
      <c r="Q228" s="70">
        <f>IF(B228="","",M228+N228+O228+P228)</f>
      </c>
      <c r="R228" s="71">
        <f>IF(B228="","",IF(ENTRADA!$J228="",Std_Viajes_Puerto,ENTRADA!$J228))</f>
      </c>
      <c r="S228" s="37">
        <f>IF(B228="","",R228*INDEX(PRECIOS!$F$6:$F$55,K228))</f>
      </c>
      <c r="T228" s="71">
        <f>IF(B228="","",R228*Litros_Puerto_Viaje)</f>
      </c>
      <c r="U228" s="71">
        <f>IF(B228="","",IF(ENTRADA!$K228="",T228,ENTRADA!$K228))</f>
      </c>
      <c r="V228" s="37">
        <f>IF(B228="","",U228*INDEX(PRECIOS!$E$6:$E$55,K228))</f>
      </c>
      <c r="W228" s="37">
        <f>IF(B228="","",IF(ENTRADA!$L228="",R228*INDEX(PRECIOS!$G$6:$G$55,K228),ENTRADA!$L228))</f>
      </c>
      <c r="X228" s="37">
        <f>IF(B228="","",R228*Km_Puerto_Viaje*INDEX(PRECIOS!$N$6:$N$55,K228))</f>
      </c>
      <c r="Y228" s="70">
        <f>IF(B228="","",S228+V228+W228+X228)</f>
      </c>
      <c r="Z228" s="71">
        <f>IF(B228="","",IF(J228=0,0,ROUNDUP(J228/Rend_Desagrupe,0)))</f>
      </c>
      <c r="AA228" s="71">
        <f>IF(B228="","",IF(ENTRADA!$M228="",Z228,ENTRADA!$M228))</f>
      </c>
      <c r="AB228" s="37">
        <f>IF(B228="","",AA228*INDEX(PRECIOS!$H$6:$H$55,K228))</f>
      </c>
      <c r="AC228" s="37">
        <f>IF(B228="","",IF(E228="ENCI",INDEX(PRECIOS!$J$6:$J$55,K228),IF(E228="A.V",INDEX(PRECIOS!$K$6:$K$55,K228),0)))</f>
      </c>
      <c r="AD228" s="37">
        <f>IF(B228="","",N(ENTRADA!$N228))</f>
      </c>
      <c r="AE228" s="70">
        <f>IF(B228="","",AB228+AC228+AD228)</f>
      </c>
      <c r="AF228" s="71">
        <f>IF(B228="","",IF(G228=0,0,ROUNDUP(G228/Cap_Camion_OCC,0)))</f>
      </c>
      <c r="AG228" s="71">
        <f>IF(B228="","",AF228*L_Dist_OCC)</f>
      </c>
      <c r="AH228" s="71">
        <f>IF(B228="","",IF(ENTRADA!$O228="",AG228,ENTRADA!$O228))</f>
      </c>
      <c r="AI228" s="37">
        <f>IF(B228="","",AH228*INDEX(PRECIOS!$E$6:$E$55,K228))</f>
      </c>
      <c r="AJ228" s="71">
        <f>IF(B228="","",IF(H228=0,0,ROUNDUP(H228/Cap_Camion_CEN,0)))</f>
      </c>
      <c r="AK228" s="71">
        <f>IF(B228="","",AJ228*L_Tras_CEN)</f>
      </c>
      <c r="AL228" s="71">
        <f>IF(B228="","",IF(ENTRADA!$P228="",AK228,ENTRADA!$P228))</f>
      </c>
      <c r="AM228" s="71">
        <f>IF(B228="","",AJ228*L_Dist_CEN)</f>
      </c>
      <c r="AN228" s="71">
        <f>IF(B228="","",IF(ENTRADA!$Q228="",AM228,ENTRADA!$Q228))</f>
      </c>
      <c r="AO228" s="37">
        <f>IF(B228="","",(AL228+AN228)*INDEX(PRECIOS!$E$6:$E$55,K228))</f>
      </c>
      <c r="AP228" s="71">
        <f>IF(B228="","",IF(H228=0,0,ROUNDUP(H228/Rend_Desagrupe_CT,0)))</f>
      </c>
      <c r="AQ228" s="71">
        <f>IF(B228="","",IF(ENTRADA!$R228="",AP228,ENTRADA!$R228))</f>
      </c>
      <c r="AR228" s="37">
        <f>IF(B228="","",AQ228*INDEX(PRECIOS!$I$6:$I$55,K228))</f>
      </c>
      <c r="AS228" s="37">
        <f>IF(B228="","",AO228+AR228)</f>
      </c>
      <c r="AT228" s="71">
        <f>IF(B228="","",IF(I228=0,0,ROUNDUP(I228/Cap_Camion_ORI,0)))</f>
      </c>
      <c r="AU228" s="71">
        <f>IF(B228="","",AT228*L_Tras_ORI)</f>
      </c>
      <c r="AV228" s="71">
        <f>IF(B228="","",IF(ENTRADA!$S228="",AU228,ENTRADA!$S228))</f>
      </c>
      <c r="AW228" s="71">
        <f>IF(B228="","",AT228*L_Dist_ORI)</f>
      </c>
      <c r="AX228" s="71">
        <f>IF(B228="","",IF(ENTRADA!$T228="",AW228,ENTRADA!$T228))</f>
      </c>
      <c r="AY228" s="37">
        <f>IF(B228="","",(AV228+AX228)*INDEX(PRECIOS!$E$6:$E$55,K228))</f>
      </c>
      <c r="AZ228" s="71">
        <f>IF(B228="","",IF(I228=0,0,ROUNDUP(I228/Rend_Desagrupe_CT,0)))</f>
      </c>
      <c r="BA228" s="71">
        <f>IF(B228="","",IF(ENTRADA!$U228="",AZ228,ENTRADA!$U228))</f>
      </c>
      <c r="BB228" s="37">
        <f>IF(B228="","",BA228*INDEX(PRECIOS!$I$6:$I$55,K228))</f>
      </c>
      <c r="BC228" s="37">
        <f>IF(B228="","",AY228+BB228)</f>
      </c>
      <c r="BD228" s="70">
        <f>IF(B228="","",AI228+AS228+BC228)</f>
      </c>
      <c r="BE228" s="37">
        <f>IF(B228="","",IF(Base_Comision="% DEL INGRESO",M228*INDEX(PRECIOS!$L$6:$L$55,K228),G228*INDEX(PRECIOS!$M$6:$M$55,K228)))</f>
      </c>
      <c r="BF228" s="37">
        <f>IF(B228="","",IF(Base_Comision="% DEL INGRESO",N228*INDEX(PRECIOS!$L$6:$L$55,K228),H228*INDEX(PRECIOS!$M$6:$M$55,K228)))</f>
      </c>
      <c r="BG228" s="37">
        <f>IF(B228="","",IF(Base_Comision="% DEL INGRESO",O228*INDEX(PRECIOS!$L$6:$L$55,K228),I228*INDEX(PRECIOS!$M$6:$M$55,K228)))</f>
      </c>
      <c r="BH228" s="70">
        <f>IF(B228="","",BE228+BF228+BG228)</f>
      </c>
      <c r="BI228" s="37">
        <f>IF(B228="","",Q228*Pct_Reclamaciones)</f>
      </c>
      <c r="BJ228" s="37">
        <f>IF(B228="","",Q228*Pct_Banco)</f>
      </c>
      <c r="BK228" s="37">
        <f>IF(B228="","",N(ENTRADA!$V228))</f>
      </c>
      <c r="BL228" s="70">
        <f>IF(B228="","",Y228+AE228+BD228+BH228+BI228+BJ228+BK228)</f>
      </c>
      <c r="BM228" s="70">
        <f>IF(B228="","",Q228-BL228)</f>
      </c>
      <c r="BN228" s="72">
        <f>IF(B228="","",IF(Q228=0,0,BM228/Q228))</f>
      </c>
      <c r="BO228" s="73">
        <f>IF(B228="","",IF(J228=0,0,BM228/J228))</f>
      </c>
      <c r="BP228" s="60">
        <f>IF(B228="","",IFERROR(MATCH(D228,COSTOS_FIJOS!$G$5:$AD$5,0),0))</f>
      </c>
      <c r="BQ228" s="60">
        <f>IF(B228="","",COUNTIFS($D$6:$D$305,D228))</f>
      </c>
      <c r="BR228" s="67">
        <f>IF(B228="","",SUMIFS($J$6:$J$305,$D$6:$D$305,D228))</f>
      </c>
      <c r="BS228" s="72">
        <f>IF(B228="","",IF(Metodo_Prorrateo="KG",IF(BR228=0,0,J228/BR228),1/BQ228))</f>
      </c>
      <c r="BT228" s="37">
        <f>IF(B228="","",IF(BP228=0,0,INDEX(COSTOS_FIJOS!$G$38:$AD$38,BP228))*BS228)</f>
      </c>
      <c r="BU228" s="72">
        <f>IF(B228="","",IF(Metodo_Prorrateo="KG",IF(SUMIFS($G$6:$G$305,$D$6:$D$305,D228)=0,0,G228/SUMIFS($G$6:$G$305,$D$6:$D$305,D228)),IF(G228&gt;0,1/COUNTIFS($D$6:$D$305,D228,$G$6:$G$305,"&gt;0"),0)))</f>
      </c>
      <c r="BV228" s="37">
        <f>IF(B228="","",IF(BP228=0,0,INDEX(COSTOS_FIJOS!$G$39:$AD$39,BP228))*BU228)</f>
      </c>
      <c r="BW228" s="72">
        <f>IF(B228="","",IF(Metodo_Prorrateo="KG",IF(SUMIFS($H$6:$H$305,$D$6:$D$305,D228)=0,0,H228/SUMIFS($H$6:$H$305,$D$6:$D$305,D228)),IF(H228&gt;0,1/COUNTIFS($D$6:$D$305,D228,$H$6:$H$305,"&gt;0"),0)))</f>
      </c>
      <c r="BX228" s="37">
        <f>IF(B228="","",IF(BP228=0,0,INDEX(COSTOS_FIJOS!$G$40:$AD$40,BP228))*BW228)</f>
      </c>
      <c r="BY228" s="72">
        <f>IF(B228="","",IF(Metodo_Prorrateo="KG",IF(SUMIFS($I$6:$I$305,$D$6:$D$305,D228)=0,0,I228/SUMIFS($I$6:$I$305,$D$6:$D$305,D228)),IF(I228&gt;0,1/COUNTIFS($D$6:$D$305,D228,$I$6:$I$305,"&gt;0"),0)))</f>
      </c>
      <c r="BZ228" s="37">
        <f>IF(B228="","",IF(BP228=0,0,INDEX(COSTOS_FIJOS!$G$41:$AD$41,BP228))*BY228)</f>
      </c>
      <c r="CA228" s="70">
        <f>IF(B228="","",BT228+BV228+BX228+BZ228)</f>
      </c>
      <c r="CB228" s="37">
        <f>IF(B228="","",Q228*Imp_Ventas_Serv)</f>
      </c>
      <c r="CC228" s="37">
        <f>IF(B228="","",Q228*Contrib_Territorial)</f>
      </c>
      <c r="CD228" s="70">
        <f>IF(B228="","",BM228-CA228-CB228-CC228)</f>
      </c>
      <c r="CE228" s="37">
        <f>IF(B228="","",MAX(0,CD228)*Imp_Utilidades)</f>
      </c>
      <c r="CF228" s="70">
        <f>IF(B228="","",CD228-CE228)</f>
      </c>
      <c r="CG228" s="72">
        <f>IF(B228="","",IF(Q228=0,0,CF228/Q228))</f>
      </c>
      <c r="CH228" s="73">
        <f>IF(B228="","",IF(J228=0,0,(BL228+CA228+CB228+CC228)/J228))</f>
      </c>
      <c r="CI228" s="73">
        <f>IF(B228="","",IF(J228=0,0,Q228/J228))</f>
      </c>
      <c r="CJ228" s="73">
        <f>IF(B228="","",IF(J228=0,0,CD228/J228))</f>
      </c>
      <c r="CK228" s="37">
        <f>IF(B228="","",Y228+AE228+BK228+BT228)</f>
      </c>
      <c r="CL228" s="37">
        <f>IF(B228="","",IF(J228=0,0,(M228+P228*G228/J228)*(1-Pct_Reclamaciones-Pct_Banco-Imp_Ventas_Serv-Contrib_Territorial)-AI228-BE228-BV228-CK228*G228/J228))</f>
      </c>
      <c r="CM228" s="37">
        <f>IF(B228="","",IF(J228=0,0,(N228+P228*H228/J228)*(1-Pct_Reclamaciones-Pct_Banco-Imp_Ventas_Serv-Contrib_Territorial)-AS228-BF228-BX228-CK228*H228/J228))</f>
      </c>
      <c r="CN228" s="37">
        <f>IF(B228="","",IF(J228=0,0,(O228+P228*I228/J228)*(1-Pct_Reclamaciones-Pct_Banco-Imp_Ventas_Serv-Contrib_Territorial)-BC228-BG228-BZ228-CK228*I228/J228))</f>
      </c>
      <c r="CO228" s="37">
        <f>IF(B228="","",IF(J228=0,0,ROUND(CD228-CL228-CM228-CN228,4)))</f>
      </c>
      <c r="CP228" s="71">
        <f>IF(B228="","",T228+AG228+AK228+AM228+AU228+AW228)</f>
      </c>
      <c r="CQ228" s="71">
        <f>IF(B228="","",U228+AH228+AL228+AN228+AV228+AX228)</f>
      </c>
      <c r="CR228" s="72">
        <f>IF(B228="","",IF(CP228=0,0,CQ228/CP228-1))</f>
      </c>
      <c r="CS228" s="60">
        <f>IF(B228="","",IF(ENTRADA!$Y228="","",ENTRADA!$Y228-C228))</f>
      </c>
      <c r="CT228" s="66">
        <f>IF(B228="","",IF(ENTRADA!$C228="","Falta fecha. ","")&amp;IF(BP228=0,"Mes fuera del rango de COSTOS_FIJOS. ","")&amp;IF(J228=0,"Sin kg. ","")&amp;IF(E228="","Falta transitaria. ","")&amp;IF(AND(T228&gt;0,U228/T228-1&gt;Tolerancia_Comb),"Combustible al puerto "&amp;TEXT(U228/T228-1,"+0%")&amp;" sobre norma. ","")&amp;IF(AND(AG228&gt;0,AH228/AG228-1&gt;Tolerancia_Comb),"Combustible distribución Occidente "&amp;TEXT(AH228/AG228-1,"+0%")&amp;" sobre norma. ","")&amp;IF(AND(AK228&gt;0,AL228/AK228-1&gt;Tolerancia_Comb),"Combustible traslado Centro "&amp;TEXT(AL228/AK228-1,"+0%")&amp;" sobre norma. ","")&amp;IF(AND(AM228&gt;0,AN228/AM228-1&gt;Tolerancia_Comb),"Combustible distribución Centro "&amp;TEXT(AN228/AM228-1,"+0%")&amp;" sobre norma. ","")&amp;IF(AND(AU228&gt;0,AV228/AU228-1&gt;Tolerancia_Comb),"Combustible traslado Oriente "&amp;TEXT(AV228/AU228-1,"+0%")&amp;" sobre norma. ","")&amp;IF(AND(AW228&gt;0,AX228/AW228-1&gt;Tolerancia_Comb),"Combustible distribución Oriente "&amp;TEXT(AX228/AW228-1,"+0%")&amp;" sobre norma. ","")&amp;IF(AND(ENTRADA!$C228&lt;&gt;"",C228&lt;PRECIOS!$A$6),"Fecha anterior a la 1ª vigencia de precios. ","")&amp;IF(CD228&lt;0,"Contenedor con pérdida. ",""))</f>
      </c>
    </row>
    <row r="229">
      <c r="A229" s="60">
        <f>IF(B229="","",ROW()-5)</f>
      </c>
      <c r="B229" s="63">
        <f>IF(ENTRADA!$B229="","",ENTRADA!$B229)</f>
      </c>
      <c r="C229" s="64">
        <f>IF(B229="","",ENTRADA!$C229)</f>
      </c>
      <c r="D229" s="65">
        <f>IF(B229="","",DATE(YEAR(C229),MONTH(C229),1))</f>
      </c>
      <c r="E229" s="66">
        <f>IF(B229="","",ENTRADA!$D229&amp;"")</f>
      </c>
      <c r="F229" s="66">
        <f>IF(B229="","",ENTRADA!$Z229&amp;"")</f>
      </c>
      <c r="G229" s="67">
        <f>IF(B229="","",N(ENTRADA!$G229))</f>
      </c>
      <c r="H229" s="67">
        <f>IF(B229="","",N(ENTRADA!$H229))</f>
      </c>
      <c r="I229" s="67">
        <f>IF(B229="","",N(ENTRADA!$I229))</f>
      </c>
      <c r="J229" s="68">
        <f>IF(B229="","",G229+H229+I229)</f>
      </c>
      <c r="K229" s="60">
        <f>IF(B229="","",IFERROR(MATCH(SUMPRODUCT(MAX((PRECIOS!$A$6:$A$55&lt;=C229)*PRECIOS!$A$6:$A$55)),PRECIOS!$A$6:$A$55,0),1))</f>
      </c>
      <c r="L229" s="69">
        <f>IF(B229="","",INDEX(PRECIOS!$A$6:$A$55,K229))</f>
      </c>
      <c r="M229" s="37">
        <f>IF(B229="","",G229*INDEX(PRECIOS!$B$6:$B$55,K229))</f>
      </c>
      <c r="N229" s="37">
        <f>IF(B229="","",H229*INDEX(PRECIOS!$C$6:$C$55,K229))</f>
      </c>
      <c r="O229" s="37">
        <f>IF(B229="","",I229*INDEX(PRECIOS!$D$6:$D$55,K229))</f>
      </c>
      <c r="P229" s="37">
        <f>IF(B229="","",N(ENTRADA!$X229))</f>
      </c>
      <c r="Q229" s="70">
        <f>IF(B229="","",M229+N229+O229+P229)</f>
      </c>
      <c r="R229" s="71">
        <f>IF(B229="","",IF(ENTRADA!$J229="",Std_Viajes_Puerto,ENTRADA!$J229))</f>
      </c>
      <c r="S229" s="37">
        <f>IF(B229="","",R229*INDEX(PRECIOS!$F$6:$F$55,K229))</f>
      </c>
      <c r="T229" s="71">
        <f>IF(B229="","",R229*Litros_Puerto_Viaje)</f>
      </c>
      <c r="U229" s="71">
        <f>IF(B229="","",IF(ENTRADA!$K229="",T229,ENTRADA!$K229))</f>
      </c>
      <c r="V229" s="37">
        <f>IF(B229="","",U229*INDEX(PRECIOS!$E$6:$E$55,K229))</f>
      </c>
      <c r="W229" s="37">
        <f>IF(B229="","",IF(ENTRADA!$L229="",R229*INDEX(PRECIOS!$G$6:$G$55,K229),ENTRADA!$L229))</f>
      </c>
      <c r="X229" s="37">
        <f>IF(B229="","",R229*Km_Puerto_Viaje*INDEX(PRECIOS!$N$6:$N$55,K229))</f>
      </c>
      <c r="Y229" s="70">
        <f>IF(B229="","",S229+V229+W229+X229)</f>
      </c>
      <c r="Z229" s="71">
        <f>IF(B229="","",IF(J229=0,0,ROUNDUP(J229/Rend_Desagrupe,0)))</f>
      </c>
      <c r="AA229" s="71">
        <f>IF(B229="","",IF(ENTRADA!$M229="",Z229,ENTRADA!$M229))</f>
      </c>
      <c r="AB229" s="37">
        <f>IF(B229="","",AA229*INDEX(PRECIOS!$H$6:$H$55,K229))</f>
      </c>
      <c r="AC229" s="37">
        <f>IF(B229="","",IF(E229="ENCI",INDEX(PRECIOS!$J$6:$J$55,K229),IF(E229="A.V",INDEX(PRECIOS!$K$6:$K$55,K229),0)))</f>
      </c>
      <c r="AD229" s="37">
        <f>IF(B229="","",N(ENTRADA!$N229))</f>
      </c>
      <c r="AE229" s="70">
        <f>IF(B229="","",AB229+AC229+AD229)</f>
      </c>
      <c r="AF229" s="71">
        <f>IF(B229="","",IF(G229=0,0,ROUNDUP(G229/Cap_Camion_OCC,0)))</f>
      </c>
      <c r="AG229" s="71">
        <f>IF(B229="","",AF229*L_Dist_OCC)</f>
      </c>
      <c r="AH229" s="71">
        <f>IF(B229="","",IF(ENTRADA!$O229="",AG229,ENTRADA!$O229))</f>
      </c>
      <c r="AI229" s="37">
        <f>IF(B229="","",AH229*INDEX(PRECIOS!$E$6:$E$55,K229))</f>
      </c>
      <c r="AJ229" s="71">
        <f>IF(B229="","",IF(H229=0,0,ROUNDUP(H229/Cap_Camion_CEN,0)))</f>
      </c>
      <c r="AK229" s="71">
        <f>IF(B229="","",AJ229*L_Tras_CEN)</f>
      </c>
      <c r="AL229" s="71">
        <f>IF(B229="","",IF(ENTRADA!$P229="",AK229,ENTRADA!$P229))</f>
      </c>
      <c r="AM229" s="71">
        <f>IF(B229="","",AJ229*L_Dist_CEN)</f>
      </c>
      <c r="AN229" s="71">
        <f>IF(B229="","",IF(ENTRADA!$Q229="",AM229,ENTRADA!$Q229))</f>
      </c>
      <c r="AO229" s="37">
        <f>IF(B229="","",(AL229+AN229)*INDEX(PRECIOS!$E$6:$E$55,K229))</f>
      </c>
      <c r="AP229" s="71">
        <f>IF(B229="","",IF(H229=0,0,ROUNDUP(H229/Rend_Desagrupe_CT,0)))</f>
      </c>
      <c r="AQ229" s="71">
        <f>IF(B229="","",IF(ENTRADA!$R229="",AP229,ENTRADA!$R229))</f>
      </c>
      <c r="AR229" s="37">
        <f>IF(B229="","",AQ229*INDEX(PRECIOS!$I$6:$I$55,K229))</f>
      </c>
      <c r="AS229" s="37">
        <f>IF(B229="","",AO229+AR229)</f>
      </c>
      <c r="AT229" s="71">
        <f>IF(B229="","",IF(I229=0,0,ROUNDUP(I229/Cap_Camion_ORI,0)))</f>
      </c>
      <c r="AU229" s="71">
        <f>IF(B229="","",AT229*L_Tras_ORI)</f>
      </c>
      <c r="AV229" s="71">
        <f>IF(B229="","",IF(ENTRADA!$S229="",AU229,ENTRADA!$S229))</f>
      </c>
      <c r="AW229" s="71">
        <f>IF(B229="","",AT229*L_Dist_ORI)</f>
      </c>
      <c r="AX229" s="71">
        <f>IF(B229="","",IF(ENTRADA!$T229="",AW229,ENTRADA!$T229))</f>
      </c>
      <c r="AY229" s="37">
        <f>IF(B229="","",(AV229+AX229)*INDEX(PRECIOS!$E$6:$E$55,K229))</f>
      </c>
      <c r="AZ229" s="71">
        <f>IF(B229="","",IF(I229=0,0,ROUNDUP(I229/Rend_Desagrupe_CT,0)))</f>
      </c>
      <c r="BA229" s="71">
        <f>IF(B229="","",IF(ENTRADA!$U229="",AZ229,ENTRADA!$U229))</f>
      </c>
      <c r="BB229" s="37">
        <f>IF(B229="","",BA229*INDEX(PRECIOS!$I$6:$I$55,K229))</f>
      </c>
      <c r="BC229" s="37">
        <f>IF(B229="","",AY229+BB229)</f>
      </c>
      <c r="BD229" s="70">
        <f>IF(B229="","",AI229+AS229+BC229)</f>
      </c>
      <c r="BE229" s="37">
        <f>IF(B229="","",IF(Base_Comision="% DEL INGRESO",M229*INDEX(PRECIOS!$L$6:$L$55,K229),G229*INDEX(PRECIOS!$M$6:$M$55,K229)))</f>
      </c>
      <c r="BF229" s="37">
        <f>IF(B229="","",IF(Base_Comision="% DEL INGRESO",N229*INDEX(PRECIOS!$L$6:$L$55,K229),H229*INDEX(PRECIOS!$M$6:$M$55,K229)))</f>
      </c>
      <c r="BG229" s="37">
        <f>IF(B229="","",IF(Base_Comision="% DEL INGRESO",O229*INDEX(PRECIOS!$L$6:$L$55,K229),I229*INDEX(PRECIOS!$M$6:$M$55,K229)))</f>
      </c>
      <c r="BH229" s="70">
        <f>IF(B229="","",BE229+BF229+BG229)</f>
      </c>
      <c r="BI229" s="37">
        <f>IF(B229="","",Q229*Pct_Reclamaciones)</f>
      </c>
      <c r="BJ229" s="37">
        <f>IF(B229="","",Q229*Pct_Banco)</f>
      </c>
      <c r="BK229" s="37">
        <f>IF(B229="","",N(ENTRADA!$V229))</f>
      </c>
      <c r="BL229" s="70">
        <f>IF(B229="","",Y229+AE229+BD229+BH229+BI229+BJ229+BK229)</f>
      </c>
      <c r="BM229" s="70">
        <f>IF(B229="","",Q229-BL229)</f>
      </c>
      <c r="BN229" s="72">
        <f>IF(B229="","",IF(Q229=0,0,BM229/Q229))</f>
      </c>
      <c r="BO229" s="73">
        <f>IF(B229="","",IF(J229=0,0,BM229/J229))</f>
      </c>
      <c r="BP229" s="60">
        <f>IF(B229="","",IFERROR(MATCH(D229,COSTOS_FIJOS!$G$5:$AD$5,0),0))</f>
      </c>
      <c r="BQ229" s="60">
        <f>IF(B229="","",COUNTIFS($D$6:$D$305,D229))</f>
      </c>
      <c r="BR229" s="67">
        <f>IF(B229="","",SUMIFS($J$6:$J$305,$D$6:$D$305,D229))</f>
      </c>
      <c r="BS229" s="72">
        <f>IF(B229="","",IF(Metodo_Prorrateo="KG",IF(BR229=0,0,J229/BR229),1/BQ229))</f>
      </c>
      <c r="BT229" s="37">
        <f>IF(B229="","",IF(BP229=0,0,INDEX(COSTOS_FIJOS!$G$38:$AD$38,BP229))*BS229)</f>
      </c>
      <c r="BU229" s="72">
        <f>IF(B229="","",IF(Metodo_Prorrateo="KG",IF(SUMIFS($G$6:$G$305,$D$6:$D$305,D229)=0,0,G229/SUMIFS($G$6:$G$305,$D$6:$D$305,D229)),IF(G229&gt;0,1/COUNTIFS($D$6:$D$305,D229,$G$6:$G$305,"&gt;0"),0)))</f>
      </c>
      <c r="BV229" s="37">
        <f>IF(B229="","",IF(BP229=0,0,INDEX(COSTOS_FIJOS!$G$39:$AD$39,BP229))*BU229)</f>
      </c>
      <c r="BW229" s="72">
        <f>IF(B229="","",IF(Metodo_Prorrateo="KG",IF(SUMIFS($H$6:$H$305,$D$6:$D$305,D229)=0,0,H229/SUMIFS($H$6:$H$305,$D$6:$D$305,D229)),IF(H229&gt;0,1/COUNTIFS($D$6:$D$305,D229,$H$6:$H$305,"&gt;0"),0)))</f>
      </c>
      <c r="BX229" s="37">
        <f>IF(B229="","",IF(BP229=0,0,INDEX(COSTOS_FIJOS!$G$40:$AD$40,BP229))*BW229)</f>
      </c>
      <c r="BY229" s="72">
        <f>IF(B229="","",IF(Metodo_Prorrateo="KG",IF(SUMIFS($I$6:$I$305,$D$6:$D$305,D229)=0,0,I229/SUMIFS($I$6:$I$305,$D$6:$D$305,D229)),IF(I229&gt;0,1/COUNTIFS($D$6:$D$305,D229,$I$6:$I$305,"&gt;0"),0)))</f>
      </c>
      <c r="BZ229" s="37">
        <f>IF(B229="","",IF(BP229=0,0,INDEX(COSTOS_FIJOS!$G$41:$AD$41,BP229))*BY229)</f>
      </c>
      <c r="CA229" s="70">
        <f>IF(B229="","",BT229+BV229+BX229+BZ229)</f>
      </c>
      <c r="CB229" s="37">
        <f>IF(B229="","",Q229*Imp_Ventas_Serv)</f>
      </c>
      <c r="CC229" s="37">
        <f>IF(B229="","",Q229*Contrib_Territorial)</f>
      </c>
      <c r="CD229" s="70">
        <f>IF(B229="","",BM229-CA229-CB229-CC229)</f>
      </c>
      <c r="CE229" s="37">
        <f>IF(B229="","",MAX(0,CD229)*Imp_Utilidades)</f>
      </c>
      <c r="CF229" s="70">
        <f>IF(B229="","",CD229-CE229)</f>
      </c>
      <c r="CG229" s="72">
        <f>IF(B229="","",IF(Q229=0,0,CF229/Q229))</f>
      </c>
      <c r="CH229" s="73">
        <f>IF(B229="","",IF(J229=0,0,(BL229+CA229+CB229+CC229)/J229))</f>
      </c>
      <c r="CI229" s="73">
        <f>IF(B229="","",IF(J229=0,0,Q229/J229))</f>
      </c>
      <c r="CJ229" s="73">
        <f>IF(B229="","",IF(J229=0,0,CD229/J229))</f>
      </c>
      <c r="CK229" s="37">
        <f>IF(B229="","",Y229+AE229+BK229+BT229)</f>
      </c>
      <c r="CL229" s="37">
        <f>IF(B229="","",IF(J229=0,0,(M229+P229*G229/J229)*(1-Pct_Reclamaciones-Pct_Banco-Imp_Ventas_Serv-Contrib_Territorial)-AI229-BE229-BV229-CK229*G229/J229))</f>
      </c>
      <c r="CM229" s="37">
        <f>IF(B229="","",IF(J229=0,0,(N229+P229*H229/J229)*(1-Pct_Reclamaciones-Pct_Banco-Imp_Ventas_Serv-Contrib_Territorial)-AS229-BF229-BX229-CK229*H229/J229))</f>
      </c>
      <c r="CN229" s="37">
        <f>IF(B229="","",IF(J229=0,0,(O229+P229*I229/J229)*(1-Pct_Reclamaciones-Pct_Banco-Imp_Ventas_Serv-Contrib_Territorial)-BC229-BG229-BZ229-CK229*I229/J229))</f>
      </c>
      <c r="CO229" s="37">
        <f>IF(B229="","",IF(J229=0,0,ROUND(CD229-CL229-CM229-CN229,4)))</f>
      </c>
      <c r="CP229" s="71">
        <f>IF(B229="","",T229+AG229+AK229+AM229+AU229+AW229)</f>
      </c>
      <c r="CQ229" s="71">
        <f>IF(B229="","",U229+AH229+AL229+AN229+AV229+AX229)</f>
      </c>
      <c r="CR229" s="72">
        <f>IF(B229="","",IF(CP229=0,0,CQ229/CP229-1))</f>
      </c>
      <c r="CS229" s="60">
        <f>IF(B229="","",IF(ENTRADA!$Y229="","",ENTRADA!$Y229-C229))</f>
      </c>
      <c r="CT229" s="66">
        <f>IF(B229="","",IF(ENTRADA!$C229="","Falta fecha. ","")&amp;IF(BP229=0,"Mes fuera del rango de COSTOS_FIJOS. ","")&amp;IF(J229=0,"Sin kg. ","")&amp;IF(E229="","Falta transitaria. ","")&amp;IF(AND(T229&gt;0,U229/T229-1&gt;Tolerancia_Comb),"Combustible al puerto "&amp;TEXT(U229/T229-1,"+0%")&amp;" sobre norma. ","")&amp;IF(AND(AG229&gt;0,AH229/AG229-1&gt;Tolerancia_Comb),"Combustible distribución Occidente "&amp;TEXT(AH229/AG229-1,"+0%")&amp;" sobre norma. ","")&amp;IF(AND(AK229&gt;0,AL229/AK229-1&gt;Tolerancia_Comb),"Combustible traslado Centro "&amp;TEXT(AL229/AK229-1,"+0%")&amp;" sobre norma. ","")&amp;IF(AND(AM229&gt;0,AN229/AM229-1&gt;Tolerancia_Comb),"Combustible distribución Centro "&amp;TEXT(AN229/AM229-1,"+0%")&amp;" sobre norma. ","")&amp;IF(AND(AU229&gt;0,AV229/AU229-1&gt;Tolerancia_Comb),"Combustible traslado Oriente "&amp;TEXT(AV229/AU229-1,"+0%")&amp;" sobre norma. ","")&amp;IF(AND(AW229&gt;0,AX229/AW229-1&gt;Tolerancia_Comb),"Combustible distribución Oriente "&amp;TEXT(AX229/AW229-1,"+0%")&amp;" sobre norma. ","")&amp;IF(AND(ENTRADA!$C229&lt;&gt;"",C229&lt;PRECIOS!$A$6),"Fecha anterior a la 1ª vigencia de precios. ","")&amp;IF(CD229&lt;0,"Contenedor con pérdida. ",""))</f>
      </c>
    </row>
    <row r="230">
      <c r="A230" s="60">
        <f>IF(B230="","",ROW()-5)</f>
      </c>
      <c r="B230" s="63">
        <f>IF(ENTRADA!$B230="","",ENTRADA!$B230)</f>
      </c>
      <c r="C230" s="64">
        <f>IF(B230="","",ENTRADA!$C230)</f>
      </c>
      <c r="D230" s="65">
        <f>IF(B230="","",DATE(YEAR(C230),MONTH(C230),1))</f>
      </c>
      <c r="E230" s="66">
        <f>IF(B230="","",ENTRADA!$D230&amp;"")</f>
      </c>
      <c r="F230" s="66">
        <f>IF(B230="","",ENTRADA!$Z230&amp;"")</f>
      </c>
      <c r="G230" s="67">
        <f>IF(B230="","",N(ENTRADA!$G230))</f>
      </c>
      <c r="H230" s="67">
        <f>IF(B230="","",N(ENTRADA!$H230))</f>
      </c>
      <c r="I230" s="67">
        <f>IF(B230="","",N(ENTRADA!$I230))</f>
      </c>
      <c r="J230" s="68">
        <f>IF(B230="","",G230+H230+I230)</f>
      </c>
      <c r="K230" s="60">
        <f>IF(B230="","",IFERROR(MATCH(SUMPRODUCT(MAX((PRECIOS!$A$6:$A$55&lt;=C230)*PRECIOS!$A$6:$A$55)),PRECIOS!$A$6:$A$55,0),1))</f>
      </c>
      <c r="L230" s="69">
        <f>IF(B230="","",INDEX(PRECIOS!$A$6:$A$55,K230))</f>
      </c>
      <c r="M230" s="37">
        <f>IF(B230="","",G230*INDEX(PRECIOS!$B$6:$B$55,K230))</f>
      </c>
      <c r="N230" s="37">
        <f>IF(B230="","",H230*INDEX(PRECIOS!$C$6:$C$55,K230))</f>
      </c>
      <c r="O230" s="37">
        <f>IF(B230="","",I230*INDEX(PRECIOS!$D$6:$D$55,K230))</f>
      </c>
      <c r="P230" s="37">
        <f>IF(B230="","",N(ENTRADA!$X230))</f>
      </c>
      <c r="Q230" s="70">
        <f>IF(B230="","",M230+N230+O230+P230)</f>
      </c>
      <c r="R230" s="71">
        <f>IF(B230="","",IF(ENTRADA!$J230="",Std_Viajes_Puerto,ENTRADA!$J230))</f>
      </c>
      <c r="S230" s="37">
        <f>IF(B230="","",R230*INDEX(PRECIOS!$F$6:$F$55,K230))</f>
      </c>
      <c r="T230" s="71">
        <f>IF(B230="","",R230*Litros_Puerto_Viaje)</f>
      </c>
      <c r="U230" s="71">
        <f>IF(B230="","",IF(ENTRADA!$K230="",T230,ENTRADA!$K230))</f>
      </c>
      <c r="V230" s="37">
        <f>IF(B230="","",U230*INDEX(PRECIOS!$E$6:$E$55,K230))</f>
      </c>
      <c r="W230" s="37">
        <f>IF(B230="","",IF(ENTRADA!$L230="",R230*INDEX(PRECIOS!$G$6:$G$55,K230),ENTRADA!$L230))</f>
      </c>
      <c r="X230" s="37">
        <f>IF(B230="","",R230*Km_Puerto_Viaje*INDEX(PRECIOS!$N$6:$N$55,K230))</f>
      </c>
      <c r="Y230" s="70">
        <f>IF(B230="","",S230+V230+W230+X230)</f>
      </c>
      <c r="Z230" s="71">
        <f>IF(B230="","",IF(J230=0,0,ROUNDUP(J230/Rend_Desagrupe,0)))</f>
      </c>
      <c r="AA230" s="71">
        <f>IF(B230="","",IF(ENTRADA!$M230="",Z230,ENTRADA!$M230))</f>
      </c>
      <c r="AB230" s="37">
        <f>IF(B230="","",AA230*INDEX(PRECIOS!$H$6:$H$55,K230))</f>
      </c>
      <c r="AC230" s="37">
        <f>IF(B230="","",IF(E230="ENCI",INDEX(PRECIOS!$J$6:$J$55,K230),IF(E230="A.V",INDEX(PRECIOS!$K$6:$K$55,K230),0)))</f>
      </c>
      <c r="AD230" s="37">
        <f>IF(B230="","",N(ENTRADA!$N230))</f>
      </c>
      <c r="AE230" s="70">
        <f>IF(B230="","",AB230+AC230+AD230)</f>
      </c>
      <c r="AF230" s="71">
        <f>IF(B230="","",IF(G230=0,0,ROUNDUP(G230/Cap_Camion_OCC,0)))</f>
      </c>
      <c r="AG230" s="71">
        <f>IF(B230="","",AF230*L_Dist_OCC)</f>
      </c>
      <c r="AH230" s="71">
        <f>IF(B230="","",IF(ENTRADA!$O230="",AG230,ENTRADA!$O230))</f>
      </c>
      <c r="AI230" s="37">
        <f>IF(B230="","",AH230*INDEX(PRECIOS!$E$6:$E$55,K230))</f>
      </c>
      <c r="AJ230" s="71">
        <f>IF(B230="","",IF(H230=0,0,ROUNDUP(H230/Cap_Camion_CEN,0)))</f>
      </c>
      <c r="AK230" s="71">
        <f>IF(B230="","",AJ230*L_Tras_CEN)</f>
      </c>
      <c r="AL230" s="71">
        <f>IF(B230="","",IF(ENTRADA!$P230="",AK230,ENTRADA!$P230))</f>
      </c>
      <c r="AM230" s="71">
        <f>IF(B230="","",AJ230*L_Dist_CEN)</f>
      </c>
      <c r="AN230" s="71">
        <f>IF(B230="","",IF(ENTRADA!$Q230="",AM230,ENTRADA!$Q230))</f>
      </c>
      <c r="AO230" s="37">
        <f>IF(B230="","",(AL230+AN230)*INDEX(PRECIOS!$E$6:$E$55,K230))</f>
      </c>
      <c r="AP230" s="71">
        <f>IF(B230="","",IF(H230=0,0,ROUNDUP(H230/Rend_Desagrupe_CT,0)))</f>
      </c>
      <c r="AQ230" s="71">
        <f>IF(B230="","",IF(ENTRADA!$R230="",AP230,ENTRADA!$R230))</f>
      </c>
      <c r="AR230" s="37">
        <f>IF(B230="","",AQ230*INDEX(PRECIOS!$I$6:$I$55,K230))</f>
      </c>
      <c r="AS230" s="37">
        <f>IF(B230="","",AO230+AR230)</f>
      </c>
      <c r="AT230" s="71">
        <f>IF(B230="","",IF(I230=0,0,ROUNDUP(I230/Cap_Camion_ORI,0)))</f>
      </c>
      <c r="AU230" s="71">
        <f>IF(B230="","",AT230*L_Tras_ORI)</f>
      </c>
      <c r="AV230" s="71">
        <f>IF(B230="","",IF(ENTRADA!$S230="",AU230,ENTRADA!$S230))</f>
      </c>
      <c r="AW230" s="71">
        <f>IF(B230="","",AT230*L_Dist_ORI)</f>
      </c>
      <c r="AX230" s="71">
        <f>IF(B230="","",IF(ENTRADA!$T230="",AW230,ENTRADA!$T230))</f>
      </c>
      <c r="AY230" s="37">
        <f>IF(B230="","",(AV230+AX230)*INDEX(PRECIOS!$E$6:$E$55,K230))</f>
      </c>
      <c r="AZ230" s="71">
        <f>IF(B230="","",IF(I230=0,0,ROUNDUP(I230/Rend_Desagrupe_CT,0)))</f>
      </c>
      <c r="BA230" s="71">
        <f>IF(B230="","",IF(ENTRADA!$U230="",AZ230,ENTRADA!$U230))</f>
      </c>
      <c r="BB230" s="37">
        <f>IF(B230="","",BA230*INDEX(PRECIOS!$I$6:$I$55,K230))</f>
      </c>
      <c r="BC230" s="37">
        <f>IF(B230="","",AY230+BB230)</f>
      </c>
      <c r="BD230" s="70">
        <f>IF(B230="","",AI230+AS230+BC230)</f>
      </c>
      <c r="BE230" s="37">
        <f>IF(B230="","",IF(Base_Comision="% DEL INGRESO",M230*INDEX(PRECIOS!$L$6:$L$55,K230),G230*INDEX(PRECIOS!$M$6:$M$55,K230)))</f>
      </c>
      <c r="BF230" s="37">
        <f>IF(B230="","",IF(Base_Comision="% DEL INGRESO",N230*INDEX(PRECIOS!$L$6:$L$55,K230),H230*INDEX(PRECIOS!$M$6:$M$55,K230)))</f>
      </c>
      <c r="BG230" s="37">
        <f>IF(B230="","",IF(Base_Comision="% DEL INGRESO",O230*INDEX(PRECIOS!$L$6:$L$55,K230),I230*INDEX(PRECIOS!$M$6:$M$55,K230)))</f>
      </c>
      <c r="BH230" s="70">
        <f>IF(B230="","",BE230+BF230+BG230)</f>
      </c>
      <c r="BI230" s="37">
        <f>IF(B230="","",Q230*Pct_Reclamaciones)</f>
      </c>
      <c r="BJ230" s="37">
        <f>IF(B230="","",Q230*Pct_Banco)</f>
      </c>
      <c r="BK230" s="37">
        <f>IF(B230="","",N(ENTRADA!$V230))</f>
      </c>
      <c r="BL230" s="70">
        <f>IF(B230="","",Y230+AE230+BD230+BH230+BI230+BJ230+BK230)</f>
      </c>
      <c r="BM230" s="70">
        <f>IF(B230="","",Q230-BL230)</f>
      </c>
      <c r="BN230" s="72">
        <f>IF(B230="","",IF(Q230=0,0,BM230/Q230))</f>
      </c>
      <c r="BO230" s="73">
        <f>IF(B230="","",IF(J230=0,0,BM230/J230))</f>
      </c>
      <c r="BP230" s="60">
        <f>IF(B230="","",IFERROR(MATCH(D230,COSTOS_FIJOS!$G$5:$AD$5,0),0))</f>
      </c>
      <c r="BQ230" s="60">
        <f>IF(B230="","",COUNTIFS($D$6:$D$305,D230))</f>
      </c>
      <c r="BR230" s="67">
        <f>IF(B230="","",SUMIFS($J$6:$J$305,$D$6:$D$305,D230))</f>
      </c>
      <c r="BS230" s="72">
        <f>IF(B230="","",IF(Metodo_Prorrateo="KG",IF(BR230=0,0,J230/BR230),1/BQ230))</f>
      </c>
      <c r="BT230" s="37">
        <f>IF(B230="","",IF(BP230=0,0,INDEX(COSTOS_FIJOS!$G$38:$AD$38,BP230))*BS230)</f>
      </c>
      <c r="BU230" s="72">
        <f>IF(B230="","",IF(Metodo_Prorrateo="KG",IF(SUMIFS($G$6:$G$305,$D$6:$D$305,D230)=0,0,G230/SUMIFS($G$6:$G$305,$D$6:$D$305,D230)),IF(G230&gt;0,1/COUNTIFS($D$6:$D$305,D230,$G$6:$G$305,"&gt;0"),0)))</f>
      </c>
      <c r="BV230" s="37">
        <f>IF(B230="","",IF(BP230=0,0,INDEX(COSTOS_FIJOS!$G$39:$AD$39,BP230))*BU230)</f>
      </c>
      <c r="BW230" s="72">
        <f>IF(B230="","",IF(Metodo_Prorrateo="KG",IF(SUMIFS($H$6:$H$305,$D$6:$D$305,D230)=0,0,H230/SUMIFS($H$6:$H$305,$D$6:$D$305,D230)),IF(H230&gt;0,1/COUNTIFS($D$6:$D$305,D230,$H$6:$H$305,"&gt;0"),0)))</f>
      </c>
      <c r="BX230" s="37">
        <f>IF(B230="","",IF(BP230=0,0,INDEX(COSTOS_FIJOS!$G$40:$AD$40,BP230))*BW230)</f>
      </c>
      <c r="BY230" s="72">
        <f>IF(B230="","",IF(Metodo_Prorrateo="KG",IF(SUMIFS($I$6:$I$305,$D$6:$D$305,D230)=0,0,I230/SUMIFS($I$6:$I$305,$D$6:$D$305,D230)),IF(I230&gt;0,1/COUNTIFS($D$6:$D$305,D230,$I$6:$I$305,"&gt;0"),0)))</f>
      </c>
      <c r="BZ230" s="37">
        <f>IF(B230="","",IF(BP230=0,0,INDEX(COSTOS_FIJOS!$G$41:$AD$41,BP230))*BY230)</f>
      </c>
      <c r="CA230" s="70">
        <f>IF(B230="","",BT230+BV230+BX230+BZ230)</f>
      </c>
      <c r="CB230" s="37">
        <f>IF(B230="","",Q230*Imp_Ventas_Serv)</f>
      </c>
      <c r="CC230" s="37">
        <f>IF(B230="","",Q230*Contrib_Territorial)</f>
      </c>
      <c r="CD230" s="70">
        <f>IF(B230="","",BM230-CA230-CB230-CC230)</f>
      </c>
      <c r="CE230" s="37">
        <f>IF(B230="","",MAX(0,CD230)*Imp_Utilidades)</f>
      </c>
      <c r="CF230" s="70">
        <f>IF(B230="","",CD230-CE230)</f>
      </c>
      <c r="CG230" s="72">
        <f>IF(B230="","",IF(Q230=0,0,CF230/Q230))</f>
      </c>
      <c r="CH230" s="73">
        <f>IF(B230="","",IF(J230=0,0,(BL230+CA230+CB230+CC230)/J230))</f>
      </c>
      <c r="CI230" s="73">
        <f>IF(B230="","",IF(J230=0,0,Q230/J230))</f>
      </c>
      <c r="CJ230" s="73">
        <f>IF(B230="","",IF(J230=0,0,CD230/J230))</f>
      </c>
      <c r="CK230" s="37">
        <f>IF(B230="","",Y230+AE230+BK230+BT230)</f>
      </c>
      <c r="CL230" s="37">
        <f>IF(B230="","",IF(J230=0,0,(M230+P230*G230/J230)*(1-Pct_Reclamaciones-Pct_Banco-Imp_Ventas_Serv-Contrib_Territorial)-AI230-BE230-BV230-CK230*G230/J230))</f>
      </c>
      <c r="CM230" s="37">
        <f>IF(B230="","",IF(J230=0,0,(N230+P230*H230/J230)*(1-Pct_Reclamaciones-Pct_Banco-Imp_Ventas_Serv-Contrib_Territorial)-AS230-BF230-BX230-CK230*H230/J230))</f>
      </c>
      <c r="CN230" s="37">
        <f>IF(B230="","",IF(J230=0,0,(O230+P230*I230/J230)*(1-Pct_Reclamaciones-Pct_Banco-Imp_Ventas_Serv-Contrib_Territorial)-BC230-BG230-BZ230-CK230*I230/J230))</f>
      </c>
      <c r="CO230" s="37">
        <f>IF(B230="","",IF(J230=0,0,ROUND(CD230-CL230-CM230-CN230,4)))</f>
      </c>
      <c r="CP230" s="71">
        <f>IF(B230="","",T230+AG230+AK230+AM230+AU230+AW230)</f>
      </c>
      <c r="CQ230" s="71">
        <f>IF(B230="","",U230+AH230+AL230+AN230+AV230+AX230)</f>
      </c>
      <c r="CR230" s="72">
        <f>IF(B230="","",IF(CP230=0,0,CQ230/CP230-1))</f>
      </c>
      <c r="CS230" s="60">
        <f>IF(B230="","",IF(ENTRADA!$Y230="","",ENTRADA!$Y230-C230))</f>
      </c>
      <c r="CT230" s="66">
        <f>IF(B230="","",IF(ENTRADA!$C230="","Falta fecha. ","")&amp;IF(BP230=0,"Mes fuera del rango de COSTOS_FIJOS. ","")&amp;IF(J230=0,"Sin kg. ","")&amp;IF(E230="","Falta transitaria. ","")&amp;IF(AND(T230&gt;0,U230/T230-1&gt;Tolerancia_Comb),"Combustible al puerto "&amp;TEXT(U230/T230-1,"+0%")&amp;" sobre norma. ","")&amp;IF(AND(AG230&gt;0,AH230/AG230-1&gt;Tolerancia_Comb),"Combustible distribución Occidente "&amp;TEXT(AH230/AG230-1,"+0%")&amp;" sobre norma. ","")&amp;IF(AND(AK230&gt;0,AL230/AK230-1&gt;Tolerancia_Comb),"Combustible traslado Centro "&amp;TEXT(AL230/AK230-1,"+0%")&amp;" sobre norma. ","")&amp;IF(AND(AM230&gt;0,AN230/AM230-1&gt;Tolerancia_Comb),"Combustible distribución Centro "&amp;TEXT(AN230/AM230-1,"+0%")&amp;" sobre norma. ","")&amp;IF(AND(AU230&gt;0,AV230/AU230-1&gt;Tolerancia_Comb),"Combustible traslado Oriente "&amp;TEXT(AV230/AU230-1,"+0%")&amp;" sobre norma. ","")&amp;IF(AND(AW230&gt;0,AX230/AW230-1&gt;Tolerancia_Comb),"Combustible distribución Oriente "&amp;TEXT(AX230/AW230-1,"+0%")&amp;" sobre norma. ","")&amp;IF(AND(ENTRADA!$C230&lt;&gt;"",C230&lt;PRECIOS!$A$6),"Fecha anterior a la 1ª vigencia de precios. ","")&amp;IF(CD230&lt;0,"Contenedor con pérdida. ",""))</f>
      </c>
    </row>
    <row r="231">
      <c r="A231" s="60">
        <f>IF(B231="","",ROW()-5)</f>
      </c>
      <c r="B231" s="63">
        <f>IF(ENTRADA!$B231="","",ENTRADA!$B231)</f>
      </c>
      <c r="C231" s="64">
        <f>IF(B231="","",ENTRADA!$C231)</f>
      </c>
      <c r="D231" s="65">
        <f>IF(B231="","",DATE(YEAR(C231),MONTH(C231),1))</f>
      </c>
      <c r="E231" s="66">
        <f>IF(B231="","",ENTRADA!$D231&amp;"")</f>
      </c>
      <c r="F231" s="66">
        <f>IF(B231="","",ENTRADA!$Z231&amp;"")</f>
      </c>
      <c r="G231" s="67">
        <f>IF(B231="","",N(ENTRADA!$G231))</f>
      </c>
      <c r="H231" s="67">
        <f>IF(B231="","",N(ENTRADA!$H231))</f>
      </c>
      <c r="I231" s="67">
        <f>IF(B231="","",N(ENTRADA!$I231))</f>
      </c>
      <c r="J231" s="68">
        <f>IF(B231="","",G231+H231+I231)</f>
      </c>
      <c r="K231" s="60">
        <f>IF(B231="","",IFERROR(MATCH(SUMPRODUCT(MAX((PRECIOS!$A$6:$A$55&lt;=C231)*PRECIOS!$A$6:$A$55)),PRECIOS!$A$6:$A$55,0),1))</f>
      </c>
      <c r="L231" s="69">
        <f>IF(B231="","",INDEX(PRECIOS!$A$6:$A$55,K231))</f>
      </c>
      <c r="M231" s="37">
        <f>IF(B231="","",G231*INDEX(PRECIOS!$B$6:$B$55,K231))</f>
      </c>
      <c r="N231" s="37">
        <f>IF(B231="","",H231*INDEX(PRECIOS!$C$6:$C$55,K231))</f>
      </c>
      <c r="O231" s="37">
        <f>IF(B231="","",I231*INDEX(PRECIOS!$D$6:$D$55,K231))</f>
      </c>
      <c r="P231" s="37">
        <f>IF(B231="","",N(ENTRADA!$X231))</f>
      </c>
      <c r="Q231" s="70">
        <f>IF(B231="","",M231+N231+O231+P231)</f>
      </c>
      <c r="R231" s="71">
        <f>IF(B231="","",IF(ENTRADA!$J231="",Std_Viajes_Puerto,ENTRADA!$J231))</f>
      </c>
      <c r="S231" s="37">
        <f>IF(B231="","",R231*INDEX(PRECIOS!$F$6:$F$55,K231))</f>
      </c>
      <c r="T231" s="71">
        <f>IF(B231="","",R231*Litros_Puerto_Viaje)</f>
      </c>
      <c r="U231" s="71">
        <f>IF(B231="","",IF(ENTRADA!$K231="",T231,ENTRADA!$K231))</f>
      </c>
      <c r="V231" s="37">
        <f>IF(B231="","",U231*INDEX(PRECIOS!$E$6:$E$55,K231))</f>
      </c>
      <c r="W231" s="37">
        <f>IF(B231="","",IF(ENTRADA!$L231="",R231*INDEX(PRECIOS!$G$6:$G$55,K231),ENTRADA!$L231))</f>
      </c>
      <c r="X231" s="37">
        <f>IF(B231="","",R231*Km_Puerto_Viaje*INDEX(PRECIOS!$N$6:$N$55,K231))</f>
      </c>
      <c r="Y231" s="70">
        <f>IF(B231="","",S231+V231+W231+X231)</f>
      </c>
      <c r="Z231" s="71">
        <f>IF(B231="","",IF(J231=0,0,ROUNDUP(J231/Rend_Desagrupe,0)))</f>
      </c>
      <c r="AA231" s="71">
        <f>IF(B231="","",IF(ENTRADA!$M231="",Z231,ENTRADA!$M231))</f>
      </c>
      <c r="AB231" s="37">
        <f>IF(B231="","",AA231*INDEX(PRECIOS!$H$6:$H$55,K231))</f>
      </c>
      <c r="AC231" s="37">
        <f>IF(B231="","",IF(E231="ENCI",INDEX(PRECIOS!$J$6:$J$55,K231),IF(E231="A.V",INDEX(PRECIOS!$K$6:$K$55,K231),0)))</f>
      </c>
      <c r="AD231" s="37">
        <f>IF(B231="","",N(ENTRADA!$N231))</f>
      </c>
      <c r="AE231" s="70">
        <f>IF(B231="","",AB231+AC231+AD231)</f>
      </c>
      <c r="AF231" s="71">
        <f>IF(B231="","",IF(G231=0,0,ROUNDUP(G231/Cap_Camion_OCC,0)))</f>
      </c>
      <c r="AG231" s="71">
        <f>IF(B231="","",AF231*L_Dist_OCC)</f>
      </c>
      <c r="AH231" s="71">
        <f>IF(B231="","",IF(ENTRADA!$O231="",AG231,ENTRADA!$O231))</f>
      </c>
      <c r="AI231" s="37">
        <f>IF(B231="","",AH231*INDEX(PRECIOS!$E$6:$E$55,K231))</f>
      </c>
      <c r="AJ231" s="71">
        <f>IF(B231="","",IF(H231=0,0,ROUNDUP(H231/Cap_Camion_CEN,0)))</f>
      </c>
      <c r="AK231" s="71">
        <f>IF(B231="","",AJ231*L_Tras_CEN)</f>
      </c>
      <c r="AL231" s="71">
        <f>IF(B231="","",IF(ENTRADA!$P231="",AK231,ENTRADA!$P231))</f>
      </c>
      <c r="AM231" s="71">
        <f>IF(B231="","",AJ231*L_Dist_CEN)</f>
      </c>
      <c r="AN231" s="71">
        <f>IF(B231="","",IF(ENTRADA!$Q231="",AM231,ENTRADA!$Q231))</f>
      </c>
      <c r="AO231" s="37">
        <f>IF(B231="","",(AL231+AN231)*INDEX(PRECIOS!$E$6:$E$55,K231))</f>
      </c>
      <c r="AP231" s="71">
        <f>IF(B231="","",IF(H231=0,0,ROUNDUP(H231/Rend_Desagrupe_CT,0)))</f>
      </c>
      <c r="AQ231" s="71">
        <f>IF(B231="","",IF(ENTRADA!$R231="",AP231,ENTRADA!$R231))</f>
      </c>
      <c r="AR231" s="37">
        <f>IF(B231="","",AQ231*INDEX(PRECIOS!$I$6:$I$55,K231))</f>
      </c>
      <c r="AS231" s="37">
        <f>IF(B231="","",AO231+AR231)</f>
      </c>
      <c r="AT231" s="71">
        <f>IF(B231="","",IF(I231=0,0,ROUNDUP(I231/Cap_Camion_ORI,0)))</f>
      </c>
      <c r="AU231" s="71">
        <f>IF(B231="","",AT231*L_Tras_ORI)</f>
      </c>
      <c r="AV231" s="71">
        <f>IF(B231="","",IF(ENTRADA!$S231="",AU231,ENTRADA!$S231))</f>
      </c>
      <c r="AW231" s="71">
        <f>IF(B231="","",AT231*L_Dist_ORI)</f>
      </c>
      <c r="AX231" s="71">
        <f>IF(B231="","",IF(ENTRADA!$T231="",AW231,ENTRADA!$T231))</f>
      </c>
      <c r="AY231" s="37">
        <f>IF(B231="","",(AV231+AX231)*INDEX(PRECIOS!$E$6:$E$55,K231))</f>
      </c>
      <c r="AZ231" s="71">
        <f>IF(B231="","",IF(I231=0,0,ROUNDUP(I231/Rend_Desagrupe_CT,0)))</f>
      </c>
      <c r="BA231" s="71">
        <f>IF(B231="","",IF(ENTRADA!$U231="",AZ231,ENTRADA!$U231))</f>
      </c>
      <c r="BB231" s="37">
        <f>IF(B231="","",BA231*INDEX(PRECIOS!$I$6:$I$55,K231))</f>
      </c>
      <c r="BC231" s="37">
        <f>IF(B231="","",AY231+BB231)</f>
      </c>
      <c r="BD231" s="70">
        <f>IF(B231="","",AI231+AS231+BC231)</f>
      </c>
      <c r="BE231" s="37">
        <f>IF(B231="","",IF(Base_Comision="% DEL INGRESO",M231*INDEX(PRECIOS!$L$6:$L$55,K231),G231*INDEX(PRECIOS!$M$6:$M$55,K231)))</f>
      </c>
      <c r="BF231" s="37">
        <f>IF(B231="","",IF(Base_Comision="% DEL INGRESO",N231*INDEX(PRECIOS!$L$6:$L$55,K231),H231*INDEX(PRECIOS!$M$6:$M$55,K231)))</f>
      </c>
      <c r="BG231" s="37">
        <f>IF(B231="","",IF(Base_Comision="% DEL INGRESO",O231*INDEX(PRECIOS!$L$6:$L$55,K231),I231*INDEX(PRECIOS!$M$6:$M$55,K231)))</f>
      </c>
      <c r="BH231" s="70">
        <f>IF(B231="","",BE231+BF231+BG231)</f>
      </c>
      <c r="BI231" s="37">
        <f>IF(B231="","",Q231*Pct_Reclamaciones)</f>
      </c>
      <c r="BJ231" s="37">
        <f>IF(B231="","",Q231*Pct_Banco)</f>
      </c>
      <c r="BK231" s="37">
        <f>IF(B231="","",N(ENTRADA!$V231))</f>
      </c>
      <c r="BL231" s="70">
        <f>IF(B231="","",Y231+AE231+BD231+BH231+BI231+BJ231+BK231)</f>
      </c>
      <c r="BM231" s="70">
        <f>IF(B231="","",Q231-BL231)</f>
      </c>
      <c r="BN231" s="72">
        <f>IF(B231="","",IF(Q231=0,0,BM231/Q231))</f>
      </c>
      <c r="BO231" s="73">
        <f>IF(B231="","",IF(J231=0,0,BM231/J231))</f>
      </c>
      <c r="BP231" s="60">
        <f>IF(B231="","",IFERROR(MATCH(D231,COSTOS_FIJOS!$G$5:$AD$5,0),0))</f>
      </c>
      <c r="BQ231" s="60">
        <f>IF(B231="","",COUNTIFS($D$6:$D$305,D231))</f>
      </c>
      <c r="BR231" s="67">
        <f>IF(B231="","",SUMIFS($J$6:$J$305,$D$6:$D$305,D231))</f>
      </c>
      <c r="BS231" s="72">
        <f>IF(B231="","",IF(Metodo_Prorrateo="KG",IF(BR231=0,0,J231/BR231),1/BQ231))</f>
      </c>
      <c r="BT231" s="37">
        <f>IF(B231="","",IF(BP231=0,0,INDEX(COSTOS_FIJOS!$G$38:$AD$38,BP231))*BS231)</f>
      </c>
      <c r="BU231" s="72">
        <f>IF(B231="","",IF(Metodo_Prorrateo="KG",IF(SUMIFS($G$6:$G$305,$D$6:$D$305,D231)=0,0,G231/SUMIFS($G$6:$G$305,$D$6:$D$305,D231)),IF(G231&gt;0,1/COUNTIFS($D$6:$D$305,D231,$G$6:$G$305,"&gt;0"),0)))</f>
      </c>
      <c r="BV231" s="37">
        <f>IF(B231="","",IF(BP231=0,0,INDEX(COSTOS_FIJOS!$G$39:$AD$39,BP231))*BU231)</f>
      </c>
      <c r="BW231" s="72">
        <f>IF(B231="","",IF(Metodo_Prorrateo="KG",IF(SUMIFS($H$6:$H$305,$D$6:$D$305,D231)=0,0,H231/SUMIFS($H$6:$H$305,$D$6:$D$305,D231)),IF(H231&gt;0,1/COUNTIFS($D$6:$D$305,D231,$H$6:$H$305,"&gt;0"),0)))</f>
      </c>
      <c r="BX231" s="37">
        <f>IF(B231="","",IF(BP231=0,0,INDEX(COSTOS_FIJOS!$G$40:$AD$40,BP231))*BW231)</f>
      </c>
      <c r="BY231" s="72">
        <f>IF(B231="","",IF(Metodo_Prorrateo="KG",IF(SUMIFS($I$6:$I$305,$D$6:$D$305,D231)=0,0,I231/SUMIFS($I$6:$I$305,$D$6:$D$305,D231)),IF(I231&gt;0,1/COUNTIFS($D$6:$D$305,D231,$I$6:$I$305,"&gt;0"),0)))</f>
      </c>
      <c r="BZ231" s="37">
        <f>IF(B231="","",IF(BP231=0,0,INDEX(COSTOS_FIJOS!$G$41:$AD$41,BP231))*BY231)</f>
      </c>
      <c r="CA231" s="70">
        <f>IF(B231="","",BT231+BV231+BX231+BZ231)</f>
      </c>
      <c r="CB231" s="37">
        <f>IF(B231="","",Q231*Imp_Ventas_Serv)</f>
      </c>
      <c r="CC231" s="37">
        <f>IF(B231="","",Q231*Contrib_Territorial)</f>
      </c>
      <c r="CD231" s="70">
        <f>IF(B231="","",BM231-CA231-CB231-CC231)</f>
      </c>
      <c r="CE231" s="37">
        <f>IF(B231="","",MAX(0,CD231)*Imp_Utilidades)</f>
      </c>
      <c r="CF231" s="70">
        <f>IF(B231="","",CD231-CE231)</f>
      </c>
      <c r="CG231" s="72">
        <f>IF(B231="","",IF(Q231=0,0,CF231/Q231))</f>
      </c>
      <c r="CH231" s="73">
        <f>IF(B231="","",IF(J231=0,0,(BL231+CA231+CB231+CC231)/J231))</f>
      </c>
      <c r="CI231" s="73">
        <f>IF(B231="","",IF(J231=0,0,Q231/J231))</f>
      </c>
      <c r="CJ231" s="73">
        <f>IF(B231="","",IF(J231=0,0,CD231/J231))</f>
      </c>
      <c r="CK231" s="37">
        <f>IF(B231="","",Y231+AE231+BK231+BT231)</f>
      </c>
      <c r="CL231" s="37">
        <f>IF(B231="","",IF(J231=0,0,(M231+P231*G231/J231)*(1-Pct_Reclamaciones-Pct_Banco-Imp_Ventas_Serv-Contrib_Territorial)-AI231-BE231-BV231-CK231*G231/J231))</f>
      </c>
      <c r="CM231" s="37">
        <f>IF(B231="","",IF(J231=0,0,(N231+P231*H231/J231)*(1-Pct_Reclamaciones-Pct_Banco-Imp_Ventas_Serv-Contrib_Territorial)-AS231-BF231-BX231-CK231*H231/J231))</f>
      </c>
      <c r="CN231" s="37">
        <f>IF(B231="","",IF(J231=0,0,(O231+P231*I231/J231)*(1-Pct_Reclamaciones-Pct_Banco-Imp_Ventas_Serv-Contrib_Territorial)-BC231-BG231-BZ231-CK231*I231/J231))</f>
      </c>
      <c r="CO231" s="37">
        <f>IF(B231="","",IF(J231=0,0,ROUND(CD231-CL231-CM231-CN231,4)))</f>
      </c>
      <c r="CP231" s="71">
        <f>IF(B231="","",T231+AG231+AK231+AM231+AU231+AW231)</f>
      </c>
      <c r="CQ231" s="71">
        <f>IF(B231="","",U231+AH231+AL231+AN231+AV231+AX231)</f>
      </c>
      <c r="CR231" s="72">
        <f>IF(B231="","",IF(CP231=0,0,CQ231/CP231-1))</f>
      </c>
      <c r="CS231" s="60">
        <f>IF(B231="","",IF(ENTRADA!$Y231="","",ENTRADA!$Y231-C231))</f>
      </c>
      <c r="CT231" s="66">
        <f>IF(B231="","",IF(ENTRADA!$C231="","Falta fecha. ","")&amp;IF(BP231=0,"Mes fuera del rango de COSTOS_FIJOS. ","")&amp;IF(J231=0,"Sin kg. ","")&amp;IF(E231="","Falta transitaria. ","")&amp;IF(AND(T231&gt;0,U231/T231-1&gt;Tolerancia_Comb),"Combustible al puerto "&amp;TEXT(U231/T231-1,"+0%")&amp;" sobre norma. ","")&amp;IF(AND(AG231&gt;0,AH231/AG231-1&gt;Tolerancia_Comb),"Combustible distribución Occidente "&amp;TEXT(AH231/AG231-1,"+0%")&amp;" sobre norma. ","")&amp;IF(AND(AK231&gt;0,AL231/AK231-1&gt;Tolerancia_Comb),"Combustible traslado Centro "&amp;TEXT(AL231/AK231-1,"+0%")&amp;" sobre norma. ","")&amp;IF(AND(AM231&gt;0,AN231/AM231-1&gt;Tolerancia_Comb),"Combustible distribución Centro "&amp;TEXT(AN231/AM231-1,"+0%")&amp;" sobre norma. ","")&amp;IF(AND(AU231&gt;0,AV231/AU231-1&gt;Tolerancia_Comb),"Combustible traslado Oriente "&amp;TEXT(AV231/AU231-1,"+0%")&amp;" sobre norma. ","")&amp;IF(AND(AW231&gt;0,AX231/AW231-1&gt;Tolerancia_Comb),"Combustible distribución Oriente "&amp;TEXT(AX231/AW231-1,"+0%")&amp;" sobre norma. ","")&amp;IF(AND(ENTRADA!$C231&lt;&gt;"",C231&lt;PRECIOS!$A$6),"Fecha anterior a la 1ª vigencia de precios. ","")&amp;IF(CD231&lt;0,"Contenedor con pérdida. ",""))</f>
      </c>
    </row>
    <row r="232">
      <c r="A232" s="60">
        <f>IF(B232="","",ROW()-5)</f>
      </c>
      <c r="B232" s="63">
        <f>IF(ENTRADA!$B232="","",ENTRADA!$B232)</f>
      </c>
      <c r="C232" s="64">
        <f>IF(B232="","",ENTRADA!$C232)</f>
      </c>
      <c r="D232" s="65">
        <f>IF(B232="","",DATE(YEAR(C232),MONTH(C232),1))</f>
      </c>
      <c r="E232" s="66">
        <f>IF(B232="","",ENTRADA!$D232&amp;"")</f>
      </c>
      <c r="F232" s="66">
        <f>IF(B232="","",ENTRADA!$Z232&amp;"")</f>
      </c>
      <c r="G232" s="67">
        <f>IF(B232="","",N(ENTRADA!$G232))</f>
      </c>
      <c r="H232" s="67">
        <f>IF(B232="","",N(ENTRADA!$H232))</f>
      </c>
      <c r="I232" s="67">
        <f>IF(B232="","",N(ENTRADA!$I232))</f>
      </c>
      <c r="J232" s="68">
        <f>IF(B232="","",G232+H232+I232)</f>
      </c>
      <c r="K232" s="60">
        <f>IF(B232="","",IFERROR(MATCH(SUMPRODUCT(MAX((PRECIOS!$A$6:$A$55&lt;=C232)*PRECIOS!$A$6:$A$55)),PRECIOS!$A$6:$A$55,0),1))</f>
      </c>
      <c r="L232" s="69">
        <f>IF(B232="","",INDEX(PRECIOS!$A$6:$A$55,K232))</f>
      </c>
      <c r="M232" s="37">
        <f>IF(B232="","",G232*INDEX(PRECIOS!$B$6:$B$55,K232))</f>
      </c>
      <c r="N232" s="37">
        <f>IF(B232="","",H232*INDEX(PRECIOS!$C$6:$C$55,K232))</f>
      </c>
      <c r="O232" s="37">
        <f>IF(B232="","",I232*INDEX(PRECIOS!$D$6:$D$55,K232))</f>
      </c>
      <c r="P232" s="37">
        <f>IF(B232="","",N(ENTRADA!$X232))</f>
      </c>
      <c r="Q232" s="70">
        <f>IF(B232="","",M232+N232+O232+P232)</f>
      </c>
      <c r="R232" s="71">
        <f>IF(B232="","",IF(ENTRADA!$J232="",Std_Viajes_Puerto,ENTRADA!$J232))</f>
      </c>
      <c r="S232" s="37">
        <f>IF(B232="","",R232*INDEX(PRECIOS!$F$6:$F$55,K232))</f>
      </c>
      <c r="T232" s="71">
        <f>IF(B232="","",R232*Litros_Puerto_Viaje)</f>
      </c>
      <c r="U232" s="71">
        <f>IF(B232="","",IF(ENTRADA!$K232="",T232,ENTRADA!$K232))</f>
      </c>
      <c r="V232" s="37">
        <f>IF(B232="","",U232*INDEX(PRECIOS!$E$6:$E$55,K232))</f>
      </c>
      <c r="W232" s="37">
        <f>IF(B232="","",IF(ENTRADA!$L232="",R232*INDEX(PRECIOS!$G$6:$G$55,K232),ENTRADA!$L232))</f>
      </c>
      <c r="X232" s="37">
        <f>IF(B232="","",R232*Km_Puerto_Viaje*INDEX(PRECIOS!$N$6:$N$55,K232))</f>
      </c>
      <c r="Y232" s="70">
        <f>IF(B232="","",S232+V232+W232+X232)</f>
      </c>
      <c r="Z232" s="71">
        <f>IF(B232="","",IF(J232=0,0,ROUNDUP(J232/Rend_Desagrupe,0)))</f>
      </c>
      <c r="AA232" s="71">
        <f>IF(B232="","",IF(ENTRADA!$M232="",Z232,ENTRADA!$M232))</f>
      </c>
      <c r="AB232" s="37">
        <f>IF(B232="","",AA232*INDEX(PRECIOS!$H$6:$H$55,K232))</f>
      </c>
      <c r="AC232" s="37">
        <f>IF(B232="","",IF(E232="ENCI",INDEX(PRECIOS!$J$6:$J$55,K232),IF(E232="A.V",INDEX(PRECIOS!$K$6:$K$55,K232),0)))</f>
      </c>
      <c r="AD232" s="37">
        <f>IF(B232="","",N(ENTRADA!$N232))</f>
      </c>
      <c r="AE232" s="70">
        <f>IF(B232="","",AB232+AC232+AD232)</f>
      </c>
      <c r="AF232" s="71">
        <f>IF(B232="","",IF(G232=0,0,ROUNDUP(G232/Cap_Camion_OCC,0)))</f>
      </c>
      <c r="AG232" s="71">
        <f>IF(B232="","",AF232*L_Dist_OCC)</f>
      </c>
      <c r="AH232" s="71">
        <f>IF(B232="","",IF(ENTRADA!$O232="",AG232,ENTRADA!$O232))</f>
      </c>
      <c r="AI232" s="37">
        <f>IF(B232="","",AH232*INDEX(PRECIOS!$E$6:$E$55,K232))</f>
      </c>
      <c r="AJ232" s="71">
        <f>IF(B232="","",IF(H232=0,0,ROUNDUP(H232/Cap_Camion_CEN,0)))</f>
      </c>
      <c r="AK232" s="71">
        <f>IF(B232="","",AJ232*L_Tras_CEN)</f>
      </c>
      <c r="AL232" s="71">
        <f>IF(B232="","",IF(ENTRADA!$P232="",AK232,ENTRADA!$P232))</f>
      </c>
      <c r="AM232" s="71">
        <f>IF(B232="","",AJ232*L_Dist_CEN)</f>
      </c>
      <c r="AN232" s="71">
        <f>IF(B232="","",IF(ENTRADA!$Q232="",AM232,ENTRADA!$Q232))</f>
      </c>
      <c r="AO232" s="37">
        <f>IF(B232="","",(AL232+AN232)*INDEX(PRECIOS!$E$6:$E$55,K232))</f>
      </c>
      <c r="AP232" s="71">
        <f>IF(B232="","",IF(H232=0,0,ROUNDUP(H232/Rend_Desagrupe_CT,0)))</f>
      </c>
      <c r="AQ232" s="71">
        <f>IF(B232="","",IF(ENTRADA!$R232="",AP232,ENTRADA!$R232))</f>
      </c>
      <c r="AR232" s="37">
        <f>IF(B232="","",AQ232*INDEX(PRECIOS!$I$6:$I$55,K232))</f>
      </c>
      <c r="AS232" s="37">
        <f>IF(B232="","",AO232+AR232)</f>
      </c>
      <c r="AT232" s="71">
        <f>IF(B232="","",IF(I232=0,0,ROUNDUP(I232/Cap_Camion_ORI,0)))</f>
      </c>
      <c r="AU232" s="71">
        <f>IF(B232="","",AT232*L_Tras_ORI)</f>
      </c>
      <c r="AV232" s="71">
        <f>IF(B232="","",IF(ENTRADA!$S232="",AU232,ENTRADA!$S232))</f>
      </c>
      <c r="AW232" s="71">
        <f>IF(B232="","",AT232*L_Dist_ORI)</f>
      </c>
      <c r="AX232" s="71">
        <f>IF(B232="","",IF(ENTRADA!$T232="",AW232,ENTRADA!$T232))</f>
      </c>
      <c r="AY232" s="37">
        <f>IF(B232="","",(AV232+AX232)*INDEX(PRECIOS!$E$6:$E$55,K232))</f>
      </c>
      <c r="AZ232" s="71">
        <f>IF(B232="","",IF(I232=0,0,ROUNDUP(I232/Rend_Desagrupe_CT,0)))</f>
      </c>
      <c r="BA232" s="71">
        <f>IF(B232="","",IF(ENTRADA!$U232="",AZ232,ENTRADA!$U232))</f>
      </c>
      <c r="BB232" s="37">
        <f>IF(B232="","",BA232*INDEX(PRECIOS!$I$6:$I$55,K232))</f>
      </c>
      <c r="BC232" s="37">
        <f>IF(B232="","",AY232+BB232)</f>
      </c>
      <c r="BD232" s="70">
        <f>IF(B232="","",AI232+AS232+BC232)</f>
      </c>
      <c r="BE232" s="37">
        <f>IF(B232="","",IF(Base_Comision="% DEL INGRESO",M232*INDEX(PRECIOS!$L$6:$L$55,K232),G232*INDEX(PRECIOS!$M$6:$M$55,K232)))</f>
      </c>
      <c r="BF232" s="37">
        <f>IF(B232="","",IF(Base_Comision="% DEL INGRESO",N232*INDEX(PRECIOS!$L$6:$L$55,K232),H232*INDEX(PRECIOS!$M$6:$M$55,K232)))</f>
      </c>
      <c r="BG232" s="37">
        <f>IF(B232="","",IF(Base_Comision="% DEL INGRESO",O232*INDEX(PRECIOS!$L$6:$L$55,K232),I232*INDEX(PRECIOS!$M$6:$M$55,K232)))</f>
      </c>
      <c r="BH232" s="70">
        <f>IF(B232="","",BE232+BF232+BG232)</f>
      </c>
      <c r="BI232" s="37">
        <f>IF(B232="","",Q232*Pct_Reclamaciones)</f>
      </c>
      <c r="BJ232" s="37">
        <f>IF(B232="","",Q232*Pct_Banco)</f>
      </c>
      <c r="BK232" s="37">
        <f>IF(B232="","",N(ENTRADA!$V232))</f>
      </c>
      <c r="BL232" s="70">
        <f>IF(B232="","",Y232+AE232+BD232+BH232+BI232+BJ232+BK232)</f>
      </c>
      <c r="BM232" s="70">
        <f>IF(B232="","",Q232-BL232)</f>
      </c>
      <c r="BN232" s="72">
        <f>IF(B232="","",IF(Q232=0,0,BM232/Q232))</f>
      </c>
      <c r="BO232" s="73">
        <f>IF(B232="","",IF(J232=0,0,BM232/J232))</f>
      </c>
      <c r="BP232" s="60">
        <f>IF(B232="","",IFERROR(MATCH(D232,COSTOS_FIJOS!$G$5:$AD$5,0),0))</f>
      </c>
      <c r="BQ232" s="60">
        <f>IF(B232="","",COUNTIFS($D$6:$D$305,D232))</f>
      </c>
      <c r="BR232" s="67">
        <f>IF(B232="","",SUMIFS($J$6:$J$305,$D$6:$D$305,D232))</f>
      </c>
      <c r="BS232" s="72">
        <f>IF(B232="","",IF(Metodo_Prorrateo="KG",IF(BR232=0,0,J232/BR232),1/BQ232))</f>
      </c>
      <c r="BT232" s="37">
        <f>IF(B232="","",IF(BP232=0,0,INDEX(COSTOS_FIJOS!$G$38:$AD$38,BP232))*BS232)</f>
      </c>
      <c r="BU232" s="72">
        <f>IF(B232="","",IF(Metodo_Prorrateo="KG",IF(SUMIFS($G$6:$G$305,$D$6:$D$305,D232)=0,0,G232/SUMIFS($G$6:$G$305,$D$6:$D$305,D232)),IF(G232&gt;0,1/COUNTIFS($D$6:$D$305,D232,$G$6:$G$305,"&gt;0"),0)))</f>
      </c>
      <c r="BV232" s="37">
        <f>IF(B232="","",IF(BP232=0,0,INDEX(COSTOS_FIJOS!$G$39:$AD$39,BP232))*BU232)</f>
      </c>
      <c r="BW232" s="72">
        <f>IF(B232="","",IF(Metodo_Prorrateo="KG",IF(SUMIFS($H$6:$H$305,$D$6:$D$305,D232)=0,0,H232/SUMIFS($H$6:$H$305,$D$6:$D$305,D232)),IF(H232&gt;0,1/COUNTIFS($D$6:$D$305,D232,$H$6:$H$305,"&gt;0"),0)))</f>
      </c>
      <c r="BX232" s="37">
        <f>IF(B232="","",IF(BP232=0,0,INDEX(COSTOS_FIJOS!$G$40:$AD$40,BP232))*BW232)</f>
      </c>
      <c r="BY232" s="72">
        <f>IF(B232="","",IF(Metodo_Prorrateo="KG",IF(SUMIFS($I$6:$I$305,$D$6:$D$305,D232)=0,0,I232/SUMIFS($I$6:$I$305,$D$6:$D$305,D232)),IF(I232&gt;0,1/COUNTIFS($D$6:$D$305,D232,$I$6:$I$305,"&gt;0"),0)))</f>
      </c>
      <c r="BZ232" s="37">
        <f>IF(B232="","",IF(BP232=0,0,INDEX(COSTOS_FIJOS!$G$41:$AD$41,BP232))*BY232)</f>
      </c>
      <c r="CA232" s="70">
        <f>IF(B232="","",BT232+BV232+BX232+BZ232)</f>
      </c>
      <c r="CB232" s="37">
        <f>IF(B232="","",Q232*Imp_Ventas_Serv)</f>
      </c>
      <c r="CC232" s="37">
        <f>IF(B232="","",Q232*Contrib_Territorial)</f>
      </c>
      <c r="CD232" s="70">
        <f>IF(B232="","",BM232-CA232-CB232-CC232)</f>
      </c>
      <c r="CE232" s="37">
        <f>IF(B232="","",MAX(0,CD232)*Imp_Utilidades)</f>
      </c>
      <c r="CF232" s="70">
        <f>IF(B232="","",CD232-CE232)</f>
      </c>
      <c r="CG232" s="72">
        <f>IF(B232="","",IF(Q232=0,0,CF232/Q232))</f>
      </c>
      <c r="CH232" s="73">
        <f>IF(B232="","",IF(J232=0,0,(BL232+CA232+CB232+CC232)/J232))</f>
      </c>
      <c r="CI232" s="73">
        <f>IF(B232="","",IF(J232=0,0,Q232/J232))</f>
      </c>
      <c r="CJ232" s="73">
        <f>IF(B232="","",IF(J232=0,0,CD232/J232))</f>
      </c>
      <c r="CK232" s="37">
        <f>IF(B232="","",Y232+AE232+BK232+BT232)</f>
      </c>
      <c r="CL232" s="37">
        <f>IF(B232="","",IF(J232=0,0,(M232+P232*G232/J232)*(1-Pct_Reclamaciones-Pct_Banco-Imp_Ventas_Serv-Contrib_Territorial)-AI232-BE232-BV232-CK232*G232/J232))</f>
      </c>
      <c r="CM232" s="37">
        <f>IF(B232="","",IF(J232=0,0,(N232+P232*H232/J232)*(1-Pct_Reclamaciones-Pct_Banco-Imp_Ventas_Serv-Contrib_Territorial)-AS232-BF232-BX232-CK232*H232/J232))</f>
      </c>
      <c r="CN232" s="37">
        <f>IF(B232="","",IF(J232=0,0,(O232+P232*I232/J232)*(1-Pct_Reclamaciones-Pct_Banco-Imp_Ventas_Serv-Contrib_Territorial)-BC232-BG232-BZ232-CK232*I232/J232))</f>
      </c>
      <c r="CO232" s="37">
        <f>IF(B232="","",IF(J232=0,0,ROUND(CD232-CL232-CM232-CN232,4)))</f>
      </c>
      <c r="CP232" s="71">
        <f>IF(B232="","",T232+AG232+AK232+AM232+AU232+AW232)</f>
      </c>
      <c r="CQ232" s="71">
        <f>IF(B232="","",U232+AH232+AL232+AN232+AV232+AX232)</f>
      </c>
      <c r="CR232" s="72">
        <f>IF(B232="","",IF(CP232=0,0,CQ232/CP232-1))</f>
      </c>
      <c r="CS232" s="60">
        <f>IF(B232="","",IF(ENTRADA!$Y232="","",ENTRADA!$Y232-C232))</f>
      </c>
      <c r="CT232" s="66">
        <f>IF(B232="","",IF(ENTRADA!$C232="","Falta fecha. ","")&amp;IF(BP232=0,"Mes fuera del rango de COSTOS_FIJOS. ","")&amp;IF(J232=0,"Sin kg. ","")&amp;IF(E232="","Falta transitaria. ","")&amp;IF(AND(T232&gt;0,U232/T232-1&gt;Tolerancia_Comb),"Combustible al puerto "&amp;TEXT(U232/T232-1,"+0%")&amp;" sobre norma. ","")&amp;IF(AND(AG232&gt;0,AH232/AG232-1&gt;Tolerancia_Comb),"Combustible distribución Occidente "&amp;TEXT(AH232/AG232-1,"+0%")&amp;" sobre norma. ","")&amp;IF(AND(AK232&gt;0,AL232/AK232-1&gt;Tolerancia_Comb),"Combustible traslado Centro "&amp;TEXT(AL232/AK232-1,"+0%")&amp;" sobre norma. ","")&amp;IF(AND(AM232&gt;0,AN232/AM232-1&gt;Tolerancia_Comb),"Combustible distribución Centro "&amp;TEXT(AN232/AM232-1,"+0%")&amp;" sobre norma. ","")&amp;IF(AND(AU232&gt;0,AV232/AU232-1&gt;Tolerancia_Comb),"Combustible traslado Oriente "&amp;TEXT(AV232/AU232-1,"+0%")&amp;" sobre norma. ","")&amp;IF(AND(AW232&gt;0,AX232/AW232-1&gt;Tolerancia_Comb),"Combustible distribución Oriente "&amp;TEXT(AX232/AW232-1,"+0%")&amp;" sobre norma. ","")&amp;IF(AND(ENTRADA!$C232&lt;&gt;"",C232&lt;PRECIOS!$A$6),"Fecha anterior a la 1ª vigencia de precios. ","")&amp;IF(CD232&lt;0,"Contenedor con pérdida. ",""))</f>
      </c>
    </row>
    <row r="233">
      <c r="A233" s="60">
        <f>IF(B233="","",ROW()-5)</f>
      </c>
      <c r="B233" s="63">
        <f>IF(ENTRADA!$B233="","",ENTRADA!$B233)</f>
      </c>
      <c r="C233" s="64">
        <f>IF(B233="","",ENTRADA!$C233)</f>
      </c>
      <c r="D233" s="65">
        <f>IF(B233="","",DATE(YEAR(C233),MONTH(C233),1))</f>
      </c>
      <c r="E233" s="66">
        <f>IF(B233="","",ENTRADA!$D233&amp;"")</f>
      </c>
      <c r="F233" s="66">
        <f>IF(B233="","",ENTRADA!$Z233&amp;"")</f>
      </c>
      <c r="G233" s="67">
        <f>IF(B233="","",N(ENTRADA!$G233))</f>
      </c>
      <c r="H233" s="67">
        <f>IF(B233="","",N(ENTRADA!$H233))</f>
      </c>
      <c r="I233" s="67">
        <f>IF(B233="","",N(ENTRADA!$I233))</f>
      </c>
      <c r="J233" s="68">
        <f>IF(B233="","",G233+H233+I233)</f>
      </c>
      <c r="K233" s="60">
        <f>IF(B233="","",IFERROR(MATCH(SUMPRODUCT(MAX((PRECIOS!$A$6:$A$55&lt;=C233)*PRECIOS!$A$6:$A$55)),PRECIOS!$A$6:$A$55,0),1))</f>
      </c>
      <c r="L233" s="69">
        <f>IF(B233="","",INDEX(PRECIOS!$A$6:$A$55,K233))</f>
      </c>
      <c r="M233" s="37">
        <f>IF(B233="","",G233*INDEX(PRECIOS!$B$6:$B$55,K233))</f>
      </c>
      <c r="N233" s="37">
        <f>IF(B233="","",H233*INDEX(PRECIOS!$C$6:$C$55,K233))</f>
      </c>
      <c r="O233" s="37">
        <f>IF(B233="","",I233*INDEX(PRECIOS!$D$6:$D$55,K233))</f>
      </c>
      <c r="P233" s="37">
        <f>IF(B233="","",N(ENTRADA!$X233))</f>
      </c>
      <c r="Q233" s="70">
        <f>IF(B233="","",M233+N233+O233+P233)</f>
      </c>
      <c r="R233" s="71">
        <f>IF(B233="","",IF(ENTRADA!$J233="",Std_Viajes_Puerto,ENTRADA!$J233))</f>
      </c>
      <c r="S233" s="37">
        <f>IF(B233="","",R233*INDEX(PRECIOS!$F$6:$F$55,K233))</f>
      </c>
      <c r="T233" s="71">
        <f>IF(B233="","",R233*Litros_Puerto_Viaje)</f>
      </c>
      <c r="U233" s="71">
        <f>IF(B233="","",IF(ENTRADA!$K233="",T233,ENTRADA!$K233))</f>
      </c>
      <c r="V233" s="37">
        <f>IF(B233="","",U233*INDEX(PRECIOS!$E$6:$E$55,K233))</f>
      </c>
      <c r="W233" s="37">
        <f>IF(B233="","",IF(ENTRADA!$L233="",R233*INDEX(PRECIOS!$G$6:$G$55,K233),ENTRADA!$L233))</f>
      </c>
      <c r="X233" s="37">
        <f>IF(B233="","",R233*Km_Puerto_Viaje*INDEX(PRECIOS!$N$6:$N$55,K233))</f>
      </c>
      <c r="Y233" s="70">
        <f>IF(B233="","",S233+V233+W233+X233)</f>
      </c>
      <c r="Z233" s="71">
        <f>IF(B233="","",IF(J233=0,0,ROUNDUP(J233/Rend_Desagrupe,0)))</f>
      </c>
      <c r="AA233" s="71">
        <f>IF(B233="","",IF(ENTRADA!$M233="",Z233,ENTRADA!$M233))</f>
      </c>
      <c r="AB233" s="37">
        <f>IF(B233="","",AA233*INDEX(PRECIOS!$H$6:$H$55,K233))</f>
      </c>
      <c r="AC233" s="37">
        <f>IF(B233="","",IF(E233="ENCI",INDEX(PRECIOS!$J$6:$J$55,K233),IF(E233="A.V",INDEX(PRECIOS!$K$6:$K$55,K233),0)))</f>
      </c>
      <c r="AD233" s="37">
        <f>IF(B233="","",N(ENTRADA!$N233))</f>
      </c>
      <c r="AE233" s="70">
        <f>IF(B233="","",AB233+AC233+AD233)</f>
      </c>
      <c r="AF233" s="71">
        <f>IF(B233="","",IF(G233=0,0,ROUNDUP(G233/Cap_Camion_OCC,0)))</f>
      </c>
      <c r="AG233" s="71">
        <f>IF(B233="","",AF233*L_Dist_OCC)</f>
      </c>
      <c r="AH233" s="71">
        <f>IF(B233="","",IF(ENTRADA!$O233="",AG233,ENTRADA!$O233))</f>
      </c>
      <c r="AI233" s="37">
        <f>IF(B233="","",AH233*INDEX(PRECIOS!$E$6:$E$55,K233))</f>
      </c>
      <c r="AJ233" s="71">
        <f>IF(B233="","",IF(H233=0,0,ROUNDUP(H233/Cap_Camion_CEN,0)))</f>
      </c>
      <c r="AK233" s="71">
        <f>IF(B233="","",AJ233*L_Tras_CEN)</f>
      </c>
      <c r="AL233" s="71">
        <f>IF(B233="","",IF(ENTRADA!$P233="",AK233,ENTRADA!$P233))</f>
      </c>
      <c r="AM233" s="71">
        <f>IF(B233="","",AJ233*L_Dist_CEN)</f>
      </c>
      <c r="AN233" s="71">
        <f>IF(B233="","",IF(ENTRADA!$Q233="",AM233,ENTRADA!$Q233))</f>
      </c>
      <c r="AO233" s="37">
        <f>IF(B233="","",(AL233+AN233)*INDEX(PRECIOS!$E$6:$E$55,K233))</f>
      </c>
      <c r="AP233" s="71">
        <f>IF(B233="","",IF(H233=0,0,ROUNDUP(H233/Rend_Desagrupe_CT,0)))</f>
      </c>
      <c r="AQ233" s="71">
        <f>IF(B233="","",IF(ENTRADA!$R233="",AP233,ENTRADA!$R233))</f>
      </c>
      <c r="AR233" s="37">
        <f>IF(B233="","",AQ233*INDEX(PRECIOS!$I$6:$I$55,K233))</f>
      </c>
      <c r="AS233" s="37">
        <f>IF(B233="","",AO233+AR233)</f>
      </c>
      <c r="AT233" s="71">
        <f>IF(B233="","",IF(I233=0,0,ROUNDUP(I233/Cap_Camion_ORI,0)))</f>
      </c>
      <c r="AU233" s="71">
        <f>IF(B233="","",AT233*L_Tras_ORI)</f>
      </c>
      <c r="AV233" s="71">
        <f>IF(B233="","",IF(ENTRADA!$S233="",AU233,ENTRADA!$S233))</f>
      </c>
      <c r="AW233" s="71">
        <f>IF(B233="","",AT233*L_Dist_ORI)</f>
      </c>
      <c r="AX233" s="71">
        <f>IF(B233="","",IF(ENTRADA!$T233="",AW233,ENTRADA!$T233))</f>
      </c>
      <c r="AY233" s="37">
        <f>IF(B233="","",(AV233+AX233)*INDEX(PRECIOS!$E$6:$E$55,K233))</f>
      </c>
      <c r="AZ233" s="71">
        <f>IF(B233="","",IF(I233=0,0,ROUNDUP(I233/Rend_Desagrupe_CT,0)))</f>
      </c>
      <c r="BA233" s="71">
        <f>IF(B233="","",IF(ENTRADA!$U233="",AZ233,ENTRADA!$U233))</f>
      </c>
      <c r="BB233" s="37">
        <f>IF(B233="","",BA233*INDEX(PRECIOS!$I$6:$I$55,K233))</f>
      </c>
      <c r="BC233" s="37">
        <f>IF(B233="","",AY233+BB233)</f>
      </c>
      <c r="BD233" s="70">
        <f>IF(B233="","",AI233+AS233+BC233)</f>
      </c>
      <c r="BE233" s="37">
        <f>IF(B233="","",IF(Base_Comision="% DEL INGRESO",M233*INDEX(PRECIOS!$L$6:$L$55,K233),G233*INDEX(PRECIOS!$M$6:$M$55,K233)))</f>
      </c>
      <c r="BF233" s="37">
        <f>IF(B233="","",IF(Base_Comision="% DEL INGRESO",N233*INDEX(PRECIOS!$L$6:$L$55,K233),H233*INDEX(PRECIOS!$M$6:$M$55,K233)))</f>
      </c>
      <c r="BG233" s="37">
        <f>IF(B233="","",IF(Base_Comision="% DEL INGRESO",O233*INDEX(PRECIOS!$L$6:$L$55,K233),I233*INDEX(PRECIOS!$M$6:$M$55,K233)))</f>
      </c>
      <c r="BH233" s="70">
        <f>IF(B233="","",BE233+BF233+BG233)</f>
      </c>
      <c r="BI233" s="37">
        <f>IF(B233="","",Q233*Pct_Reclamaciones)</f>
      </c>
      <c r="BJ233" s="37">
        <f>IF(B233="","",Q233*Pct_Banco)</f>
      </c>
      <c r="BK233" s="37">
        <f>IF(B233="","",N(ENTRADA!$V233))</f>
      </c>
      <c r="BL233" s="70">
        <f>IF(B233="","",Y233+AE233+BD233+BH233+BI233+BJ233+BK233)</f>
      </c>
      <c r="BM233" s="70">
        <f>IF(B233="","",Q233-BL233)</f>
      </c>
      <c r="BN233" s="72">
        <f>IF(B233="","",IF(Q233=0,0,BM233/Q233))</f>
      </c>
      <c r="BO233" s="73">
        <f>IF(B233="","",IF(J233=0,0,BM233/J233))</f>
      </c>
      <c r="BP233" s="60">
        <f>IF(B233="","",IFERROR(MATCH(D233,COSTOS_FIJOS!$G$5:$AD$5,0),0))</f>
      </c>
      <c r="BQ233" s="60">
        <f>IF(B233="","",COUNTIFS($D$6:$D$305,D233))</f>
      </c>
      <c r="BR233" s="67">
        <f>IF(B233="","",SUMIFS($J$6:$J$305,$D$6:$D$305,D233))</f>
      </c>
      <c r="BS233" s="72">
        <f>IF(B233="","",IF(Metodo_Prorrateo="KG",IF(BR233=0,0,J233/BR233),1/BQ233))</f>
      </c>
      <c r="BT233" s="37">
        <f>IF(B233="","",IF(BP233=0,0,INDEX(COSTOS_FIJOS!$G$38:$AD$38,BP233))*BS233)</f>
      </c>
      <c r="BU233" s="72">
        <f>IF(B233="","",IF(Metodo_Prorrateo="KG",IF(SUMIFS($G$6:$G$305,$D$6:$D$305,D233)=0,0,G233/SUMIFS($G$6:$G$305,$D$6:$D$305,D233)),IF(G233&gt;0,1/COUNTIFS($D$6:$D$305,D233,$G$6:$G$305,"&gt;0"),0)))</f>
      </c>
      <c r="BV233" s="37">
        <f>IF(B233="","",IF(BP233=0,0,INDEX(COSTOS_FIJOS!$G$39:$AD$39,BP233))*BU233)</f>
      </c>
      <c r="BW233" s="72">
        <f>IF(B233="","",IF(Metodo_Prorrateo="KG",IF(SUMIFS($H$6:$H$305,$D$6:$D$305,D233)=0,0,H233/SUMIFS($H$6:$H$305,$D$6:$D$305,D233)),IF(H233&gt;0,1/COUNTIFS($D$6:$D$305,D233,$H$6:$H$305,"&gt;0"),0)))</f>
      </c>
      <c r="BX233" s="37">
        <f>IF(B233="","",IF(BP233=0,0,INDEX(COSTOS_FIJOS!$G$40:$AD$40,BP233))*BW233)</f>
      </c>
      <c r="BY233" s="72">
        <f>IF(B233="","",IF(Metodo_Prorrateo="KG",IF(SUMIFS($I$6:$I$305,$D$6:$D$305,D233)=0,0,I233/SUMIFS($I$6:$I$305,$D$6:$D$305,D233)),IF(I233&gt;0,1/COUNTIFS($D$6:$D$305,D233,$I$6:$I$305,"&gt;0"),0)))</f>
      </c>
      <c r="BZ233" s="37">
        <f>IF(B233="","",IF(BP233=0,0,INDEX(COSTOS_FIJOS!$G$41:$AD$41,BP233))*BY233)</f>
      </c>
      <c r="CA233" s="70">
        <f>IF(B233="","",BT233+BV233+BX233+BZ233)</f>
      </c>
      <c r="CB233" s="37">
        <f>IF(B233="","",Q233*Imp_Ventas_Serv)</f>
      </c>
      <c r="CC233" s="37">
        <f>IF(B233="","",Q233*Contrib_Territorial)</f>
      </c>
      <c r="CD233" s="70">
        <f>IF(B233="","",BM233-CA233-CB233-CC233)</f>
      </c>
      <c r="CE233" s="37">
        <f>IF(B233="","",MAX(0,CD233)*Imp_Utilidades)</f>
      </c>
      <c r="CF233" s="70">
        <f>IF(B233="","",CD233-CE233)</f>
      </c>
      <c r="CG233" s="72">
        <f>IF(B233="","",IF(Q233=0,0,CF233/Q233))</f>
      </c>
      <c r="CH233" s="73">
        <f>IF(B233="","",IF(J233=0,0,(BL233+CA233+CB233+CC233)/J233))</f>
      </c>
      <c r="CI233" s="73">
        <f>IF(B233="","",IF(J233=0,0,Q233/J233))</f>
      </c>
      <c r="CJ233" s="73">
        <f>IF(B233="","",IF(J233=0,0,CD233/J233))</f>
      </c>
      <c r="CK233" s="37">
        <f>IF(B233="","",Y233+AE233+BK233+BT233)</f>
      </c>
      <c r="CL233" s="37">
        <f>IF(B233="","",IF(J233=0,0,(M233+P233*G233/J233)*(1-Pct_Reclamaciones-Pct_Banco-Imp_Ventas_Serv-Contrib_Territorial)-AI233-BE233-BV233-CK233*G233/J233))</f>
      </c>
      <c r="CM233" s="37">
        <f>IF(B233="","",IF(J233=0,0,(N233+P233*H233/J233)*(1-Pct_Reclamaciones-Pct_Banco-Imp_Ventas_Serv-Contrib_Territorial)-AS233-BF233-BX233-CK233*H233/J233))</f>
      </c>
      <c r="CN233" s="37">
        <f>IF(B233="","",IF(J233=0,0,(O233+P233*I233/J233)*(1-Pct_Reclamaciones-Pct_Banco-Imp_Ventas_Serv-Contrib_Territorial)-BC233-BG233-BZ233-CK233*I233/J233))</f>
      </c>
      <c r="CO233" s="37">
        <f>IF(B233="","",IF(J233=0,0,ROUND(CD233-CL233-CM233-CN233,4)))</f>
      </c>
      <c r="CP233" s="71">
        <f>IF(B233="","",T233+AG233+AK233+AM233+AU233+AW233)</f>
      </c>
      <c r="CQ233" s="71">
        <f>IF(B233="","",U233+AH233+AL233+AN233+AV233+AX233)</f>
      </c>
      <c r="CR233" s="72">
        <f>IF(B233="","",IF(CP233=0,0,CQ233/CP233-1))</f>
      </c>
      <c r="CS233" s="60">
        <f>IF(B233="","",IF(ENTRADA!$Y233="","",ENTRADA!$Y233-C233))</f>
      </c>
      <c r="CT233" s="66">
        <f>IF(B233="","",IF(ENTRADA!$C233="","Falta fecha. ","")&amp;IF(BP233=0,"Mes fuera del rango de COSTOS_FIJOS. ","")&amp;IF(J233=0,"Sin kg. ","")&amp;IF(E233="","Falta transitaria. ","")&amp;IF(AND(T233&gt;0,U233/T233-1&gt;Tolerancia_Comb),"Combustible al puerto "&amp;TEXT(U233/T233-1,"+0%")&amp;" sobre norma. ","")&amp;IF(AND(AG233&gt;0,AH233/AG233-1&gt;Tolerancia_Comb),"Combustible distribución Occidente "&amp;TEXT(AH233/AG233-1,"+0%")&amp;" sobre norma. ","")&amp;IF(AND(AK233&gt;0,AL233/AK233-1&gt;Tolerancia_Comb),"Combustible traslado Centro "&amp;TEXT(AL233/AK233-1,"+0%")&amp;" sobre norma. ","")&amp;IF(AND(AM233&gt;0,AN233/AM233-1&gt;Tolerancia_Comb),"Combustible distribución Centro "&amp;TEXT(AN233/AM233-1,"+0%")&amp;" sobre norma. ","")&amp;IF(AND(AU233&gt;0,AV233/AU233-1&gt;Tolerancia_Comb),"Combustible traslado Oriente "&amp;TEXT(AV233/AU233-1,"+0%")&amp;" sobre norma. ","")&amp;IF(AND(AW233&gt;0,AX233/AW233-1&gt;Tolerancia_Comb),"Combustible distribución Oriente "&amp;TEXT(AX233/AW233-1,"+0%")&amp;" sobre norma. ","")&amp;IF(AND(ENTRADA!$C233&lt;&gt;"",C233&lt;PRECIOS!$A$6),"Fecha anterior a la 1ª vigencia de precios. ","")&amp;IF(CD233&lt;0,"Contenedor con pérdida. ",""))</f>
      </c>
    </row>
    <row r="234">
      <c r="A234" s="60">
        <f>IF(B234="","",ROW()-5)</f>
      </c>
      <c r="B234" s="63">
        <f>IF(ENTRADA!$B234="","",ENTRADA!$B234)</f>
      </c>
      <c r="C234" s="64">
        <f>IF(B234="","",ENTRADA!$C234)</f>
      </c>
      <c r="D234" s="65">
        <f>IF(B234="","",DATE(YEAR(C234),MONTH(C234),1))</f>
      </c>
      <c r="E234" s="66">
        <f>IF(B234="","",ENTRADA!$D234&amp;"")</f>
      </c>
      <c r="F234" s="66">
        <f>IF(B234="","",ENTRADA!$Z234&amp;"")</f>
      </c>
      <c r="G234" s="67">
        <f>IF(B234="","",N(ENTRADA!$G234))</f>
      </c>
      <c r="H234" s="67">
        <f>IF(B234="","",N(ENTRADA!$H234))</f>
      </c>
      <c r="I234" s="67">
        <f>IF(B234="","",N(ENTRADA!$I234))</f>
      </c>
      <c r="J234" s="68">
        <f>IF(B234="","",G234+H234+I234)</f>
      </c>
      <c r="K234" s="60">
        <f>IF(B234="","",IFERROR(MATCH(SUMPRODUCT(MAX((PRECIOS!$A$6:$A$55&lt;=C234)*PRECIOS!$A$6:$A$55)),PRECIOS!$A$6:$A$55,0),1))</f>
      </c>
      <c r="L234" s="69">
        <f>IF(B234="","",INDEX(PRECIOS!$A$6:$A$55,K234))</f>
      </c>
      <c r="M234" s="37">
        <f>IF(B234="","",G234*INDEX(PRECIOS!$B$6:$B$55,K234))</f>
      </c>
      <c r="N234" s="37">
        <f>IF(B234="","",H234*INDEX(PRECIOS!$C$6:$C$55,K234))</f>
      </c>
      <c r="O234" s="37">
        <f>IF(B234="","",I234*INDEX(PRECIOS!$D$6:$D$55,K234))</f>
      </c>
      <c r="P234" s="37">
        <f>IF(B234="","",N(ENTRADA!$X234))</f>
      </c>
      <c r="Q234" s="70">
        <f>IF(B234="","",M234+N234+O234+P234)</f>
      </c>
      <c r="R234" s="71">
        <f>IF(B234="","",IF(ENTRADA!$J234="",Std_Viajes_Puerto,ENTRADA!$J234))</f>
      </c>
      <c r="S234" s="37">
        <f>IF(B234="","",R234*INDEX(PRECIOS!$F$6:$F$55,K234))</f>
      </c>
      <c r="T234" s="71">
        <f>IF(B234="","",R234*Litros_Puerto_Viaje)</f>
      </c>
      <c r="U234" s="71">
        <f>IF(B234="","",IF(ENTRADA!$K234="",T234,ENTRADA!$K234))</f>
      </c>
      <c r="V234" s="37">
        <f>IF(B234="","",U234*INDEX(PRECIOS!$E$6:$E$55,K234))</f>
      </c>
      <c r="W234" s="37">
        <f>IF(B234="","",IF(ENTRADA!$L234="",R234*INDEX(PRECIOS!$G$6:$G$55,K234),ENTRADA!$L234))</f>
      </c>
      <c r="X234" s="37">
        <f>IF(B234="","",R234*Km_Puerto_Viaje*INDEX(PRECIOS!$N$6:$N$55,K234))</f>
      </c>
      <c r="Y234" s="70">
        <f>IF(B234="","",S234+V234+W234+X234)</f>
      </c>
      <c r="Z234" s="71">
        <f>IF(B234="","",IF(J234=0,0,ROUNDUP(J234/Rend_Desagrupe,0)))</f>
      </c>
      <c r="AA234" s="71">
        <f>IF(B234="","",IF(ENTRADA!$M234="",Z234,ENTRADA!$M234))</f>
      </c>
      <c r="AB234" s="37">
        <f>IF(B234="","",AA234*INDEX(PRECIOS!$H$6:$H$55,K234))</f>
      </c>
      <c r="AC234" s="37">
        <f>IF(B234="","",IF(E234="ENCI",INDEX(PRECIOS!$J$6:$J$55,K234),IF(E234="A.V",INDEX(PRECIOS!$K$6:$K$55,K234),0)))</f>
      </c>
      <c r="AD234" s="37">
        <f>IF(B234="","",N(ENTRADA!$N234))</f>
      </c>
      <c r="AE234" s="70">
        <f>IF(B234="","",AB234+AC234+AD234)</f>
      </c>
      <c r="AF234" s="71">
        <f>IF(B234="","",IF(G234=0,0,ROUNDUP(G234/Cap_Camion_OCC,0)))</f>
      </c>
      <c r="AG234" s="71">
        <f>IF(B234="","",AF234*L_Dist_OCC)</f>
      </c>
      <c r="AH234" s="71">
        <f>IF(B234="","",IF(ENTRADA!$O234="",AG234,ENTRADA!$O234))</f>
      </c>
      <c r="AI234" s="37">
        <f>IF(B234="","",AH234*INDEX(PRECIOS!$E$6:$E$55,K234))</f>
      </c>
      <c r="AJ234" s="71">
        <f>IF(B234="","",IF(H234=0,0,ROUNDUP(H234/Cap_Camion_CEN,0)))</f>
      </c>
      <c r="AK234" s="71">
        <f>IF(B234="","",AJ234*L_Tras_CEN)</f>
      </c>
      <c r="AL234" s="71">
        <f>IF(B234="","",IF(ENTRADA!$P234="",AK234,ENTRADA!$P234))</f>
      </c>
      <c r="AM234" s="71">
        <f>IF(B234="","",AJ234*L_Dist_CEN)</f>
      </c>
      <c r="AN234" s="71">
        <f>IF(B234="","",IF(ENTRADA!$Q234="",AM234,ENTRADA!$Q234))</f>
      </c>
      <c r="AO234" s="37">
        <f>IF(B234="","",(AL234+AN234)*INDEX(PRECIOS!$E$6:$E$55,K234))</f>
      </c>
      <c r="AP234" s="71">
        <f>IF(B234="","",IF(H234=0,0,ROUNDUP(H234/Rend_Desagrupe_CT,0)))</f>
      </c>
      <c r="AQ234" s="71">
        <f>IF(B234="","",IF(ENTRADA!$R234="",AP234,ENTRADA!$R234))</f>
      </c>
      <c r="AR234" s="37">
        <f>IF(B234="","",AQ234*INDEX(PRECIOS!$I$6:$I$55,K234))</f>
      </c>
      <c r="AS234" s="37">
        <f>IF(B234="","",AO234+AR234)</f>
      </c>
      <c r="AT234" s="71">
        <f>IF(B234="","",IF(I234=0,0,ROUNDUP(I234/Cap_Camion_ORI,0)))</f>
      </c>
      <c r="AU234" s="71">
        <f>IF(B234="","",AT234*L_Tras_ORI)</f>
      </c>
      <c r="AV234" s="71">
        <f>IF(B234="","",IF(ENTRADA!$S234="",AU234,ENTRADA!$S234))</f>
      </c>
      <c r="AW234" s="71">
        <f>IF(B234="","",AT234*L_Dist_ORI)</f>
      </c>
      <c r="AX234" s="71">
        <f>IF(B234="","",IF(ENTRADA!$T234="",AW234,ENTRADA!$T234))</f>
      </c>
      <c r="AY234" s="37">
        <f>IF(B234="","",(AV234+AX234)*INDEX(PRECIOS!$E$6:$E$55,K234))</f>
      </c>
      <c r="AZ234" s="71">
        <f>IF(B234="","",IF(I234=0,0,ROUNDUP(I234/Rend_Desagrupe_CT,0)))</f>
      </c>
      <c r="BA234" s="71">
        <f>IF(B234="","",IF(ENTRADA!$U234="",AZ234,ENTRADA!$U234))</f>
      </c>
      <c r="BB234" s="37">
        <f>IF(B234="","",BA234*INDEX(PRECIOS!$I$6:$I$55,K234))</f>
      </c>
      <c r="BC234" s="37">
        <f>IF(B234="","",AY234+BB234)</f>
      </c>
      <c r="BD234" s="70">
        <f>IF(B234="","",AI234+AS234+BC234)</f>
      </c>
      <c r="BE234" s="37">
        <f>IF(B234="","",IF(Base_Comision="% DEL INGRESO",M234*INDEX(PRECIOS!$L$6:$L$55,K234),G234*INDEX(PRECIOS!$M$6:$M$55,K234)))</f>
      </c>
      <c r="BF234" s="37">
        <f>IF(B234="","",IF(Base_Comision="% DEL INGRESO",N234*INDEX(PRECIOS!$L$6:$L$55,K234),H234*INDEX(PRECIOS!$M$6:$M$55,K234)))</f>
      </c>
      <c r="BG234" s="37">
        <f>IF(B234="","",IF(Base_Comision="% DEL INGRESO",O234*INDEX(PRECIOS!$L$6:$L$55,K234),I234*INDEX(PRECIOS!$M$6:$M$55,K234)))</f>
      </c>
      <c r="BH234" s="70">
        <f>IF(B234="","",BE234+BF234+BG234)</f>
      </c>
      <c r="BI234" s="37">
        <f>IF(B234="","",Q234*Pct_Reclamaciones)</f>
      </c>
      <c r="BJ234" s="37">
        <f>IF(B234="","",Q234*Pct_Banco)</f>
      </c>
      <c r="BK234" s="37">
        <f>IF(B234="","",N(ENTRADA!$V234))</f>
      </c>
      <c r="BL234" s="70">
        <f>IF(B234="","",Y234+AE234+BD234+BH234+BI234+BJ234+BK234)</f>
      </c>
      <c r="BM234" s="70">
        <f>IF(B234="","",Q234-BL234)</f>
      </c>
      <c r="BN234" s="72">
        <f>IF(B234="","",IF(Q234=0,0,BM234/Q234))</f>
      </c>
      <c r="BO234" s="73">
        <f>IF(B234="","",IF(J234=0,0,BM234/J234))</f>
      </c>
      <c r="BP234" s="60">
        <f>IF(B234="","",IFERROR(MATCH(D234,COSTOS_FIJOS!$G$5:$AD$5,0),0))</f>
      </c>
      <c r="BQ234" s="60">
        <f>IF(B234="","",COUNTIFS($D$6:$D$305,D234))</f>
      </c>
      <c r="BR234" s="67">
        <f>IF(B234="","",SUMIFS($J$6:$J$305,$D$6:$D$305,D234))</f>
      </c>
      <c r="BS234" s="72">
        <f>IF(B234="","",IF(Metodo_Prorrateo="KG",IF(BR234=0,0,J234/BR234),1/BQ234))</f>
      </c>
      <c r="BT234" s="37">
        <f>IF(B234="","",IF(BP234=0,0,INDEX(COSTOS_FIJOS!$G$38:$AD$38,BP234))*BS234)</f>
      </c>
      <c r="BU234" s="72">
        <f>IF(B234="","",IF(Metodo_Prorrateo="KG",IF(SUMIFS($G$6:$G$305,$D$6:$D$305,D234)=0,0,G234/SUMIFS($G$6:$G$305,$D$6:$D$305,D234)),IF(G234&gt;0,1/COUNTIFS($D$6:$D$305,D234,$G$6:$G$305,"&gt;0"),0)))</f>
      </c>
      <c r="BV234" s="37">
        <f>IF(B234="","",IF(BP234=0,0,INDEX(COSTOS_FIJOS!$G$39:$AD$39,BP234))*BU234)</f>
      </c>
      <c r="BW234" s="72">
        <f>IF(B234="","",IF(Metodo_Prorrateo="KG",IF(SUMIFS($H$6:$H$305,$D$6:$D$305,D234)=0,0,H234/SUMIFS($H$6:$H$305,$D$6:$D$305,D234)),IF(H234&gt;0,1/COUNTIFS($D$6:$D$305,D234,$H$6:$H$305,"&gt;0"),0)))</f>
      </c>
      <c r="BX234" s="37">
        <f>IF(B234="","",IF(BP234=0,0,INDEX(COSTOS_FIJOS!$G$40:$AD$40,BP234))*BW234)</f>
      </c>
      <c r="BY234" s="72">
        <f>IF(B234="","",IF(Metodo_Prorrateo="KG",IF(SUMIFS($I$6:$I$305,$D$6:$D$305,D234)=0,0,I234/SUMIFS($I$6:$I$305,$D$6:$D$305,D234)),IF(I234&gt;0,1/COUNTIFS($D$6:$D$305,D234,$I$6:$I$305,"&gt;0"),0)))</f>
      </c>
      <c r="BZ234" s="37">
        <f>IF(B234="","",IF(BP234=0,0,INDEX(COSTOS_FIJOS!$G$41:$AD$41,BP234))*BY234)</f>
      </c>
      <c r="CA234" s="70">
        <f>IF(B234="","",BT234+BV234+BX234+BZ234)</f>
      </c>
      <c r="CB234" s="37">
        <f>IF(B234="","",Q234*Imp_Ventas_Serv)</f>
      </c>
      <c r="CC234" s="37">
        <f>IF(B234="","",Q234*Contrib_Territorial)</f>
      </c>
      <c r="CD234" s="70">
        <f>IF(B234="","",BM234-CA234-CB234-CC234)</f>
      </c>
      <c r="CE234" s="37">
        <f>IF(B234="","",MAX(0,CD234)*Imp_Utilidades)</f>
      </c>
      <c r="CF234" s="70">
        <f>IF(B234="","",CD234-CE234)</f>
      </c>
      <c r="CG234" s="72">
        <f>IF(B234="","",IF(Q234=0,0,CF234/Q234))</f>
      </c>
      <c r="CH234" s="73">
        <f>IF(B234="","",IF(J234=0,0,(BL234+CA234+CB234+CC234)/J234))</f>
      </c>
      <c r="CI234" s="73">
        <f>IF(B234="","",IF(J234=0,0,Q234/J234))</f>
      </c>
      <c r="CJ234" s="73">
        <f>IF(B234="","",IF(J234=0,0,CD234/J234))</f>
      </c>
      <c r="CK234" s="37">
        <f>IF(B234="","",Y234+AE234+BK234+BT234)</f>
      </c>
      <c r="CL234" s="37">
        <f>IF(B234="","",IF(J234=0,0,(M234+P234*G234/J234)*(1-Pct_Reclamaciones-Pct_Banco-Imp_Ventas_Serv-Contrib_Territorial)-AI234-BE234-BV234-CK234*G234/J234))</f>
      </c>
      <c r="CM234" s="37">
        <f>IF(B234="","",IF(J234=0,0,(N234+P234*H234/J234)*(1-Pct_Reclamaciones-Pct_Banco-Imp_Ventas_Serv-Contrib_Territorial)-AS234-BF234-BX234-CK234*H234/J234))</f>
      </c>
      <c r="CN234" s="37">
        <f>IF(B234="","",IF(J234=0,0,(O234+P234*I234/J234)*(1-Pct_Reclamaciones-Pct_Banco-Imp_Ventas_Serv-Contrib_Territorial)-BC234-BG234-BZ234-CK234*I234/J234))</f>
      </c>
      <c r="CO234" s="37">
        <f>IF(B234="","",IF(J234=0,0,ROUND(CD234-CL234-CM234-CN234,4)))</f>
      </c>
      <c r="CP234" s="71">
        <f>IF(B234="","",T234+AG234+AK234+AM234+AU234+AW234)</f>
      </c>
      <c r="CQ234" s="71">
        <f>IF(B234="","",U234+AH234+AL234+AN234+AV234+AX234)</f>
      </c>
      <c r="CR234" s="72">
        <f>IF(B234="","",IF(CP234=0,0,CQ234/CP234-1))</f>
      </c>
      <c r="CS234" s="60">
        <f>IF(B234="","",IF(ENTRADA!$Y234="","",ENTRADA!$Y234-C234))</f>
      </c>
      <c r="CT234" s="66">
        <f>IF(B234="","",IF(ENTRADA!$C234="","Falta fecha. ","")&amp;IF(BP234=0,"Mes fuera del rango de COSTOS_FIJOS. ","")&amp;IF(J234=0,"Sin kg. ","")&amp;IF(E234="","Falta transitaria. ","")&amp;IF(AND(T234&gt;0,U234/T234-1&gt;Tolerancia_Comb),"Combustible al puerto "&amp;TEXT(U234/T234-1,"+0%")&amp;" sobre norma. ","")&amp;IF(AND(AG234&gt;0,AH234/AG234-1&gt;Tolerancia_Comb),"Combustible distribución Occidente "&amp;TEXT(AH234/AG234-1,"+0%")&amp;" sobre norma. ","")&amp;IF(AND(AK234&gt;0,AL234/AK234-1&gt;Tolerancia_Comb),"Combustible traslado Centro "&amp;TEXT(AL234/AK234-1,"+0%")&amp;" sobre norma. ","")&amp;IF(AND(AM234&gt;0,AN234/AM234-1&gt;Tolerancia_Comb),"Combustible distribución Centro "&amp;TEXT(AN234/AM234-1,"+0%")&amp;" sobre norma. ","")&amp;IF(AND(AU234&gt;0,AV234/AU234-1&gt;Tolerancia_Comb),"Combustible traslado Oriente "&amp;TEXT(AV234/AU234-1,"+0%")&amp;" sobre norma. ","")&amp;IF(AND(AW234&gt;0,AX234/AW234-1&gt;Tolerancia_Comb),"Combustible distribución Oriente "&amp;TEXT(AX234/AW234-1,"+0%")&amp;" sobre norma. ","")&amp;IF(AND(ENTRADA!$C234&lt;&gt;"",C234&lt;PRECIOS!$A$6),"Fecha anterior a la 1ª vigencia de precios. ","")&amp;IF(CD234&lt;0,"Contenedor con pérdida. ",""))</f>
      </c>
    </row>
    <row r="235">
      <c r="A235" s="60">
        <f>IF(B235="","",ROW()-5)</f>
      </c>
      <c r="B235" s="63">
        <f>IF(ENTRADA!$B235="","",ENTRADA!$B235)</f>
      </c>
      <c r="C235" s="64">
        <f>IF(B235="","",ENTRADA!$C235)</f>
      </c>
      <c r="D235" s="65">
        <f>IF(B235="","",DATE(YEAR(C235),MONTH(C235),1))</f>
      </c>
      <c r="E235" s="66">
        <f>IF(B235="","",ENTRADA!$D235&amp;"")</f>
      </c>
      <c r="F235" s="66">
        <f>IF(B235="","",ENTRADA!$Z235&amp;"")</f>
      </c>
      <c r="G235" s="67">
        <f>IF(B235="","",N(ENTRADA!$G235))</f>
      </c>
      <c r="H235" s="67">
        <f>IF(B235="","",N(ENTRADA!$H235))</f>
      </c>
      <c r="I235" s="67">
        <f>IF(B235="","",N(ENTRADA!$I235))</f>
      </c>
      <c r="J235" s="68">
        <f>IF(B235="","",G235+H235+I235)</f>
      </c>
      <c r="K235" s="60">
        <f>IF(B235="","",IFERROR(MATCH(SUMPRODUCT(MAX((PRECIOS!$A$6:$A$55&lt;=C235)*PRECIOS!$A$6:$A$55)),PRECIOS!$A$6:$A$55,0),1))</f>
      </c>
      <c r="L235" s="69">
        <f>IF(B235="","",INDEX(PRECIOS!$A$6:$A$55,K235))</f>
      </c>
      <c r="M235" s="37">
        <f>IF(B235="","",G235*INDEX(PRECIOS!$B$6:$B$55,K235))</f>
      </c>
      <c r="N235" s="37">
        <f>IF(B235="","",H235*INDEX(PRECIOS!$C$6:$C$55,K235))</f>
      </c>
      <c r="O235" s="37">
        <f>IF(B235="","",I235*INDEX(PRECIOS!$D$6:$D$55,K235))</f>
      </c>
      <c r="P235" s="37">
        <f>IF(B235="","",N(ENTRADA!$X235))</f>
      </c>
      <c r="Q235" s="70">
        <f>IF(B235="","",M235+N235+O235+P235)</f>
      </c>
      <c r="R235" s="71">
        <f>IF(B235="","",IF(ENTRADA!$J235="",Std_Viajes_Puerto,ENTRADA!$J235))</f>
      </c>
      <c r="S235" s="37">
        <f>IF(B235="","",R235*INDEX(PRECIOS!$F$6:$F$55,K235))</f>
      </c>
      <c r="T235" s="71">
        <f>IF(B235="","",R235*Litros_Puerto_Viaje)</f>
      </c>
      <c r="U235" s="71">
        <f>IF(B235="","",IF(ENTRADA!$K235="",T235,ENTRADA!$K235))</f>
      </c>
      <c r="V235" s="37">
        <f>IF(B235="","",U235*INDEX(PRECIOS!$E$6:$E$55,K235))</f>
      </c>
      <c r="W235" s="37">
        <f>IF(B235="","",IF(ENTRADA!$L235="",R235*INDEX(PRECIOS!$G$6:$G$55,K235),ENTRADA!$L235))</f>
      </c>
      <c r="X235" s="37">
        <f>IF(B235="","",R235*Km_Puerto_Viaje*INDEX(PRECIOS!$N$6:$N$55,K235))</f>
      </c>
      <c r="Y235" s="70">
        <f>IF(B235="","",S235+V235+W235+X235)</f>
      </c>
      <c r="Z235" s="71">
        <f>IF(B235="","",IF(J235=0,0,ROUNDUP(J235/Rend_Desagrupe,0)))</f>
      </c>
      <c r="AA235" s="71">
        <f>IF(B235="","",IF(ENTRADA!$M235="",Z235,ENTRADA!$M235))</f>
      </c>
      <c r="AB235" s="37">
        <f>IF(B235="","",AA235*INDEX(PRECIOS!$H$6:$H$55,K235))</f>
      </c>
      <c r="AC235" s="37">
        <f>IF(B235="","",IF(E235="ENCI",INDEX(PRECIOS!$J$6:$J$55,K235),IF(E235="A.V",INDEX(PRECIOS!$K$6:$K$55,K235),0)))</f>
      </c>
      <c r="AD235" s="37">
        <f>IF(B235="","",N(ENTRADA!$N235))</f>
      </c>
      <c r="AE235" s="70">
        <f>IF(B235="","",AB235+AC235+AD235)</f>
      </c>
      <c r="AF235" s="71">
        <f>IF(B235="","",IF(G235=0,0,ROUNDUP(G235/Cap_Camion_OCC,0)))</f>
      </c>
      <c r="AG235" s="71">
        <f>IF(B235="","",AF235*L_Dist_OCC)</f>
      </c>
      <c r="AH235" s="71">
        <f>IF(B235="","",IF(ENTRADA!$O235="",AG235,ENTRADA!$O235))</f>
      </c>
      <c r="AI235" s="37">
        <f>IF(B235="","",AH235*INDEX(PRECIOS!$E$6:$E$55,K235))</f>
      </c>
      <c r="AJ235" s="71">
        <f>IF(B235="","",IF(H235=0,0,ROUNDUP(H235/Cap_Camion_CEN,0)))</f>
      </c>
      <c r="AK235" s="71">
        <f>IF(B235="","",AJ235*L_Tras_CEN)</f>
      </c>
      <c r="AL235" s="71">
        <f>IF(B235="","",IF(ENTRADA!$P235="",AK235,ENTRADA!$P235))</f>
      </c>
      <c r="AM235" s="71">
        <f>IF(B235="","",AJ235*L_Dist_CEN)</f>
      </c>
      <c r="AN235" s="71">
        <f>IF(B235="","",IF(ENTRADA!$Q235="",AM235,ENTRADA!$Q235))</f>
      </c>
      <c r="AO235" s="37">
        <f>IF(B235="","",(AL235+AN235)*INDEX(PRECIOS!$E$6:$E$55,K235))</f>
      </c>
      <c r="AP235" s="71">
        <f>IF(B235="","",IF(H235=0,0,ROUNDUP(H235/Rend_Desagrupe_CT,0)))</f>
      </c>
      <c r="AQ235" s="71">
        <f>IF(B235="","",IF(ENTRADA!$R235="",AP235,ENTRADA!$R235))</f>
      </c>
      <c r="AR235" s="37">
        <f>IF(B235="","",AQ235*INDEX(PRECIOS!$I$6:$I$55,K235))</f>
      </c>
      <c r="AS235" s="37">
        <f>IF(B235="","",AO235+AR235)</f>
      </c>
      <c r="AT235" s="71">
        <f>IF(B235="","",IF(I235=0,0,ROUNDUP(I235/Cap_Camion_ORI,0)))</f>
      </c>
      <c r="AU235" s="71">
        <f>IF(B235="","",AT235*L_Tras_ORI)</f>
      </c>
      <c r="AV235" s="71">
        <f>IF(B235="","",IF(ENTRADA!$S235="",AU235,ENTRADA!$S235))</f>
      </c>
      <c r="AW235" s="71">
        <f>IF(B235="","",AT235*L_Dist_ORI)</f>
      </c>
      <c r="AX235" s="71">
        <f>IF(B235="","",IF(ENTRADA!$T235="",AW235,ENTRADA!$T235))</f>
      </c>
      <c r="AY235" s="37">
        <f>IF(B235="","",(AV235+AX235)*INDEX(PRECIOS!$E$6:$E$55,K235))</f>
      </c>
      <c r="AZ235" s="71">
        <f>IF(B235="","",IF(I235=0,0,ROUNDUP(I235/Rend_Desagrupe_CT,0)))</f>
      </c>
      <c r="BA235" s="71">
        <f>IF(B235="","",IF(ENTRADA!$U235="",AZ235,ENTRADA!$U235))</f>
      </c>
      <c r="BB235" s="37">
        <f>IF(B235="","",BA235*INDEX(PRECIOS!$I$6:$I$55,K235))</f>
      </c>
      <c r="BC235" s="37">
        <f>IF(B235="","",AY235+BB235)</f>
      </c>
      <c r="BD235" s="70">
        <f>IF(B235="","",AI235+AS235+BC235)</f>
      </c>
      <c r="BE235" s="37">
        <f>IF(B235="","",IF(Base_Comision="% DEL INGRESO",M235*INDEX(PRECIOS!$L$6:$L$55,K235),G235*INDEX(PRECIOS!$M$6:$M$55,K235)))</f>
      </c>
      <c r="BF235" s="37">
        <f>IF(B235="","",IF(Base_Comision="% DEL INGRESO",N235*INDEX(PRECIOS!$L$6:$L$55,K235),H235*INDEX(PRECIOS!$M$6:$M$55,K235)))</f>
      </c>
      <c r="BG235" s="37">
        <f>IF(B235="","",IF(Base_Comision="% DEL INGRESO",O235*INDEX(PRECIOS!$L$6:$L$55,K235),I235*INDEX(PRECIOS!$M$6:$M$55,K235)))</f>
      </c>
      <c r="BH235" s="70">
        <f>IF(B235="","",BE235+BF235+BG235)</f>
      </c>
      <c r="BI235" s="37">
        <f>IF(B235="","",Q235*Pct_Reclamaciones)</f>
      </c>
      <c r="BJ235" s="37">
        <f>IF(B235="","",Q235*Pct_Banco)</f>
      </c>
      <c r="BK235" s="37">
        <f>IF(B235="","",N(ENTRADA!$V235))</f>
      </c>
      <c r="BL235" s="70">
        <f>IF(B235="","",Y235+AE235+BD235+BH235+BI235+BJ235+BK235)</f>
      </c>
      <c r="BM235" s="70">
        <f>IF(B235="","",Q235-BL235)</f>
      </c>
      <c r="BN235" s="72">
        <f>IF(B235="","",IF(Q235=0,0,BM235/Q235))</f>
      </c>
      <c r="BO235" s="73">
        <f>IF(B235="","",IF(J235=0,0,BM235/J235))</f>
      </c>
      <c r="BP235" s="60">
        <f>IF(B235="","",IFERROR(MATCH(D235,COSTOS_FIJOS!$G$5:$AD$5,0),0))</f>
      </c>
      <c r="BQ235" s="60">
        <f>IF(B235="","",COUNTIFS($D$6:$D$305,D235))</f>
      </c>
      <c r="BR235" s="67">
        <f>IF(B235="","",SUMIFS($J$6:$J$305,$D$6:$D$305,D235))</f>
      </c>
      <c r="BS235" s="72">
        <f>IF(B235="","",IF(Metodo_Prorrateo="KG",IF(BR235=0,0,J235/BR235),1/BQ235))</f>
      </c>
      <c r="BT235" s="37">
        <f>IF(B235="","",IF(BP235=0,0,INDEX(COSTOS_FIJOS!$G$38:$AD$38,BP235))*BS235)</f>
      </c>
      <c r="BU235" s="72">
        <f>IF(B235="","",IF(Metodo_Prorrateo="KG",IF(SUMIFS($G$6:$G$305,$D$6:$D$305,D235)=0,0,G235/SUMIFS($G$6:$G$305,$D$6:$D$305,D235)),IF(G235&gt;0,1/COUNTIFS($D$6:$D$305,D235,$G$6:$G$305,"&gt;0"),0)))</f>
      </c>
      <c r="BV235" s="37">
        <f>IF(B235="","",IF(BP235=0,0,INDEX(COSTOS_FIJOS!$G$39:$AD$39,BP235))*BU235)</f>
      </c>
      <c r="BW235" s="72">
        <f>IF(B235="","",IF(Metodo_Prorrateo="KG",IF(SUMIFS($H$6:$H$305,$D$6:$D$305,D235)=0,0,H235/SUMIFS($H$6:$H$305,$D$6:$D$305,D235)),IF(H235&gt;0,1/COUNTIFS($D$6:$D$305,D235,$H$6:$H$305,"&gt;0"),0)))</f>
      </c>
      <c r="BX235" s="37">
        <f>IF(B235="","",IF(BP235=0,0,INDEX(COSTOS_FIJOS!$G$40:$AD$40,BP235))*BW235)</f>
      </c>
      <c r="BY235" s="72">
        <f>IF(B235="","",IF(Metodo_Prorrateo="KG",IF(SUMIFS($I$6:$I$305,$D$6:$D$305,D235)=0,0,I235/SUMIFS($I$6:$I$305,$D$6:$D$305,D235)),IF(I235&gt;0,1/COUNTIFS($D$6:$D$305,D235,$I$6:$I$305,"&gt;0"),0)))</f>
      </c>
      <c r="BZ235" s="37">
        <f>IF(B235="","",IF(BP235=0,0,INDEX(COSTOS_FIJOS!$G$41:$AD$41,BP235))*BY235)</f>
      </c>
      <c r="CA235" s="70">
        <f>IF(B235="","",BT235+BV235+BX235+BZ235)</f>
      </c>
      <c r="CB235" s="37">
        <f>IF(B235="","",Q235*Imp_Ventas_Serv)</f>
      </c>
      <c r="CC235" s="37">
        <f>IF(B235="","",Q235*Contrib_Territorial)</f>
      </c>
      <c r="CD235" s="70">
        <f>IF(B235="","",BM235-CA235-CB235-CC235)</f>
      </c>
      <c r="CE235" s="37">
        <f>IF(B235="","",MAX(0,CD235)*Imp_Utilidades)</f>
      </c>
      <c r="CF235" s="70">
        <f>IF(B235="","",CD235-CE235)</f>
      </c>
      <c r="CG235" s="72">
        <f>IF(B235="","",IF(Q235=0,0,CF235/Q235))</f>
      </c>
      <c r="CH235" s="73">
        <f>IF(B235="","",IF(J235=0,0,(BL235+CA235+CB235+CC235)/J235))</f>
      </c>
      <c r="CI235" s="73">
        <f>IF(B235="","",IF(J235=0,0,Q235/J235))</f>
      </c>
      <c r="CJ235" s="73">
        <f>IF(B235="","",IF(J235=0,0,CD235/J235))</f>
      </c>
      <c r="CK235" s="37">
        <f>IF(B235="","",Y235+AE235+BK235+BT235)</f>
      </c>
      <c r="CL235" s="37">
        <f>IF(B235="","",IF(J235=0,0,(M235+P235*G235/J235)*(1-Pct_Reclamaciones-Pct_Banco-Imp_Ventas_Serv-Contrib_Territorial)-AI235-BE235-BV235-CK235*G235/J235))</f>
      </c>
      <c r="CM235" s="37">
        <f>IF(B235="","",IF(J235=0,0,(N235+P235*H235/J235)*(1-Pct_Reclamaciones-Pct_Banco-Imp_Ventas_Serv-Contrib_Territorial)-AS235-BF235-BX235-CK235*H235/J235))</f>
      </c>
      <c r="CN235" s="37">
        <f>IF(B235="","",IF(J235=0,0,(O235+P235*I235/J235)*(1-Pct_Reclamaciones-Pct_Banco-Imp_Ventas_Serv-Contrib_Territorial)-BC235-BG235-BZ235-CK235*I235/J235))</f>
      </c>
      <c r="CO235" s="37">
        <f>IF(B235="","",IF(J235=0,0,ROUND(CD235-CL235-CM235-CN235,4)))</f>
      </c>
      <c r="CP235" s="71">
        <f>IF(B235="","",T235+AG235+AK235+AM235+AU235+AW235)</f>
      </c>
      <c r="CQ235" s="71">
        <f>IF(B235="","",U235+AH235+AL235+AN235+AV235+AX235)</f>
      </c>
      <c r="CR235" s="72">
        <f>IF(B235="","",IF(CP235=0,0,CQ235/CP235-1))</f>
      </c>
      <c r="CS235" s="60">
        <f>IF(B235="","",IF(ENTRADA!$Y235="","",ENTRADA!$Y235-C235))</f>
      </c>
      <c r="CT235" s="66">
        <f>IF(B235="","",IF(ENTRADA!$C235="","Falta fecha. ","")&amp;IF(BP235=0,"Mes fuera del rango de COSTOS_FIJOS. ","")&amp;IF(J235=0,"Sin kg. ","")&amp;IF(E235="","Falta transitaria. ","")&amp;IF(AND(T235&gt;0,U235/T235-1&gt;Tolerancia_Comb),"Combustible al puerto "&amp;TEXT(U235/T235-1,"+0%")&amp;" sobre norma. ","")&amp;IF(AND(AG235&gt;0,AH235/AG235-1&gt;Tolerancia_Comb),"Combustible distribución Occidente "&amp;TEXT(AH235/AG235-1,"+0%")&amp;" sobre norma. ","")&amp;IF(AND(AK235&gt;0,AL235/AK235-1&gt;Tolerancia_Comb),"Combustible traslado Centro "&amp;TEXT(AL235/AK235-1,"+0%")&amp;" sobre norma. ","")&amp;IF(AND(AM235&gt;0,AN235/AM235-1&gt;Tolerancia_Comb),"Combustible distribución Centro "&amp;TEXT(AN235/AM235-1,"+0%")&amp;" sobre norma. ","")&amp;IF(AND(AU235&gt;0,AV235/AU235-1&gt;Tolerancia_Comb),"Combustible traslado Oriente "&amp;TEXT(AV235/AU235-1,"+0%")&amp;" sobre norma. ","")&amp;IF(AND(AW235&gt;0,AX235/AW235-1&gt;Tolerancia_Comb),"Combustible distribución Oriente "&amp;TEXT(AX235/AW235-1,"+0%")&amp;" sobre norma. ","")&amp;IF(AND(ENTRADA!$C235&lt;&gt;"",C235&lt;PRECIOS!$A$6),"Fecha anterior a la 1ª vigencia de precios. ","")&amp;IF(CD235&lt;0,"Contenedor con pérdida. ",""))</f>
      </c>
    </row>
    <row r="236">
      <c r="A236" s="60">
        <f>IF(B236="","",ROW()-5)</f>
      </c>
      <c r="B236" s="63">
        <f>IF(ENTRADA!$B236="","",ENTRADA!$B236)</f>
      </c>
      <c r="C236" s="64">
        <f>IF(B236="","",ENTRADA!$C236)</f>
      </c>
      <c r="D236" s="65">
        <f>IF(B236="","",DATE(YEAR(C236),MONTH(C236),1))</f>
      </c>
      <c r="E236" s="66">
        <f>IF(B236="","",ENTRADA!$D236&amp;"")</f>
      </c>
      <c r="F236" s="66">
        <f>IF(B236="","",ENTRADA!$Z236&amp;"")</f>
      </c>
      <c r="G236" s="67">
        <f>IF(B236="","",N(ENTRADA!$G236))</f>
      </c>
      <c r="H236" s="67">
        <f>IF(B236="","",N(ENTRADA!$H236))</f>
      </c>
      <c r="I236" s="67">
        <f>IF(B236="","",N(ENTRADA!$I236))</f>
      </c>
      <c r="J236" s="68">
        <f>IF(B236="","",G236+H236+I236)</f>
      </c>
      <c r="K236" s="60">
        <f>IF(B236="","",IFERROR(MATCH(SUMPRODUCT(MAX((PRECIOS!$A$6:$A$55&lt;=C236)*PRECIOS!$A$6:$A$55)),PRECIOS!$A$6:$A$55,0),1))</f>
      </c>
      <c r="L236" s="69">
        <f>IF(B236="","",INDEX(PRECIOS!$A$6:$A$55,K236))</f>
      </c>
      <c r="M236" s="37">
        <f>IF(B236="","",G236*INDEX(PRECIOS!$B$6:$B$55,K236))</f>
      </c>
      <c r="N236" s="37">
        <f>IF(B236="","",H236*INDEX(PRECIOS!$C$6:$C$55,K236))</f>
      </c>
      <c r="O236" s="37">
        <f>IF(B236="","",I236*INDEX(PRECIOS!$D$6:$D$55,K236))</f>
      </c>
      <c r="P236" s="37">
        <f>IF(B236="","",N(ENTRADA!$X236))</f>
      </c>
      <c r="Q236" s="70">
        <f>IF(B236="","",M236+N236+O236+P236)</f>
      </c>
      <c r="R236" s="71">
        <f>IF(B236="","",IF(ENTRADA!$J236="",Std_Viajes_Puerto,ENTRADA!$J236))</f>
      </c>
      <c r="S236" s="37">
        <f>IF(B236="","",R236*INDEX(PRECIOS!$F$6:$F$55,K236))</f>
      </c>
      <c r="T236" s="71">
        <f>IF(B236="","",R236*Litros_Puerto_Viaje)</f>
      </c>
      <c r="U236" s="71">
        <f>IF(B236="","",IF(ENTRADA!$K236="",T236,ENTRADA!$K236))</f>
      </c>
      <c r="V236" s="37">
        <f>IF(B236="","",U236*INDEX(PRECIOS!$E$6:$E$55,K236))</f>
      </c>
      <c r="W236" s="37">
        <f>IF(B236="","",IF(ENTRADA!$L236="",R236*INDEX(PRECIOS!$G$6:$G$55,K236),ENTRADA!$L236))</f>
      </c>
      <c r="X236" s="37">
        <f>IF(B236="","",R236*Km_Puerto_Viaje*INDEX(PRECIOS!$N$6:$N$55,K236))</f>
      </c>
      <c r="Y236" s="70">
        <f>IF(B236="","",S236+V236+W236+X236)</f>
      </c>
      <c r="Z236" s="71">
        <f>IF(B236="","",IF(J236=0,0,ROUNDUP(J236/Rend_Desagrupe,0)))</f>
      </c>
      <c r="AA236" s="71">
        <f>IF(B236="","",IF(ENTRADA!$M236="",Z236,ENTRADA!$M236))</f>
      </c>
      <c r="AB236" s="37">
        <f>IF(B236="","",AA236*INDEX(PRECIOS!$H$6:$H$55,K236))</f>
      </c>
      <c r="AC236" s="37">
        <f>IF(B236="","",IF(E236="ENCI",INDEX(PRECIOS!$J$6:$J$55,K236),IF(E236="A.V",INDEX(PRECIOS!$K$6:$K$55,K236),0)))</f>
      </c>
      <c r="AD236" s="37">
        <f>IF(B236="","",N(ENTRADA!$N236))</f>
      </c>
      <c r="AE236" s="70">
        <f>IF(B236="","",AB236+AC236+AD236)</f>
      </c>
      <c r="AF236" s="71">
        <f>IF(B236="","",IF(G236=0,0,ROUNDUP(G236/Cap_Camion_OCC,0)))</f>
      </c>
      <c r="AG236" s="71">
        <f>IF(B236="","",AF236*L_Dist_OCC)</f>
      </c>
      <c r="AH236" s="71">
        <f>IF(B236="","",IF(ENTRADA!$O236="",AG236,ENTRADA!$O236))</f>
      </c>
      <c r="AI236" s="37">
        <f>IF(B236="","",AH236*INDEX(PRECIOS!$E$6:$E$55,K236))</f>
      </c>
      <c r="AJ236" s="71">
        <f>IF(B236="","",IF(H236=0,0,ROUNDUP(H236/Cap_Camion_CEN,0)))</f>
      </c>
      <c r="AK236" s="71">
        <f>IF(B236="","",AJ236*L_Tras_CEN)</f>
      </c>
      <c r="AL236" s="71">
        <f>IF(B236="","",IF(ENTRADA!$P236="",AK236,ENTRADA!$P236))</f>
      </c>
      <c r="AM236" s="71">
        <f>IF(B236="","",AJ236*L_Dist_CEN)</f>
      </c>
      <c r="AN236" s="71">
        <f>IF(B236="","",IF(ENTRADA!$Q236="",AM236,ENTRADA!$Q236))</f>
      </c>
      <c r="AO236" s="37">
        <f>IF(B236="","",(AL236+AN236)*INDEX(PRECIOS!$E$6:$E$55,K236))</f>
      </c>
      <c r="AP236" s="71">
        <f>IF(B236="","",IF(H236=0,0,ROUNDUP(H236/Rend_Desagrupe_CT,0)))</f>
      </c>
      <c r="AQ236" s="71">
        <f>IF(B236="","",IF(ENTRADA!$R236="",AP236,ENTRADA!$R236))</f>
      </c>
      <c r="AR236" s="37">
        <f>IF(B236="","",AQ236*INDEX(PRECIOS!$I$6:$I$55,K236))</f>
      </c>
      <c r="AS236" s="37">
        <f>IF(B236="","",AO236+AR236)</f>
      </c>
      <c r="AT236" s="71">
        <f>IF(B236="","",IF(I236=0,0,ROUNDUP(I236/Cap_Camion_ORI,0)))</f>
      </c>
      <c r="AU236" s="71">
        <f>IF(B236="","",AT236*L_Tras_ORI)</f>
      </c>
      <c r="AV236" s="71">
        <f>IF(B236="","",IF(ENTRADA!$S236="",AU236,ENTRADA!$S236))</f>
      </c>
      <c r="AW236" s="71">
        <f>IF(B236="","",AT236*L_Dist_ORI)</f>
      </c>
      <c r="AX236" s="71">
        <f>IF(B236="","",IF(ENTRADA!$T236="",AW236,ENTRADA!$T236))</f>
      </c>
      <c r="AY236" s="37">
        <f>IF(B236="","",(AV236+AX236)*INDEX(PRECIOS!$E$6:$E$55,K236))</f>
      </c>
      <c r="AZ236" s="71">
        <f>IF(B236="","",IF(I236=0,0,ROUNDUP(I236/Rend_Desagrupe_CT,0)))</f>
      </c>
      <c r="BA236" s="71">
        <f>IF(B236="","",IF(ENTRADA!$U236="",AZ236,ENTRADA!$U236))</f>
      </c>
      <c r="BB236" s="37">
        <f>IF(B236="","",BA236*INDEX(PRECIOS!$I$6:$I$55,K236))</f>
      </c>
      <c r="BC236" s="37">
        <f>IF(B236="","",AY236+BB236)</f>
      </c>
      <c r="BD236" s="70">
        <f>IF(B236="","",AI236+AS236+BC236)</f>
      </c>
      <c r="BE236" s="37">
        <f>IF(B236="","",IF(Base_Comision="% DEL INGRESO",M236*INDEX(PRECIOS!$L$6:$L$55,K236),G236*INDEX(PRECIOS!$M$6:$M$55,K236)))</f>
      </c>
      <c r="BF236" s="37">
        <f>IF(B236="","",IF(Base_Comision="% DEL INGRESO",N236*INDEX(PRECIOS!$L$6:$L$55,K236),H236*INDEX(PRECIOS!$M$6:$M$55,K236)))</f>
      </c>
      <c r="BG236" s="37">
        <f>IF(B236="","",IF(Base_Comision="% DEL INGRESO",O236*INDEX(PRECIOS!$L$6:$L$55,K236),I236*INDEX(PRECIOS!$M$6:$M$55,K236)))</f>
      </c>
      <c r="BH236" s="70">
        <f>IF(B236="","",BE236+BF236+BG236)</f>
      </c>
      <c r="BI236" s="37">
        <f>IF(B236="","",Q236*Pct_Reclamaciones)</f>
      </c>
      <c r="BJ236" s="37">
        <f>IF(B236="","",Q236*Pct_Banco)</f>
      </c>
      <c r="BK236" s="37">
        <f>IF(B236="","",N(ENTRADA!$V236))</f>
      </c>
      <c r="BL236" s="70">
        <f>IF(B236="","",Y236+AE236+BD236+BH236+BI236+BJ236+BK236)</f>
      </c>
      <c r="BM236" s="70">
        <f>IF(B236="","",Q236-BL236)</f>
      </c>
      <c r="BN236" s="72">
        <f>IF(B236="","",IF(Q236=0,0,BM236/Q236))</f>
      </c>
      <c r="BO236" s="73">
        <f>IF(B236="","",IF(J236=0,0,BM236/J236))</f>
      </c>
      <c r="BP236" s="60">
        <f>IF(B236="","",IFERROR(MATCH(D236,COSTOS_FIJOS!$G$5:$AD$5,0),0))</f>
      </c>
      <c r="BQ236" s="60">
        <f>IF(B236="","",COUNTIFS($D$6:$D$305,D236))</f>
      </c>
      <c r="BR236" s="67">
        <f>IF(B236="","",SUMIFS($J$6:$J$305,$D$6:$D$305,D236))</f>
      </c>
      <c r="BS236" s="72">
        <f>IF(B236="","",IF(Metodo_Prorrateo="KG",IF(BR236=0,0,J236/BR236),1/BQ236))</f>
      </c>
      <c r="BT236" s="37">
        <f>IF(B236="","",IF(BP236=0,0,INDEX(COSTOS_FIJOS!$G$38:$AD$38,BP236))*BS236)</f>
      </c>
      <c r="BU236" s="72">
        <f>IF(B236="","",IF(Metodo_Prorrateo="KG",IF(SUMIFS($G$6:$G$305,$D$6:$D$305,D236)=0,0,G236/SUMIFS($G$6:$G$305,$D$6:$D$305,D236)),IF(G236&gt;0,1/COUNTIFS($D$6:$D$305,D236,$G$6:$G$305,"&gt;0"),0)))</f>
      </c>
      <c r="BV236" s="37">
        <f>IF(B236="","",IF(BP236=0,0,INDEX(COSTOS_FIJOS!$G$39:$AD$39,BP236))*BU236)</f>
      </c>
      <c r="BW236" s="72">
        <f>IF(B236="","",IF(Metodo_Prorrateo="KG",IF(SUMIFS($H$6:$H$305,$D$6:$D$305,D236)=0,0,H236/SUMIFS($H$6:$H$305,$D$6:$D$305,D236)),IF(H236&gt;0,1/COUNTIFS($D$6:$D$305,D236,$H$6:$H$305,"&gt;0"),0)))</f>
      </c>
      <c r="BX236" s="37">
        <f>IF(B236="","",IF(BP236=0,0,INDEX(COSTOS_FIJOS!$G$40:$AD$40,BP236))*BW236)</f>
      </c>
      <c r="BY236" s="72">
        <f>IF(B236="","",IF(Metodo_Prorrateo="KG",IF(SUMIFS($I$6:$I$305,$D$6:$D$305,D236)=0,0,I236/SUMIFS($I$6:$I$305,$D$6:$D$305,D236)),IF(I236&gt;0,1/COUNTIFS($D$6:$D$305,D236,$I$6:$I$305,"&gt;0"),0)))</f>
      </c>
      <c r="BZ236" s="37">
        <f>IF(B236="","",IF(BP236=0,0,INDEX(COSTOS_FIJOS!$G$41:$AD$41,BP236))*BY236)</f>
      </c>
      <c r="CA236" s="70">
        <f>IF(B236="","",BT236+BV236+BX236+BZ236)</f>
      </c>
      <c r="CB236" s="37">
        <f>IF(B236="","",Q236*Imp_Ventas_Serv)</f>
      </c>
      <c r="CC236" s="37">
        <f>IF(B236="","",Q236*Contrib_Territorial)</f>
      </c>
      <c r="CD236" s="70">
        <f>IF(B236="","",BM236-CA236-CB236-CC236)</f>
      </c>
      <c r="CE236" s="37">
        <f>IF(B236="","",MAX(0,CD236)*Imp_Utilidades)</f>
      </c>
      <c r="CF236" s="70">
        <f>IF(B236="","",CD236-CE236)</f>
      </c>
      <c r="CG236" s="72">
        <f>IF(B236="","",IF(Q236=0,0,CF236/Q236))</f>
      </c>
      <c r="CH236" s="73">
        <f>IF(B236="","",IF(J236=0,0,(BL236+CA236+CB236+CC236)/J236))</f>
      </c>
      <c r="CI236" s="73">
        <f>IF(B236="","",IF(J236=0,0,Q236/J236))</f>
      </c>
      <c r="CJ236" s="73">
        <f>IF(B236="","",IF(J236=0,0,CD236/J236))</f>
      </c>
      <c r="CK236" s="37">
        <f>IF(B236="","",Y236+AE236+BK236+BT236)</f>
      </c>
      <c r="CL236" s="37">
        <f>IF(B236="","",IF(J236=0,0,(M236+P236*G236/J236)*(1-Pct_Reclamaciones-Pct_Banco-Imp_Ventas_Serv-Contrib_Territorial)-AI236-BE236-BV236-CK236*G236/J236))</f>
      </c>
      <c r="CM236" s="37">
        <f>IF(B236="","",IF(J236=0,0,(N236+P236*H236/J236)*(1-Pct_Reclamaciones-Pct_Banco-Imp_Ventas_Serv-Contrib_Territorial)-AS236-BF236-BX236-CK236*H236/J236))</f>
      </c>
      <c r="CN236" s="37">
        <f>IF(B236="","",IF(J236=0,0,(O236+P236*I236/J236)*(1-Pct_Reclamaciones-Pct_Banco-Imp_Ventas_Serv-Contrib_Territorial)-BC236-BG236-BZ236-CK236*I236/J236))</f>
      </c>
      <c r="CO236" s="37">
        <f>IF(B236="","",IF(J236=0,0,ROUND(CD236-CL236-CM236-CN236,4)))</f>
      </c>
      <c r="CP236" s="71">
        <f>IF(B236="","",T236+AG236+AK236+AM236+AU236+AW236)</f>
      </c>
      <c r="CQ236" s="71">
        <f>IF(B236="","",U236+AH236+AL236+AN236+AV236+AX236)</f>
      </c>
      <c r="CR236" s="72">
        <f>IF(B236="","",IF(CP236=0,0,CQ236/CP236-1))</f>
      </c>
      <c r="CS236" s="60">
        <f>IF(B236="","",IF(ENTRADA!$Y236="","",ENTRADA!$Y236-C236))</f>
      </c>
      <c r="CT236" s="66">
        <f>IF(B236="","",IF(ENTRADA!$C236="","Falta fecha. ","")&amp;IF(BP236=0,"Mes fuera del rango de COSTOS_FIJOS. ","")&amp;IF(J236=0,"Sin kg. ","")&amp;IF(E236="","Falta transitaria. ","")&amp;IF(AND(T236&gt;0,U236/T236-1&gt;Tolerancia_Comb),"Combustible al puerto "&amp;TEXT(U236/T236-1,"+0%")&amp;" sobre norma. ","")&amp;IF(AND(AG236&gt;0,AH236/AG236-1&gt;Tolerancia_Comb),"Combustible distribución Occidente "&amp;TEXT(AH236/AG236-1,"+0%")&amp;" sobre norma. ","")&amp;IF(AND(AK236&gt;0,AL236/AK236-1&gt;Tolerancia_Comb),"Combustible traslado Centro "&amp;TEXT(AL236/AK236-1,"+0%")&amp;" sobre norma. ","")&amp;IF(AND(AM236&gt;0,AN236/AM236-1&gt;Tolerancia_Comb),"Combustible distribución Centro "&amp;TEXT(AN236/AM236-1,"+0%")&amp;" sobre norma. ","")&amp;IF(AND(AU236&gt;0,AV236/AU236-1&gt;Tolerancia_Comb),"Combustible traslado Oriente "&amp;TEXT(AV236/AU236-1,"+0%")&amp;" sobre norma. ","")&amp;IF(AND(AW236&gt;0,AX236/AW236-1&gt;Tolerancia_Comb),"Combustible distribución Oriente "&amp;TEXT(AX236/AW236-1,"+0%")&amp;" sobre norma. ","")&amp;IF(AND(ENTRADA!$C236&lt;&gt;"",C236&lt;PRECIOS!$A$6),"Fecha anterior a la 1ª vigencia de precios. ","")&amp;IF(CD236&lt;0,"Contenedor con pérdida. ",""))</f>
      </c>
    </row>
    <row r="237">
      <c r="A237" s="60">
        <f>IF(B237="","",ROW()-5)</f>
      </c>
      <c r="B237" s="63">
        <f>IF(ENTRADA!$B237="","",ENTRADA!$B237)</f>
      </c>
      <c r="C237" s="64">
        <f>IF(B237="","",ENTRADA!$C237)</f>
      </c>
      <c r="D237" s="65">
        <f>IF(B237="","",DATE(YEAR(C237),MONTH(C237),1))</f>
      </c>
      <c r="E237" s="66">
        <f>IF(B237="","",ENTRADA!$D237&amp;"")</f>
      </c>
      <c r="F237" s="66">
        <f>IF(B237="","",ENTRADA!$Z237&amp;"")</f>
      </c>
      <c r="G237" s="67">
        <f>IF(B237="","",N(ENTRADA!$G237))</f>
      </c>
      <c r="H237" s="67">
        <f>IF(B237="","",N(ENTRADA!$H237))</f>
      </c>
      <c r="I237" s="67">
        <f>IF(B237="","",N(ENTRADA!$I237))</f>
      </c>
      <c r="J237" s="68">
        <f>IF(B237="","",G237+H237+I237)</f>
      </c>
      <c r="K237" s="60">
        <f>IF(B237="","",IFERROR(MATCH(SUMPRODUCT(MAX((PRECIOS!$A$6:$A$55&lt;=C237)*PRECIOS!$A$6:$A$55)),PRECIOS!$A$6:$A$55,0),1))</f>
      </c>
      <c r="L237" s="69">
        <f>IF(B237="","",INDEX(PRECIOS!$A$6:$A$55,K237))</f>
      </c>
      <c r="M237" s="37">
        <f>IF(B237="","",G237*INDEX(PRECIOS!$B$6:$B$55,K237))</f>
      </c>
      <c r="N237" s="37">
        <f>IF(B237="","",H237*INDEX(PRECIOS!$C$6:$C$55,K237))</f>
      </c>
      <c r="O237" s="37">
        <f>IF(B237="","",I237*INDEX(PRECIOS!$D$6:$D$55,K237))</f>
      </c>
      <c r="P237" s="37">
        <f>IF(B237="","",N(ENTRADA!$X237))</f>
      </c>
      <c r="Q237" s="70">
        <f>IF(B237="","",M237+N237+O237+P237)</f>
      </c>
      <c r="R237" s="71">
        <f>IF(B237="","",IF(ENTRADA!$J237="",Std_Viajes_Puerto,ENTRADA!$J237))</f>
      </c>
      <c r="S237" s="37">
        <f>IF(B237="","",R237*INDEX(PRECIOS!$F$6:$F$55,K237))</f>
      </c>
      <c r="T237" s="71">
        <f>IF(B237="","",R237*Litros_Puerto_Viaje)</f>
      </c>
      <c r="U237" s="71">
        <f>IF(B237="","",IF(ENTRADA!$K237="",T237,ENTRADA!$K237))</f>
      </c>
      <c r="V237" s="37">
        <f>IF(B237="","",U237*INDEX(PRECIOS!$E$6:$E$55,K237))</f>
      </c>
      <c r="W237" s="37">
        <f>IF(B237="","",IF(ENTRADA!$L237="",R237*INDEX(PRECIOS!$G$6:$G$55,K237),ENTRADA!$L237))</f>
      </c>
      <c r="X237" s="37">
        <f>IF(B237="","",R237*Km_Puerto_Viaje*INDEX(PRECIOS!$N$6:$N$55,K237))</f>
      </c>
      <c r="Y237" s="70">
        <f>IF(B237="","",S237+V237+W237+X237)</f>
      </c>
      <c r="Z237" s="71">
        <f>IF(B237="","",IF(J237=0,0,ROUNDUP(J237/Rend_Desagrupe,0)))</f>
      </c>
      <c r="AA237" s="71">
        <f>IF(B237="","",IF(ENTRADA!$M237="",Z237,ENTRADA!$M237))</f>
      </c>
      <c r="AB237" s="37">
        <f>IF(B237="","",AA237*INDEX(PRECIOS!$H$6:$H$55,K237))</f>
      </c>
      <c r="AC237" s="37">
        <f>IF(B237="","",IF(E237="ENCI",INDEX(PRECIOS!$J$6:$J$55,K237),IF(E237="A.V",INDEX(PRECIOS!$K$6:$K$55,K237),0)))</f>
      </c>
      <c r="AD237" s="37">
        <f>IF(B237="","",N(ENTRADA!$N237))</f>
      </c>
      <c r="AE237" s="70">
        <f>IF(B237="","",AB237+AC237+AD237)</f>
      </c>
      <c r="AF237" s="71">
        <f>IF(B237="","",IF(G237=0,0,ROUNDUP(G237/Cap_Camion_OCC,0)))</f>
      </c>
      <c r="AG237" s="71">
        <f>IF(B237="","",AF237*L_Dist_OCC)</f>
      </c>
      <c r="AH237" s="71">
        <f>IF(B237="","",IF(ENTRADA!$O237="",AG237,ENTRADA!$O237))</f>
      </c>
      <c r="AI237" s="37">
        <f>IF(B237="","",AH237*INDEX(PRECIOS!$E$6:$E$55,K237))</f>
      </c>
      <c r="AJ237" s="71">
        <f>IF(B237="","",IF(H237=0,0,ROUNDUP(H237/Cap_Camion_CEN,0)))</f>
      </c>
      <c r="AK237" s="71">
        <f>IF(B237="","",AJ237*L_Tras_CEN)</f>
      </c>
      <c r="AL237" s="71">
        <f>IF(B237="","",IF(ENTRADA!$P237="",AK237,ENTRADA!$P237))</f>
      </c>
      <c r="AM237" s="71">
        <f>IF(B237="","",AJ237*L_Dist_CEN)</f>
      </c>
      <c r="AN237" s="71">
        <f>IF(B237="","",IF(ENTRADA!$Q237="",AM237,ENTRADA!$Q237))</f>
      </c>
      <c r="AO237" s="37">
        <f>IF(B237="","",(AL237+AN237)*INDEX(PRECIOS!$E$6:$E$55,K237))</f>
      </c>
      <c r="AP237" s="71">
        <f>IF(B237="","",IF(H237=0,0,ROUNDUP(H237/Rend_Desagrupe_CT,0)))</f>
      </c>
      <c r="AQ237" s="71">
        <f>IF(B237="","",IF(ENTRADA!$R237="",AP237,ENTRADA!$R237))</f>
      </c>
      <c r="AR237" s="37">
        <f>IF(B237="","",AQ237*INDEX(PRECIOS!$I$6:$I$55,K237))</f>
      </c>
      <c r="AS237" s="37">
        <f>IF(B237="","",AO237+AR237)</f>
      </c>
      <c r="AT237" s="71">
        <f>IF(B237="","",IF(I237=0,0,ROUNDUP(I237/Cap_Camion_ORI,0)))</f>
      </c>
      <c r="AU237" s="71">
        <f>IF(B237="","",AT237*L_Tras_ORI)</f>
      </c>
      <c r="AV237" s="71">
        <f>IF(B237="","",IF(ENTRADA!$S237="",AU237,ENTRADA!$S237))</f>
      </c>
      <c r="AW237" s="71">
        <f>IF(B237="","",AT237*L_Dist_ORI)</f>
      </c>
      <c r="AX237" s="71">
        <f>IF(B237="","",IF(ENTRADA!$T237="",AW237,ENTRADA!$T237))</f>
      </c>
      <c r="AY237" s="37">
        <f>IF(B237="","",(AV237+AX237)*INDEX(PRECIOS!$E$6:$E$55,K237))</f>
      </c>
      <c r="AZ237" s="71">
        <f>IF(B237="","",IF(I237=0,0,ROUNDUP(I237/Rend_Desagrupe_CT,0)))</f>
      </c>
      <c r="BA237" s="71">
        <f>IF(B237="","",IF(ENTRADA!$U237="",AZ237,ENTRADA!$U237))</f>
      </c>
      <c r="BB237" s="37">
        <f>IF(B237="","",BA237*INDEX(PRECIOS!$I$6:$I$55,K237))</f>
      </c>
      <c r="BC237" s="37">
        <f>IF(B237="","",AY237+BB237)</f>
      </c>
      <c r="BD237" s="70">
        <f>IF(B237="","",AI237+AS237+BC237)</f>
      </c>
      <c r="BE237" s="37">
        <f>IF(B237="","",IF(Base_Comision="% DEL INGRESO",M237*INDEX(PRECIOS!$L$6:$L$55,K237),G237*INDEX(PRECIOS!$M$6:$M$55,K237)))</f>
      </c>
      <c r="BF237" s="37">
        <f>IF(B237="","",IF(Base_Comision="% DEL INGRESO",N237*INDEX(PRECIOS!$L$6:$L$55,K237),H237*INDEX(PRECIOS!$M$6:$M$55,K237)))</f>
      </c>
      <c r="BG237" s="37">
        <f>IF(B237="","",IF(Base_Comision="% DEL INGRESO",O237*INDEX(PRECIOS!$L$6:$L$55,K237),I237*INDEX(PRECIOS!$M$6:$M$55,K237)))</f>
      </c>
      <c r="BH237" s="70">
        <f>IF(B237="","",BE237+BF237+BG237)</f>
      </c>
      <c r="BI237" s="37">
        <f>IF(B237="","",Q237*Pct_Reclamaciones)</f>
      </c>
      <c r="BJ237" s="37">
        <f>IF(B237="","",Q237*Pct_Banco)</f>
      </c>
      <c r="BK237" s="37">
        <f>IF(B237="","",N(ENTRADA!$V237))</f>
      </c>
      <c r="BL237" s="70">
        <f>IF(B237="","",Y237+AE237+BD237+BH237+BI237+BJ237+BK237)</f>
      </c>
      <c r="BM237" s="70">
        <f>IF(B237="","",Q237-BL237)</f>
      </c>
      <c r="BN237" s="72">
        <f>IF(B237="","",IF(Q237=0,0,BM237/Q237))</f>
      </c>
      <c r="BO237" s="73">
        <f>IF(B237="","",IF(J237=0,0,BM237/J237))</f>
      </c>
      <c r="BP237" s="60">
        <f>IF(B237="","",IFERROR(MATCH(D237,COSTOS_FIJOS!$G$5:$AD$5,0),0))</f>
      </c>
      <c r="BQ237" s="60">
        <f>IF(B237="","",COUNTIFS($D$6:$D$305,D237))</f>
      </c>
      <c r="BR237" s="67">
        <f>IF(B237="","",SUMIFS($J$6:$J$305,$D$6:$D$305,D237))</f>
      </c>
      <c r="BS237" s="72">
        <f>IF(B237="","",IF(Metodo_Prorrateo="KG",IF(BR237=0,0,J237/BR237),1/BQ237))</f>
      </c>
      <c r="BT237" s="37">
        <f>IF(B237="","",IF(BP237=0,0,INDEX(COSTOS_FIJOS!$G$38:$AD$38,BP237))*BS237)</f>
      </c>
      <c r="BU237" s="72">
        <f>IF(B237="","",IF(Metodo_Prorrateo="KG",IF(SUMIFS($G$6:$G$305,$D$6:$D$305,D237)=0,0,G237/SUMIFS($G$6:$G$305,$D$6:$D$305,D237)),IF(G237&gt;0,1/COUNTIFS($D$6:$D$305,D237,$G$6:$G$305,"&gt;0"),0)))</f>
      </c>
      <c r="BV237" s="37">
        <f>IF(B237="","",IF(BP237=0,0,INDEX(COSTOS_FIJOS!$G$39:$AD$39,BP237))*BU237)</f>
      </c>
      <c r="BW237" s="72">
        <f>IF(B237="","",IF(Metodo_Prorrateo="KG",IF(SUMIFS($H$6:$H$305,$D$6:$D$305,D237)=0,0,H237/SUMIFS($H$6:$H$305,$D$6:$D$305,D237)),IF(H237&gt;0,1/COUNTIFS($D$6:$D$305,D237,$H$6:$H$305,"&gt;0"),0)))</f>
      </c>
      <c r="BX237" s="37">
        <f>IF(B237="","",IF(BP237=0,0,INDEX(COSTOS_FIJOS!$G$40:$AD$40,BP237))*BW237)</f>
      </c>
      <c r="BY237" s="72">
        <f>IF(B237="","",IF(Metodo_Prorrateo="KG",IF(SUMIFS($I$6:$I$305,$D$6:$D$305,D237)=0,0,I237/SUMIFS($I$6:$I$305,$D$6:$D$305,D237)),IF(I237&gt;0,1/COUNTIFS($D$6:$D$305,D237,$I$6:$I$305,"&gt;0"),0)))</f>
      </c>
      <c r="BZ237" s="37">
        <f>IF(B237="","",IF(BP237=0,0,INDEX(COSTOS_FIJOS!$G$41:$AD$41,BP237))*BY237)</f>
      </c>
      <c r="CA237" s="70">
        <f>IF(B237="","",BT237+BV237+BX237+BZ237)</f>
      </c>
      <c r="CB237" s="37">
        <f>IF(B237="","",Q237*Imp_Ventas_Serv)</f>
      </c>
      <c r="CC237" s="37">
        <f>IF(B237="","",Q237*Contrib_Territorial)</f>
      </c>
      <c r="CD237" s="70">
        <f>IF(B237="","",BM237-CA237-CB237-CC237)</f>
      </c>
      <c r="CE237" s="37">
        <f>IF(B237="","",MAX(0,CD237)*Imp_Utilidades)</f>
      </c>
      <c r="CF237" s="70">
        <f>IF(B237="","",CD237-CE237)</f>
      </c>
      <c r="CG237" s="72">
        <f>IF(B237="","",IF(Q237=0,0,CF237/Q237))</f>
      </c>
      <c r="CH237" s="73">
        <f>IF(B237="","",IF(J237=0,0,(BL237+CA237+CB237+CC237)/J237))</f>
      </c>
      <c r="CI237" s="73">
        <f>IF(B237="","",IF(J237=0,0,Q237/J237))</f>
      </c>
      <c r="CJ237" s="73">
        <f>IF(B237="","",IF(J237=0,0,CD237/J237))</f>
      </c>
      <c r="CK237" s="37">
        <f>IF(B237="","",Y237+AE237+BK237+BT237)</f>
      </c>
      <c r="CL237" s="37">
        <f>IF(B237="","",IF(J237=0,0,(M237+P237*G237/J237)*(1-Pct_Reclamaciones-Pct_Banco-Imp_Ventas_Serv-Contrib_Territorial)-AI237-BE237-BV237-CK237*G237/J237))</f>
      </c>
      <c r="CM237" s="37">
        <f>IF(B237="","",IF(J237=0,0,(N237+P237*H237/J237)*(1-Pct_Reclamaciones-Pct_Banco-Imp_Ventas_Serv-Contrib_Territorial)-AS237-BF237-BX237-CK237*H237/J237))</f>
      </c>
      <c r="CN237" s="37">
        <f>IF(B237="","",IF(J237=0,0,(O237+P237*I237/J237)*(1-Pct_Reclamaciones-Pct_Banco-Imp_Ventas_Serv-Contrib_Territorial)-BC237-BG237-BZ237-CK237*I237/J237))</f>
      </c>
      <c r="CO237" s="37">
        <f>IF(B237="","",IF(J237=0,0,ROUND(CD237-CL237-CM237-CN237,4)))</f>
      </c>
      <c r="CP237" s="71">
        <f>IF(B237="","",T237+AG237+AK237+AM237+AU237+AW237)</f>
      </c>
      <c r="CQ237" s="71">
        <f>IF(B237="","",U237+AH237+AL237+AN237+AV237+AX237)</f>
      </c>
      <c r="CR237" s="72">
        <f>IF(B237="","",IF(CP237=0,0,CQ237/CP237-1))</f>
      </c>
      <c r="CS237" s="60">
        <f>IF(B237="","",IF(ENTRADA!$Y237="","",ENTRADA!$Y237-C237))</f>
      </c>
      <c r="CT237" s="66">
        <f>IF(B237="","",IF(ENTRADA!$C237="","Falta fecha. ","")&amp;IF(BP237=0,"Mes fuera del rango de COSTOS_FIJOS. ","")&amp;IF(J237=0,"Sin kg. ","")&amp;IF(E237="","Falta transitaria. ","")&amp;IF(AND(T237&gt;0,U237/T237-1&gt;Tolerancia_Comb),"Combustible al puerto "&amp;TEXT(U237/T237-1,"+0%")&amp;" sobre norma. ","")&amp;IF(AND(AG237&gt;0,AH237/AG237-1&gt;Tolerancia_Comb),"Combustible distribución Occidente "&amp;TEXT(AH237/AG237-1,"+0%")&amp;" sobre norma. ","")&amp;IF(AND(AK237&gt;0,AL237/AK237-1&gt;Tolerancia_Comb),"Combustible traslado Centro "&amp;TEXT(AL237/AK237-1,"+0%")&amp;" sobre norma. ","")&amp;IF(AND(AM237&gt;0,AN237/AM237-1&gt;Tolerancia_Comb),"Combustible distribución Centro "&amp;TEXT(AN237/AM237-1,"+0%")&amp;" sobre norma. ","")&amp;IF(AND(AU237&gt;0,AV237/AU237-1&gt;Tolerancia_Comb),"Combustible traslado Oriente "&amp;TEXT(AV237/AU237-1,"+0%")&amp;" sobre norma. ","")&amp;IF(AND(AW237&gt;0,AX237/AW237-1&gt;Tolerancia_Comb),"Combustible distribución Oriente "&amp;TEXT(AX237/AW237-1,"+0%")&amp;" sobre norma. ","")&amp;IF(AND(ENTRADA!$C237&lt;&gt;"",C237&lt;PRECIOS!$A$6),"Fecha anterior a la 1ª vigencia de precios. ","")&amp;IF(CD237&lt;0,"Contenedor con pérdida. ",""))</f>
      </c>
    </row>
    <row r="238">
      <c r="A238" s="60">
        <f>IF(B238="","",ROW()-5)</f>
      </c>
      <c r="B238" s="63">
        <f>IF(ENTRADA!$B238="","",ENTRADA!$B238)</f>
      </c>
      <c r="C238" s="64">
        <f>IF(B238="","",ENTRADA!$C238)</f>
      </c>
      <c r="D238" s="65">
        <f>IF(B238="","",DATE(YEAR(C238),MONTH(C238),1))</f>
      </c>
      <c r="E238" s="66">
        <f>IF(B238="","",ENTRADA!$D238&amp;"")</f>
      </c>
      <c r="F238" s="66">
        <f>IF(B238="","",ENTRADA!$Z238&amp;"")</f>
      </c>
      <c r="G238" s="67">
        <f>IF(B238="","",N(ENTRADA!$G238))</f>
      </c>
      <c r="H238" s="67">
        <f>IF(B238="","",N(ENTRADA!$H238))</f>
      </c>
      <c r="I238" s="67">
        <f>IF(B238="","",N(ENTRADA!$I238))</f>
      </c>
      <c r="J238" s="68">
        <f>IF(B238="","",G238+H238+I238)</f>
      </c>
      <c r="K238" s="60">
        <f>IF(B238="","",IFERROR(MATCH(SUMPRODUCT(MAX((PRECIOS!$A$6:$A$55&lt;=C238)*PRECIOS!$A$6:$A$55)),PRECIOS!$A$6:$A$55,0),1))</f>
      </c>
      <c r="L238" s="69">
        <f>IF(B238="","",INDEX(PRECIOS!$A$6:$A$55,K238))</f>
      </c>
      <c r="M238" s="37">
        <f>IF(B238="","",G238*INDEX(PRECIOS!$B$6:$B$55,K238))</f>
      </c>
      <c r="N238" s="37">
        <f>IF(B238="","",H238*INDEX(PRECIOS!$C$6:$C$55,K238))</f>
      </c>
      <c r="O238" s="37">
        <f>IF(B238="","",I238*INDEX(PRECIOS!$D$6:$D$55,K238))</f>
      </c>
      <c r="P238" s="37">
        <f>IF(B238="","",N(ENTRADA!$X238))</f>
      </c>
      <c r="Q238" s="70">
        <f>IF(B238="","",M238+N238+O238+P238)</f>
      </c>
      <c r="R238" s="71">
        <f>IF(B238="","",IF(ENTRADA!$J238="",Std_Viajes_Puerto,ENTRADA!$J238))</f>
      </c>
      <c r="S238" s="37">
        <f>IF(B238="","",R238*INDEX(PRECIOS!$F$6:$F$55,K238))</f>
      </c>
      <c r="T238" s="71">
        <f>IF(B238="","",R238*Litros_Puerto_Viaje)</f>
      </c>
      <c r="U238" s="71">
        <f>IF(B238="","",IF(ENTRADA!$K238="",T238,ENTRADA!$K238))</f>
      </c>
      <c r="V238" s="37">
        <f>IF(B238="","",U238*INDEX(PRECIOS!$E$6:$E$55,K238))</f>
      </c>
      <c r="W238" s="37">
        <f>IF(B238="","",IF(ENTRADA!$L238="",R238*INDEX(PRECIOS!$G$6:$G$55,K238),ENTRADA!$L238))</f>
      </c>
      <c r="X238" s="37">
        <f>IF(B238="","",R238*Km_Puerto_Viaje*INDEX(PRECIOS!$N$6:$N$55,K238))</f>
      </c>
      <c r="Y238" s="70">
        <f>IF(B238="","",S238+V238+W238+X238)</f>
      </c>
      <c r="Z238" s="71">
        <f>IF(B238="","",IF(J238=0,0,ROUNDUP(J238/Rend_Desagrupe,0)))</f>
      </c>
      <c r="AA238" s="71">
        <f>IF(B238="","",IF(ENTRADA!$M238="",Z238,ENTRADA!$M238))</f>
      </c>
      <c r="AB238" s="37">
        <f>IF(B238="","",AA238*INDEX(PRECIOS!$H$6:$H$55,K238))</f>
      </c>
      <c r="AC238" s="37">
        <f>IF(B238="","",IF(E238="ENCI",INDEX(PRECIOS!$J$6:$J$55,K238),IF(E238="A.V",INDEX(PRECIOS!$K$6:$K$55,K238),0)))</f>
      </c>
      <c r="AD238" s="37">
        <f>IF(B238="","",N(ENTRADA!$N238))</f>
      </c>
      <c r="AE238" s="70">
        <f>IF(B238="","",AB238+AC238+AD238)</f>
      </c>
      <c r="AF238" s="71">
        <f>IF(B238="","",IF(G238=0,0,ROUNDUP(G238/Cap_Camion_OCC,0)))</f>
      </c>
      <c r="AG238" s="71">
        <f>IF(B238="","",AF238*L_Dist_OCC)</f>
      </c>
      <c r="AH238" s="71">
        <f>IF(B238="","",IF(ENTRADA!$O238="",AG238,ENTRADA!$O238))</f>
      </c>
      <c r="AI238" s="37">
        <f>IF(B238="","",AH238*INDEX(PRECIOS!$E$6:$E$55,K238))</f>
      </c>
      <c r="AJ238" s="71">
        <f>IF(B238="","",IF(H238=0,0,ROUNDUP(H238/Cap_Camion_CEN,0)))</f>
      </c>
      <c r="AK238" s="71">
        <f>IF(B238="","",AJ238*L_Tras_CEN)</f>
      </c>
      <c r="AL238" s="71">
        <f>IF(B238="","",IF(ENTRADA!$P238="",AK238,ENTRADA!$P238))</f>
      </c>
      <c r="AM238" s="71">
        <f>IF(B238="","",AJ238*L_Dist_CEN)</f>
      </c>
      <c r="AN238" s="71">
        <f>IF(B238="","",IF(ENTRADA!$Q238="",AM238,ENTRADA!$Q238))</f>
      </c>
      <c r="AO238" s="37">
        <f>IF(B238="","",(AL238+AN238)*INDEX(PRECIOS!$E$6:$E$55,K238))</f>
      </c>
      <c r="AP238" s="71">
        <f>IF(B238="","",IF(H238=0,0,ROUNDUP(H238/Rend_Desagrupe_CT,0)))</f>
      </c>
      <c r="AQ238" s="71">
        <f>IF(B238="","",IF(ENTRADA!$R238="",AP238,ENTRADA!$R238))</f>
      </c>
      <c r="AR238" s="37">
        <f>IF(B238="","",AQ238*INDEX(PRECIOS!$I$6:$I$55,K238))</f>
      </c>
      <c r="AS238" s="37">
        <f>IF(B238="","",AO238+AR238)</f>
      </c>
      <c r="AT238" s="71">
        <f>IF(B238="","",IF(I238=0,0,ROUNDUP(I238/Cap_Camion_ORI,0)))</f>
      </c>
      <c r="AU238" s="71">
        <f>IF(B238="","",AT238*L_Tras_ORI)</f>
      </c>
      <c r="AV238" s="71">
        <f>IF(B238="","",IF(ENTRADA!$S238="",AU238,ENTRADA!$S238))</f>
      </c>
      <c r="AW238" s="71">
        <f>IF(B238="","",AT238*L_Dist_ORI)</f>
      </c>
      <c r="AX238" s="71">
        <f>IF(B238="","",IF(ENTRADA!$T238="",AW238,ENTRADA!$T238))</f>
      </c>
      <c r="AY238" s="37">
        <f>IF(B238="","",(AV238+AX238)*INDEX(PRECIOS!$E$6:$E$55,K238))</f>
      </c>
      <c r="AZ238" s="71">
        <f>IF(B238="","",IF(I238=0,0,ROUNDUP(I238/Rend_Desagrupe_CT,0)))</f>
      </c>
      <c r="BA238" s="71">
        <f>IF(B238="","",IF(ENTRADA!$U238="",AZ238,ENTRADA!$U238))</f>
      </c>
      <c r="BB238" s="37">
        <f>IF(B238="","",BA238*INDEX(PRECIOS!$I$6:$I$55,K238))</f>
      </c>
      <c r="BC238" s="37">
        <f>IF(B238="","",AY238+BB238)</f>
      </c>
      <c r="BD238" s="70">
        <f>IF(B238="","",AI238+AS238+BC238)</f>
      </c>
      <c r="BE238" s="37">
        <f>IF(B238="","",IF(Base_Comision="% DEL INGRESO",M238*INDEX(PRECIOS!$L$6:$L$55,K238),G238*INDEX(PRECIOS!$M$6:$M$55,K238)))</f>
      </c>
      <c r="BF238" s="37">
        <f>IF(B238="","",IF(Base_Comision="% DEL INGRESO",N238*INDEX(PRECIOS!$L$6:$L$55,K238),H238*INDEX(PRECIOS!$M$6:$M$55,K238)))</f>
      </c>
      <c r="BG238" s="37">
        <f>IF(B238="","",IF(Base_Comision="% DEL INGRESO",O238*INDEX(PRECIOS!$L$6:$L$55,K238),I238*INDEX(PRECIOS!$M$6:$M$55,K238)))</f>
      </c>
      <c r="BH238" s="70">
        <f>IF(B238="","",BE238+BF238+BG238)</f>
      </c>
      <c r="BI238" s="37">
        <f>IF(B238="","",Q238*Pct_Reclamaciones)</f>
      </c>
      <c r="BJ238" s="37">
        <f>IF(B238="","",Q238*Pct_Banco)</f>
      </c>
      <c r="BK238" s="37">
        <f>IF(B238="","",N(ENTRADA!$V238))</f>
      </c>
      <c r="BL238" s="70">
        <f>IF(B238="","",Y238+AE238+BD238+BH238+BI238+BJ238+BK238)</f>
      </c>
      <c r="BM238" s="70">
        <f>IF(B238="","",Q238-BL238)</f>
      </c>
      <c r="BN238" s="72">
        <f>IF(B238="","",IF(Q238=0,0,BM238/Q238))</f>
      </c>
      <c r="BO238" s="73">
        <f>IF(B238="","",IF(J238=0,0,BM238/J238))</f>
      </c>
      <c r="BP238" s="60">
        <f>IF(B238="","",IFERROR(MATCH(D238,COSTOS_FIJOS!$G$5:$AD$5,0),0))</f>
      </c>
      <c r="BQ238" s="60">
        <f>IF(B238="","",COUNTIFS($D$6:$D$305,D238))</f>
      </c>
      <c r="BR238" s="67">
        <f>IF(B238="","",SUMIFS($J$6:$J$305,$D$6:$D$305,D238))</f>
      </c>
      <c r="BS238" s="72">
        <f>IF(B238="","",IF(Metodo_Prorrateo="KG",IF(BR238=0,0,J238/BR238),1/BQ238))</f>
      </c>
      <c r="BT238" s="37">
        <f>IF(B238="","",IF(BP238=0,0,INDEX(COSTOS_FIJOS!$G$38:$AD$38,BP238))*BS238)</f>
      </c>
      <c r="BU238" s="72">
        <f>IF(B238="","",IF(Metodo_Prorrateo="KG",IF(SUMIFS($G$6:$G$305,$D$6:$D$305,D238)=0,0,G238/SUMIFS($G$6:$G$305,$D$6:$D$305,D238)),IF(G238&gt;0,1/COUNTIFS($D$6:$D$305,D238,$G$6:$G$305,"&gt;0"),0)))</f>
      </c>
      <c r="BV238" s="37">
        <f>IF(B238="","",IF(BP238=0,0,INDEX(COSTOS_FIJOS!$G$39:$AD$39,BP238))*BU238)</f>
      </c>
      <c r="BW238" s="72">
        <f>IF(B238="","",IF(Metodo_Prorrateo="KG",IF(SUMIFS($H$6:$H$305,$D$6:$D$305,D238)=0,0,H238/SUMIFS($H$6:$H$305,$D$6:$D$305,D238)),IF(H238&gt;0,1/COUNTIFS($D$6:$D$305,D238,$H$6:$H$305,"&gt;0"),0)))</f>
      </c>
      <c r="BX238" s="37">
        <f>IF(B238="","",IF(BP238=0,0,INDEX(COSTOS_FIJOS!$G$40:$AD$40,BP238))*BW238)</f>
      </c>
      <c r="BY238" s="72">
        <f>IF(B238="","",IF(Metodo_Prorrateo="KG",IF(SUMIFS($I$6:$I$305,$D$6:$D$305,D238)=0,0,I238/SUMIFS($I$6:$I$305,$D$6:$D$305,D238)),IF(I238&gt;0,1/COUNTIFS($D$6:$D$305,D238,$I$6:$I$305,"&gt;0"),0)))</f>
      </c>
      <c r="BZ238" s="37">
        <f>IF(B238="","",IF(BP238=0,0,INDEX(COSTOS_FIJOS!$G$41:$AD$41,BP238))*BY238)</f>
      </c>
      <c r="CA238" s="70">
        <f>IF(B238="","",BT238+BV238+BX238+BZ238)</f>
      </c>
      <c r="CB238" s="37">
        <f>IF(B238="","",Q238*Imp_Ventas_Serv)</f>
      </c>
      <c r="CC238" s="37">
        <f>IF(B238="","",Q238*Contrib_Territorial)</f>
      </c>
      <c r="CD238" s="70">
        <f>IF(B238="","",BM238-CA238-CB238-CC238)</f>
      </c>
      <c r="CE238" s="37">
        <f>IF(B238="","",MAX(0,CD238)*Imp_Utilidades)</f>
      </c>
      <c r="CF238" s="70">
        <f>IF(B238="","",CD238-CE238)</f>
      </c>
      <c r="CG238" s="72">
        <f>IF(B238="","",IF(Q238=0,0,CF238/Q238))</f>
      </c>
      <c r="CH238" s="73">
        <f>IF(B238="","",IF(J238=0,0,(BL238+CA238+CB238+CC238)/J238))</f>
      </c>
      <c r="CI238" s="73">
        <f>IF(B238="","",IF(J238=0,0,Q238/J238))</f>
      </c>
      <c r="CJ238" s="73">
        <f>IF(B238="","",IF(J238=0,0,CD238/J238))</f>
      </c>
      <c r="CK238" s="37">
        <f>IF(B238="","",Y238+AE238+BK238+BT238)</f>
      </c>
      <c r="CL238" s="37">
        <f>IF(B238="","",IF(J238=0,0,(M238+P238*G238/J238)*(1-Pct_Reclamaciones-Pct_Banco-Imp_Ventas_Serv-Contrib_Territorial)-AI238-BE238-BV238-CK238*G238/J238))</f>
      </c>
      <c r="CM238" s="37">
        <f>IF(B238="","",IF(J238=0,0,(N238+P238*H238/J238)*(1-Pct_Reclamaciones-Pct_Banco-Imp_Ventas_Serv-Contrib_Territorial)-AS238-BF238-BX238-CK238*H238/J238))</f>
      </c>
      <c r="CN238" s="37">
        <f>IF(B238="","",IF(J238=0,0,(O238+P238*I238/J238)*(1-Pct_Reclamaciones-Pct_Banco-Imp_Ventas_Serv-Contrib_Territorial)-BC238-BG238-BZ238-CK238*I238/J238))</f>
      </c>
      <c r="CO238" s="37">
        <f>IF(B238="","",IF(J238=0,0,ROUND(CD238-CL238-CM238-CN238,4)))</f>
      </c>
      <c r="CP238" s="71">
        <f>IF(B238="","",T238+AG238+AK238+AM238+AU238+AW238)</f>
      </c>
      <c r="CQ238" s="71">
        <f>IF(B238="","",U238+AH238+AL238+AN238+AV238+AX238)</f>
      </c>
      <c r="CR238" s="72">
        <f>IF(B238="","",IF(CP238=0,0,CQ238/CP238-1))</f>
      </c>
      <c r="CS238" s="60">
        <f>IF(B238="","",IF(ENTRADA!$Y238="","",ENTRADA!$Y238-C238))</f>
      </c>
      <c r="CT238" s="66">
        <f>IF(B238="","",IF(ENTRADA!$C238="","Falta fecha. ","")&amp;IF(BP238=0,"Mes fuera del rango de COSTOS_FIJOS. ","")&amp;IF(J238=0,"Sin kg. ","")&amp;IF(E238="","Falta transitaria. ","")&amp;IF(AND(T238&gt;0,U238/T238-1&gt;Tolerancia_Comb),"Combustible al puerto "&amp;TEXT(U238/T238-1,"+0%")&amp;" sobre norma. ","")&amp;IF(AND(AG238&gt;0,AH238/AG238-1&gt;Tolerancia_Comb),"Combustible distribución Occidente "&amp;TEXT(AH238/AG238-1,"+0%")&amp;" sobre norma. ","")&amp;IF(AND(AK238&gt;0,AL238/AK238-1&gt;Tolerancia_Comb),"Combustible traslado Centro "&amp;TEXT(AL238/AK238-1,"+0%")&amp;" sobre norma. ","")&amp;IF(AND(AM238&gt;0,AN238/AM238-1&gt;Tolerancia_Comb),"Combustible distribución Centro "&amp;TEXT(AN238/AM238-1,"+0%")&amp;" sobre norma. ","")&amp;IF(AND(AU238&gt;0,AV238/AU238-1&gt;Tolerancia_Comb),"Combustible traslado Oriente "&amp;TEXT(AV238/AU238-1,"+0%")&amp;" sobre norma. ","")&amp;IF(AND(AW238&gt;0,AX238/AW238-1&gt;Tolerancia_Comb),"Combustible distribución Oriente "&amp;TEXT(AX238/AW238-1,"+0%")&amp;" sobre norma. ","")&amp;IF(AND(ENTRADA!$C238&lt;&gt;"",C238&lt;PRECIOS!$A$6),"Fecha anterior a la 1ª vigencia de precios. ","")&amp;IF(CD238&lt;0,"Contenedor con pérdida. ",""))</f>
      </c>
    </row>
    <row r="239">
      <c r="A239" s="60">
        <f>IF(B239="","",ROW()-5)</f>
      </c>
      <c r="B239" s="63">
        <f>IF(ENTRADA!$B239="","",ENTRADA!$B239)</f>
      </c>
      <c r="C239" s="64">
        <f>IF(B239="","",ENTRADA!$C239)</f>
      </c>
      <c r="D239" s="65">
        <f>IF(B239="","",DATE(YEAR(C239),MONTH(C239),1))</f>
      </c>
      <c r="E239" s="66">
        <f>IF(B239="","",ENTRADA!$D239&amp;"")</f>
      </c>
      <c r="F239" s="66">
        <f>IF(B239="","",ENTRADA!$Z239&amp;"")</f>
      </c>
      <c r="G239" s="67">
        <f>IF(B239="","",N(ENTRADA!$G239))</f>
      </c>
      <c r="H239" s="67">
        <f>IF(B239="","",N(ENTRADA!$H239))</f>
      </c>
      <c r="I239" s="67">
        <f>IF(B239="","",N(ENTRADA!$I239))</f>
      </c>
      <c r="J239" s="68">
        <f>IF(B239="","",G239+H239+I239)</f>
      </c>
      <c r="K239" s="60">
        <f>IF(B239="","",IFERROR(MATCH(SUMPRODUCT(MAX((PRECIOS!$A$6:$A$55&lt;=C239)*PRECIOS!$A$6:$A$55)),PRECIOS!$A$6:$A$55,0),1))</f>
      </c>
      <c r="L239" s="69">
        <f>IF(B239="","",INDEX(PRECIOS!$A$6:$A$55,K239))</f>
      </c>
      <c r="M239" s="37">
        <f>IF(B239="","",G239*INDEX(PRECIOS!$B$6:$B$55,K239))</f>
      </c>
      <c r="N239" s="37">
        <f>IF(B239="","",H239*INDEX(PRECIOS!$C$6:$C$55,K239))</f>
      </c>
      <c r="O239" s="37">
        <f>IF(B239="","",I239*INDEX(PRECIOS!$D$6:$D$55,K239))</f>
      </c>
      <c r="P239" s="37">
        <f>IF(B239="","",N(ENTRADA!$X239))</f>
      </c>
      <c r="Q239" s="70">
        <f>IF(B239="","",M239+N239+O239+P239)</f>
      </c>
      <c r="R239" s="71">
        <f>IF(B239="","",IF(ENTRADA!$J239="",Std_Viajes_Puerto,ENTRADA!$J239))</f>
      </c>
      <c r="S239" s="37">
        <f>IF(B239="","",R239*INDEX(PRECIOS!$F$6:$F$55,K239))</f>
      </c>
      <c r="T239" s="71">
        <f>IF(B239="","",R239*Litros_Puerto_Viaje)</f>
      </c>
      <c r="U239" s="71">
        <f>IF(B239="","",IF(ENTRADA!$K239="",T239,ENTRADA!$K239))</f>
      </c>
      <c r="V239" s="37">
        <f>IF(B239="","",U239*INDEX(PRECIOS!$E$6:$E$55,K239))</f>
      </c>
      <c r="W239" s="37">
        <f>IF(B239="","",IF(ENTRADA!$L239="",R239*INDEX(PRECIOS!$G$6:$G$55,K239),ENTRADA!$L239))</f>
      </c>
      <c r="X239" s="37">
        <f>IF(B239="","",R239*Km_Puerto_Viaje*INDEX(PRECIOS!$N$6:$N$55,K239))</f>
      </c>
      <c r="Y239" s="70">
        <f>IF(B239="","",S239+V239+W239+X239)</f>
      </c>
      <c r="Z239" s="71">
        <f>IF(B239="","",IF(J239=0,0,ROUNDUP(J239/Rend_Desagrupe,0)))</f>
      </c>
      <c r="AA239" s="71">
        <f>IF(B239="","",IF(ENTRADA!$M239="",Z239,ENTRADA!$M239))</f>
      </c>
      <c r="AB239" s="37">
        <f>IF(B239="","",AA239*INDEX(PRECIOS!$H$6:$H$55,K239))</f>
      </c>
      <c r="AC239" s="37">
        <f>IF(B239="","",IF(E239="ENCI",INDEX(PRECIOS!$J$6:$J$55,K239),IF(E239="A.V",INDEX(PRECIOS!$K$6:$K$55,K239),0)))</f>
      </c>
      <c r="AD239" s="37">
        <f>IF(B239="","",N(ENTRADA!$N239))</f>
      </c>
      <c r="AE239" s="70">
        <f>IF(B239="","",AB239+AC239+AD239)</f>
      </c>
      <c r="AF239" s="71">
        <f>IF(B239="","",IF(G239=0,0,ROUNDUP(G239/Cap_Camion_OCC,0)))</f>
      </c>
      <c r="AG239" s="71">
        <f>IF(B239="","",AF239*L_Dist_OCC)</f>
      </c>
      <c r="AH239" s="71">
        <f>IF(B239="","",IF(ENTRADA!$O239="",AG239,ENTRADA!$O239))</f>
      </c>
      <c r="AI239" s="37">
        <f>IF(B239="","",AH239*INDEX(PRECIOS!$E$6:$E$55,K239))</f>
      </c>
      <c r="AJ239" s="71">
        <f>IF(B239="","",IF(H239=0,0,ROUNDUP(H239/Cap_Camion_CEN,0)))</f>
      </c>
      <c r="AK239" s="71">
        <f>IF(B239="","",AJ239*L_Tras_CEN)</f>
      </c>
      <c r="AL239" s="71">
        <f>IF(B239="","",IF(ENTRADA!$P239="",AK239,ENTRADA!$P239))</f>
      </c>
      <c r="AM239" s="71">
        <f>IF(B239="","",AJ239*L_Dist_CEN)</f>
      </c>
      <c r="AN239" s="71">
        <f>IF(B239="","",IF(ENTRADA!$Q239="",AM239,ENTRADA!$Q239))</f>
      </c>
      <c r="AO239" s="37">
        <f>IF(B239="","",(AL239+AN239)*INDEX(PRECIOS!$E$6:$E$55,K239))</f>
      </c>
      <c r="AP239" s="71">
        <f>IF(B239="","",IF(H239=0,0,ROUNDUP(H239/Rend_Desagrupe_CT,0)))</f>
      </c>
      <c r="AQ239" s="71">
        <f>IF(B239="","",IF(ENTRADA!$R239="",AP239,ENTRADA!$R239))</f>
      </c>
      <c r="AR239" s="37">
        <f>IF(B239="","",AQ239*INDEX(PRECIOS!$I$6:$I$55,K239))</f>
      </c>
      <c r="AS239" s="37">
        <f>IF(B239="","",AO239+AR239)</f>
      </c>
      <c r="AT239" s="71">
        <f>IF(B239="","",IF(I239=0,0,ROUNDUP(I239/Cap_Camion_ORI,0)))</f>
      </c>
      <c r="AU239" s="71">
        <f>IF(B239="","",AT239*L_Tras_ORI)</f>
      </c>
      <c r="AV239" s="71">
        <f>IF(B239="","",IF(ENTRADA!$S239="",AU239,ENTRADA!$S239))</f>
      </c>
      <c r="AW239" s="71">
        <f>IF(B239="","",AT239*L_Dist_ORI)</f>
      </c>
      <c r="AX239" s="71">
        <f>IF(B239="","",IF(ENTRADA!$T239="",AW239,ENTRADA!$T239))</f>
      </c>
      <c r="AY239" s="37">
        <f>IF(B239="","",(AV239+AX239)*INDEX(PRECIOS!$E$6:$E$55,K239))</f>
      </c>
      <c r="AZ239" s="71">
        <f>IF(B239="","",IF(I239=0,0,ROUNDUP(I239/Rend_Desagrupe_CT,0)))</f>
      </c>
      <c r="BA239" s="71">
        <f>IF(B239="","",IF(ENTRADA!$U239="",AZ239,ENTRADA!$U239))</f>
      </c>
      <c r="BB239" s="37">
        <f>IF(B239="","",BA239*INDEX(PRECIOS!$I$6:$I$55,K239))</f>
      </c>
      <c r="BC239" s="37">
        <f>IF(B239="","",AY239+BB239)</f>
      </c>
      <c r="BD239" s="70">
        <f>IF(B239="","",AI239+AS239+BC239)</f>
      </c>
      <c r="BE239" s="37">
        <f>IF(B239="","",IF(Base_Comision="% DEL INGRESO",M239*INDEX(PRECIOS!$L$6:$L$55,K239),G239*INDEX(PRECIOS!$M$6:$M$55,K239)))</f>
      </c>
      <c r="BF239" s="37">
        <f>IF(B239="","",IF(Base_Comision="% DEL INGRESO",N239*INDEX(PRECIOS!$L$6:$L$55,K239),H239*INDEX(PRECIOS!$M$6:$M$55,K239)))</f>
      </c>
      <c r="BG239" s="37">
        <f>IF(B239="","",IF(Base_Comision="% DEL INGRESO",O239*INDEX(PRECIOS!$L$6:$L$55,K239),I239*INDEX(PRECIOS!$M$6:$M$55,K239)))</f>
      </c>
      <c r="BH239" s="70">
        <f>IF(B239="","",BE239+BF239+BG239)</f>
      </c>
      <c r="BI239" s="37">
        <f>IF(B239="","",Q239*Pct_Reclamaciones)</f>
      </c>
      <c r="BJ239" s="37">
        <f>IF(B239="","",Q239*Pct_Banco)</f>
      </c>
      <c r="BK239" s="37">
        <f>IF(B239="","",N(ENTRADA!$V239))</f>
      </c>
      <c r="BL239" s="70">
        <f>IF(B239="","",Y239+AE239+BD239+BH239+BI239+BJ239+BK239)</f>
      </c>
      <c r="BM239" s="70">
        <f>IF(B239="","",Q239-BL239)</f>
      </c>
      <c r="BN239" s="72">
        <f>IF(B239="","",IF(Q239=0,0,BM239/Q239))</f>
      </c>
      <c r="BO239" s="73">
        <f>IF(B239="","",IF(J239=0,0,BM239/J239))</f>
      </c>
      <c r="BP239" s="60">
        <f>IF(B239="","",IFERROR(MATCH(D239,COSTOS_FIJOS!$G$5:$AD$5,0),0))</f>
      </c>
      <c r="BQ239" s="60">
        <f>IF(B239="","",COUNTIFS($D$6:$D$305,D239))</f>
      </c>
      <c r="BR239" s="67">
        <f>IF(B239="","",SUMIFS($J$6:$J$305,$D$6:$D$305,D239))</f>
      </c>
      <c r="BS239" s="72">
        <f>IF(B239="","",IF(Metodo_Prorrateo="KG",IF(BR239=0,0,J239/BR239),1/BQ239))</f>
      </c>
      <c r="BT239" s="37">
        <f>IF(B239="","",IF(BP239=0,0,INDEX(COSTOS_FIJOS!$G$38:$AD$38,BP239))*BS239)</f>
      </c>
      <c r="BU239" s="72">
        <f>IF(B239="","",IF(Metodo_Prorrateo="KG",IF(SUMIFS($G$6:$G$305,$D$6:$D$305,D239)=0,0,G239/SUMIFS($G$6:$G$305,$D$6:$D$305,D239)),IF(G239&gt;0,1/COUNTIFS($D$6:$D$305,D239,$G$6:$G$305,"&gt;0"),0)))</f>
      </c>
      <c r="BV239" s="37">
        <f>IF(B239="","",IF(BP239=0,0,INDEX(COSTOS_FIJOS!$G$39:$AD$39,BP239))*BU239)</f>
      </c>
      <c r="BW239" s="72">
        <f>IF(B239="","",IF(Metodo_Prorrateo="KG",IF(SUMIFS($H$6:$H$305,$D$6:$D$305,D239)=0,0,H239/SUMIFS($H$6:$H$305,$D$6:$D$305,D239)),IF(H239&gt;0,1/COUNTIFS($D$6:$D$305,D239,$H$6:$H$305,"&gt;0"),0)))</f>
      </c>
      <c r="BX239" s="37">
        <f>IF(B239="","",IF(BP239=0,0,INDEX(COSTOS_FIJOS!$G$40:$AD$40,BP239))*BW239)</f>
      </c>
      <c r="BY239" s="72">
        <f>IF(B239="","",IF(Metodo_Prorrateo="KG",IF(SUMIFS($I$6:$I$305,$D$6:$D$305,D239)=0,0,I239/SUMIFS($I$6:$I$305,$D$6:$D$305,D239)),IF(I239&gt;0,1/COUNTIFS($D$6:$D$305,D239,$I$6:$I$305,"&gt;0"),0)))</f>
      </c>
      <c r="BZ239" s="37">
        <f>IF(B239="","",IF(BP239=0,0,INDEX(COSTOS_FIJOS!$G$41:$AD$41,BP239))*BY239)</f>
      </c>
      <c r="CA239" s="70">
        <f>IF(B239="","",BT239+BV239+BX239+BZ239)</f>
      </c>
      <c r="CB239" s="37">
        <f>IF(B239="","",Q239*Imp_Ventas_Serv)</f>
      </c>
      <c r="CC239" s="37">
        <f>IF(B239="","",Q239*Contrib_Territorial)</f>
      </c>
      <c r="CD239" s="70">
        <f>IF(B239="","",BM239-CA239-CB239-CC239)</f>
      </c>
      <c r="CE239" s="37">
        <f>IF(B239="","",MAX(0,CD239)*Imp_Utilidades)</f>
      </c>
      <c r="CF239" s="70">
        <f>IF(B239="","",CD239-CE239)</f>
      </c>
      <c r="CG239" s="72">
        <f>IF(B239="","",IF(Q239=0,0,CF239/Q239))</f>
      </c>
      <c r="CH239" s="73">
        <f>IF(B239="","",IF(J239=0,0,(BL239+CA239+CB239+CC239)/J239))</f>
      </c>
      <c r="CI239" s="73">
        <f>IF(B239="","",IF(J239=0,0,Q239/J239))</f>
      </c>
      <c r="CJ239" s="73">
        <f>IF(B239="","",IF(J239=0,0,CD239/J239))</f>
      </c>
      <c r="CK239" s="37">
        <f>IF(B239="","",Y239+AE239+BK239+BT239)</f>
      </c>
      <c r="CL239" s="37">
        <f>IF(B239="","",IF(J239=0,0,(M239+P239*G239/J239)*(1-Pct_Reclamaciones-Pct_Banco-Imp_Ventas_Serv-Contrib_Territorial)-AI239-BE239-BV239-CK239*G239/J239))</f>
      </c>
      <c r="CM239" s="37">
        <f>IF(B239="","",IF(J239=0,0,(N239+P239*H239/J239)*(1-Pct_Reclamaciones-Pct_Banco-Imp_Ventas_Serv-Contrib_Territorial)-AS239-BF239-BX239-CK239*H239/J239))</f>
      </c>
      <c r="CN239" s="37">
        <f>IF(B239="","",IF(J239=0,0,(O239+P239*I239/J239)*(1-Pct_Reclamaciones-Pct_Banco-Imp_Ventas_Serv-Contrib_Territorial)-BC239-BG239-BZ239-CK239*I239/J239))</f>
      </c>
      <c r="CO239" s="37">
        <f>IF(B239="","",IF(J239=0,0,ROUND(CD239-CL239-CM239-CN239,4)))</f>
      </c>
      <c r="CP239" s="71">
        <f>IF(B239="","",T239+AG239+AK239+AM239+AU239+AW239)</f>
      </c>
      <c r="CQ239" s="71">
        <f>IF(B239="","",U239+AH239+AL239+AN239+AV239+AX239)</f>
      </c>
      <c r="CR239" s="72">
        <f>IF(B239="","",IF(CP239=0,0,CQ239/CP239-1))</f>
      </c>
      <c r="CS239" s="60">
        <f>IF(B239="","",IF(ENTRADA!$Y239="","",ENTRADA!$Y239-C239))</f>
      </c>
      <c r="CT239" s="66">
        <f>IF(B239="","",IF(ENTRADA!$C239="","Falta fecha. ","")&amp;IF(BP239=0,"Mes fuera del rango de COSTOS_FIJOS. ","")&amp;IF(J239=0,"Sin kg. ","")&amp;IF(E239="","Falta transitaria. ","")&amp;IF(AND(T239&gt;0,U239/T239-1&gt;Tolerancia_Comb),"Combustible al puerto "&amp;TEXT(U239/T239-1,"+0%")&amp;" sobre norma. ","")&amp;IF(AND(AG239&gt;0,AH239/AG239-1&gt;Tolerancia_Comb),"Combustible distribución Occidente "&amp;TEXT(AH239/AG239-1,"+0%")&amp;" sobre norma. ","")&amp;IF(AND(AK239&gt;0,AL239/AK239-1&gt;Tolerancia_Comb),"Combustible traslado Centro "&amp;TEXT(AL239/AK239-1,"+0%")&amp;" sobre norma. ","")&amp;IF(AND(AM239&gt;0,AN239/AM239-1&gt;Tolerancia_Comb),"Combustible distribución Centro "&amp;TEXT(AN239/AM239-1,"+0%")&amp;" sobre norma. ","")&amp;IF(AND(AU239&gt;0,AV239/AU239-1&gt;Tolerancia_Comb),"Combustible traslado Oriente "&amp;TEXT(AV239/AU239-1,"+0%")&amp;" sobre norma. ","")&amp;IF(AND(AW239&gt;0,AX239/AW239-1&gt;Tolerancia_Comb),"Combustible distribución Oriente "&amp;TEXT(AX239/AW239-1,"+0%")&amp;" sobre norma. ","")&amp;IF(AND(ENTRADA!$C239&lt;&gt;"",C239&lt;PRECIOS!$A$6),"Fecha anterior a la 1ª vigencia de precios. ","")&amp;IF(CD239&lt;0,"Contenedor con pérdida. ",""))</f>
      </c>
    </row>
    <row r="240">
      <c r="A240" s="60">
        <f>IF(B240="","",ROW()-5)</f>
      </c>
      <c r="B240" s="63">
        <f>IF(ENTRADA!$B240="","",ENTRADA!$B240)</f>
      </c>
      <c r="C240" s="64">
        <f>IF(B240="","",ENTRADA!$C240)</f>
      </c>
      <c r="D240" s="65">
        <f>IF(B240="","",DATE(YEAR(C240),MONTH(C240),1))</f>
      </c>
      <c r="E240" s="66">
        <f>IF(B240="","",ENTRADA!$D240&amp;"")</f>
      </c>
      <c r="F240" s="66">
        <f>IF(B240="","",ENTRADA!$Z240&amp;"")</f>
      </c>
      <c r="G240" s="67">
        <f>IF(B240="","",N(ENTRADA!$G240))</f>
      </c>
      <c r="H240" s="67">
        <f>IF(B240="","",N(ENTRADA!$H240))</f>
      </c>
      <c r="I240" s="67">
        <f>IF(B240="","",N(ENTRADA!$I240))</f>
      </c>
      <c r="J240" s="68">
        <f>IF(B240="","",G240+H240+I240)</f>
      </c>
      <c r="K240" s="60">
        <f>IF(B240="","",IFERROR(MATCH(SUMPRODUCT(MAX((PRECIOS!$A$6:$A$55&lt;=C240)*PRECIOS!$A$6:$A$55)),PRECIOS!$A$6:$A$55,0),1))</f>
      </c>
      <c r="L240" s="69">
        <f>IF(B240="","",INDEX(PRECIOS!$A$6:$A$55,K240))</f>
      </c>
      <c r="M240" s="37">
        <f>IF(B240="","",G240*INDEX(PRECIOS!$B$6:$B$55,K240))</f>
      </c>
      <c r="N240" s="37">
        <f>IF(B240="","",H240*INDEX(PRECIOS!$C$6:$C$55,K240))</f>
      </c>
      <c r="O240" s="37">
        <f>IF(B240="","",I240*INDEX(PRECIOS!$D$6:$D$55,K240))</f>
      </c>
      <c r="P240" s="37">
        <f>IF(B240="","",N(ENTRADA!$X240))</f>
      </c>
      <c r="Q240" s="70">
        <f>IF(B240="","",M240+N240+O240+P240)</f>
      </c>
      <c r="R240" s="71">
        <f>IF(B240="","",IF(ENTRADA!$J240="",Std_Viajes_Puerto,ENTRADA!$J240))</f>
      </c>
      <c r="S240" s="37">
        <f>IF(B240="","",R240*INDEX(PRECIOS!$F$6:$F$55,K240))</f>
      </c>
      <c r="T240" s="71">
        <f>IF(B240="","",R240*Litros_Puerto_Viaje)</f>
      </c>
      <c r="U240" s="71">
        <f>IF(B240="","",IF(ENTRADA!$K240="",T240,ENTRADA!$K240))</f>
      </c>
      <c r="V240" s="37">
        <f>IF(B240="","",U240*INDEX(PRECIOS!$E$6:$E$55,K240))</f>
      </c>
      <c r="W240" s="37">
        <f>IF(B240="","",IF(ENTRADA!$L240="",R240*INDEX(PRECIOS!$G$6:$G$55,K240),ENTRADA!$L240))</f>
      </c>
      <c r="X240" s="37">
        <f>IF(B240="","",R240*Km_Puerto_Viaje*INDEX(PRECIOS!$N$6:$N$55,K240))</f>
      </c>
      <c r="Y240" s="70">
        <f>IF(B240="","",S240+V240+W240+X240)</f>
      </c>
      <c r="Z240" s="71">
        <f>IF(B240="","",IF(J240=0,0,ROUNDUP(J240/Rend_Desagrupe,0)))</f>
      </c>
      <c r="AA240" s="71">
        <f>IF(B240="","",IF(ENTRADA!$M240="",Z240,ENTRADA!$M240))</f>
      </c>
      <c r="AB240" s="37">
        <f>IF(B240="","",AA240*INDEX(PRECIOS!$H$6:$H$55,K240))</f>
      </c>
      <c r="AC240" s="37">
        <f>IF(B240="","",IF(E240="ENCI",INDEX(PRECIOS!$J$6:$J$55,K240),IF(E240="A.V",INDEX(PRECIOS!$K$6:$K$55,K240),0)))</f>
      </c>
      <c r="AD240" s="37">
        <f>IF(B240="","",N(ENTRADA!$N240))</f>
      </c>
      <c r="AE240" s="70">
        <f>IF(B240="","",AB240+AC240+AD240)</f>
      </c>
      <c r="AF240" s="71">
        <f>IF(B240="","",IF(G240=0,0,ROUNDUP(G240/Cap_Camion_OCC,0)))</f>
      </c>
      <c r="AG240" s="71">
        <f>IF(B240="","",AF240*L_Dist_OCC)</f>
      </c>
      <c r="AH240" s="71">
        <f>IF(B240="","",IF(ENTRADA!$O240="",AG240,ENTRADA!$O240))</f>
      </c>
      <c r="AI240" s="37">
        <f>IF(B240="","",AH240*INDEX(PRECIOS!$E$6:$E$55,K240))</f>
      </c>
      <c r="AJ240" s="71">
        <f>IF(B240="","",IF(H240=0,0,ROUNDUP(H240/Cap_Camion_CEN,0)))</f>
      </c>
      <c r="AK240" s="71">
        <f>IF(B240="","",AJ240*L_Tras_CEN)</f>
      </c>
      <c r="AL240" s="71">
        <f>IF(B240="","",IF(ENTRADA!$P240="",AK240,ENTRADA!$P240))</f>
      </c>
      <c r="AM240" s="71">
        <f>IF(B240="","",AJ240*L_Dist_CEN)</f>
      </c>
      <c r="AN240" s="71">
        <f>IF(B240="","",IF(ENTRADA!$Q240="",AM240,ENTRADA!$Q240))</f>
      </c>
      <c r="AO240" s="37">
        <f>IF(B240="","",(AL240+AN240)*INDEX(PRECIOS!$E$6:$E$55,K240))</f>
      </c>
      <c r="AP240" s="71">
        <f>IF(B240="","",IF(H240=0,0,ROUNDUP(H240/Rend_Desagrupe_CT,0)))</f>
      </c>
      <c r="AQ240" s="71">
        <f>IF(B240="","",IF(ENTRADA!$R240="",AP240,ENTRADA!$R240))</f>
      </c>
      <c r="AR240" s="37">
        <f>IF(B240="","",AQ240*INDEX(PRECIOS!$I$6:$I$55,K240))</f>
      </c>
      <c r="AS240" s="37">
        <f>IF(B240="","",AO240+AR240)</f>
      </c>
      <c r="AT240" s="71">
        <f>IF(B240="","",IF(I240=0,0,ROUNDUP(I240/Cap_Camion_ORI,0)))</f>
      </c>
      <c r="AU240" s="71">
        <f>IF(B240="","",AT240*L_Tras_ORI)</f>
      </c>
      <c r="AV240" s="71">
        <f>IF(B240="","",IF(ENTRADA!$S240="",AU240,ENTRADA!$S240))</f>
      </c>
      <c r="AW240" s="71">
        <f>IF(B240="","",AT240*L_Dist_ORI)</f>
      </c>
      <c r="AX240" s="71">
        <f>IF(B240="","",IF(ENTRADA!$T240="",AW240,ENTRADA!$T240))</f>
      </c>
      <c r="AY240" s="37">
        <f>IF(B240="","",(AV240+AX240)*INDEX(PRECIOS!$E$6:$E$55,K240))</f>
      </c>
      <c r="AZ240" s="71">
        <f>IF(B240="","",IF(I240=0,0,ROUNDUP(I240/Rend_Desagrupe_CT,0)))</f>
      </c>
      <c r="BA240" s="71">
        <f>IF(B240="","",IF(ENTRADA!$U240="",AZ240,ENTRADA!$U240))</f>
      </c>
      <c r="BB240" s="37">
        <f>IF(B240="","",BA240*INDEX(PRECIOS!$I$6:$I$55,K240))</f>
      </c>
      <c r="BC240" s="37">
        <f>IF(B240="","",AY240+BB240)</f>
      </c>
      <c r="BD240" s="70">
        <f>IF(B240="","",AI240+AS240+BC240)</f>
      </c>
      <c r="BE240" s="37">
        <f>IF(B240="","",IF(Base_Comision="% DEL INGRESO",M240*INDEX(PRECIOS!$L$6:$L$55,K240),G240*INDEX(PRECIOS!$M$6:$M$55,K240)))</f>
      </c>
      <c r="BF240" s="37">
        <f>IF(B240="","",IF(Base_Comision="% DEL INGRESO",N240*INDEX(PRECIOS!$L$6:$L$55,K240),H240*INDEX(PRECIOS!$M$6:$M$55,K240)))</f>
      </c>
      <c r="BG240" s="37">
        <f>IF(B240="","",IF(Base_Comision="% DEL INGRESO",O240*INDEX(PRECIOS!$L$6:$L$55,K240),I240*INDEX(PRECIOS!$M$6:$M$55,K240)))</f>
      </c>
      <c r="BH240" s="70">
        <f>IF(B240="","",BE240+BF240+BG240)</f>
      </c>
      <c r="BI240" s="37">
        <f>IF(B240="","",Q240*Pct_Reclamaciones)</f>
      </c>
      <c r="BJ240" s="37">
        <f>IF(B240="","",Q240*Pct_Banco)</f>
      </c>
      <c r="BK240" s="37">
        <f>IF(B240="","",N(ENTRADA!$V240))</f>
      </c>
      <c r="BL240" s="70">
        <f>IF(B240="","",Y240+AE240+BD240+BH240+BI240+BJ240+BK240)</f>
      </c>
      <c r="BM240" s="70">
        <f>IF(B240="","",Q240-BL240)</f>
      </c>
      <c r="BN240" s="72">
        <f>IF(B240="","",IF(Q240=0,0,BM240/Q240))</f>
      </c>
      <c r="BO240" s="73">
        <f>IF(B240="","",IF(J240=0,0,BM240/J240))</f>
      </c>
      <c r="BP240" s="60">
        <f>IF(B240="","",IFERROR(MATCH(D240,COSTOS_FIJOS!$G$5:$AD$5,0),0))</f>
      </c>
      <c r="BQ240" s="60">
        <f>IF(B240="","",COUNTIFS($D$6:$D$305,D240))</f>
      </c>
      <c r="BR240" s="67">
        <f>IF(B240="","",SUMIFS($J$6:$J$305,$D$6:$D$305,D240))</f>
      </c>
      <c r="BS240" s="72">
        <f>IF(B240="","",IF(Metodo_Prorrateo="KG",IF(BR240=0,0,J240/BR240),1/BQ240))</f>
      </c>
      <c r="BT240" s="37">
        <f>IF(B240="","",IF(BP240=0,0,INDEX(COSTOS_FIJOS!$G$38:$AD$38,BP240))*BS240)</f>
      </c>
      <c r="BU240" s="72">
        <f>IF(B240="","",IF(Metodo_Prorrateo="KG",IF(SUMIFS($G$6:$G$305,$D$6:$D$305,D240)=0,0,G240/SUMIFS($G$6:$G$305,$D$6:$D$305,D240)),IF(G240&gt;0,1/COUNTIFS($D$6:$D$305,D240,$G$6:$G$305,"&gt;0"),0)))</f>
      </c>
      <c r="BV240" s="37">
        <f>IF(B240="","",IF(BP240=0,0,INDEX(COSTOS_FIJOS!$G$39:$AD$39,BP240))*BU240)</f>
      </c>
      <c r="BW240" s="72">
        <f>IF(B240="","",IF(Metodo_Prorrateo="KG",IF(SUMIFS($H$6:$H$305,$D$6:$D$305,D240)=0,0,H240/SUMIFS($H$6:$H$305,$D$6:$D$305,D240)),IF(H240&gt;0,1/COUNTIFS($D$6:$D$305,D240,$H$6:$H$305,"&gt;0"),0)))</f>
      </c>
      <c r="BX240" s="37">
        <f>IF(B240="","",IF(BP240=0,0,INDEX(COSTOS_FIJOS!$G$40:$AD$40,BP240))*BW240)</f>
      </c>
      <c r="BY240" s="72">
        <f>IF(B240="","",IF(Metodo_Prorrateo="KG",IF(SUMIFS($I$6:$I$305,$D$6:$D$305,D240)=0,0,I240/SUMIFS($I$6:$I$305,$D$6:$D$305,D240)),IF(I240&gt;0,1/COUNTIFS($D$6:$D$305,D240,$I$6:$I$305,"&gt;0"),0)))</f>
      </c>
      <c r="BZ240" s="37">
        <f>IF(B240="","",IF(BP240=0,0,INDEX(COSTOS_FIJOS!$G$41:$AD$41,BP240))*BY240)</f>
      </c>
      <c r="CA240" s="70">
        <f>IF(B240="","",BT240+BV240+BX240+BZ240)</f>
      </c>
      <c r="CB240" s="37">
        <f>IF(B240="","",Q240*Imp_Ventas_Serv)</f>
      </c>
      <c r="CC240" s="37">
        <f>IF(B240="","",Q240*Contrib_Territorial)</f>
      </c>
      <c r="CD240" s="70">
        <f>IF(B240="","",BM240-CA240-CB240-CC240)</f>
      </c>
      <c r="CE240" s="37">
        <f>IF(B240="","",MAX(0,CD240)*Imp_Utilidades)</f>
      </c>
      <c r="CF240" s="70">
        <f>IF(B240="","",CD240-CE240)</f>
      </c>
      <c r="CG240" s="72">
        <f>IF(B240="","",IF(Q240=0,0,CF240/Q240))</f>
      </c>
      <c r="CH240" s="73">
        <f>IF(B240="","",IF(J240=0,0,(BL240+CA240+CB240+CC240)/J240))</f>
      </c>
      <c r="CI240" s="73">
        <f>IF(B240="","",IF(J240=0,0,Q240/J240))</f>
      </c>
      <c r="CJ240" s="73">
        <f>IF(B240="","",IF(J240=0,0,CD240/J240))</f>
      </c>
      <c r="CK240" s="37">
        <f>IF(B240="","",Y240+AE240+BK240+BT240)</f>
      </c>
      <c r="CL240" s="37">
        <f>IF(B240="","",IF(J240=0,0,(M240+P240*G240/J240)*(1-Pct_Reclamaciones-Pct_Banco-Imp_Ventas_Serv-Contrib_Territorial)-AI240-BE240-BV240-CK240*G240/J240))</f>
      </c>
      <c r="CM240" s="37">
        <f>IF(B240="","",IF(J240=0,0,(N240+P240*H240/J240)*(1-Pct_Reclamaciones-Pct_Banco-Imp_Ventas_Serv-Contrib_Territorial)-AS240-BF240-BX240-CK240*H240/J240))</f>
      </c>
      <c r="CN240" s="37">
        <f>IF(B240="","",IF(J240=0,0,(O240+P240*I240/J240)*(1-Pct_Reclamaciones-Pct_Banco-Imp_Ventas_Serv-Contrib_Territorial)-BC240-BG240-BZ240-CK240*I240/J240))</f>
      </c>
      <c r="CO240" s="37">
        <f>IF(B240="","",IF(J240=0,0,ROUND(CD240-CL240-CM240-CN240,4)))</f>
      </c>
      <c r="CP240" s="71">
        <f>IF(B240="","",T240+AG240+AK240+AM240+AU240+AW240)</f>
      </c>
      <c r="CQ240" s="71">
        <f>IF(B240="","",U240+AH240+AL240+AN240+AV240+AX240)</f>
      </c>
      <c r="CR240" s="72">
        <f>IF(B240="","",IF(CP240=0,0,CQ240/CP240-1))</f>
      </c>
      <c r="CS240" s="60">
        <f>IF(B240="","",IF(ENTRADA!$Y240="","",ENTRADA!$Y240-C240))</f>
      </c>
      <c r="CT240" s="66">
        <f>IF(B240="","",IF(ENTRADA!$C240="","Falta fecha. ","")&amp;IF(BP240=0,"Mes fuera del rango de COSTOS_FIJOS. ","")&amp;IF(J240=0,"Sin kg. ","")&amp;IF(E240="","Falta transitaria. ","")&amp;IF(AND(T240&gt;0,U240/T240-1&gt;Tolerancia_Comb),"Combustible al puerto "&amp;TEXT(U240/T240-1,"+0%")&amp;" sobre norma. ","")&amp;IF(AND(AG240&gt;0,AH240/AG240-1&gt;Tolerancia_Comb),"Combustible distribución Occidente "&amp;TEXT(AH240/AG240-1,"+0%")&amp;" sobre norma. ","")&amp;IF(AND(AK240&gt;0,AL240/AK240-1&gt;Tolerancia_Comb),"Combustible traslado Centro "&amp;TEXT(AL240/AK240-1,"+0%")&amp;" sobre norma. ","")&amp;IF(AND(AM240&gt;0,AN240/AM240-1&gt;Tolerancia_Comb),"Combustible distribución Centro "&amp;TEXT(AN240/AM240-1,"+0%")&amp;" sobre norma. ","")&amp;IF(AND(AU240&gt;0,AV240/AU240-1&gt;Tolerancia_Comb),"Combustible traslado Oriente "&amp;TEXT(AV240/AU240-1,"+0%")&amp;" sobre norma. ","")&amp;IF(AND(AW240&gt;0,AX240/AW240-1&gt;Tolerancia_Comb),"Combustible distribución Oriente "&amp;TEXT(AX240/AW240-1,"+0%")&amp;" sobre norma. ","")&amp;IF(AND(ENTRADA!$C240&lt;&gt;"",C240&lt;PRECIOS!$A$6),"Fecha anterior a la 1ª vigencia de precios. ","")&amp;IF(CD240&lt;0,"Contenedor con pérdida. ",""))</f>
      </c>
    </row>
    <row r="241">
      <c r="A241" s="60">
        <f>IF(B241="","",ROW()-5)</f>
      </c>
      <c r="B241" s="63">
        <f>IF(ENTRADA!$B241="","",ENTRADA!$B241)</f>
      </c>
      <c r="C241" s="64">
        <f>IF(B241="","",ENTRADA!$C241)</f>
      </c>
      <c r="D241" s="65">
        <f>IF(B241="","",DATE(YEAR(C241),MONTH(C241),1))</f>
      </c>
      <c r="E241" s="66">
        <f>IF(B241="","",ENTRADA!$D241&amp;"")</f>
      </c>
      <c r="F241" s="66">
        <f>IF(B241="","",ENTRADA!$Z241&amp;"")</f>
      </c>
      <c r="G241" s="67">
        <f>IF(B241="","",N(ENTRADA!$G241))</f>
      </c>
      <c r="H241" s="67">
        <f>IF(B241="","",N(ENTRADA!$H241))</f>
      </c>
      <c r="I241" s="67">
        <f>IF(B241="","",N(ENTRADA!$I241))</f>
      </c>
      <c r="J241" s="68">
        <f>IF(B241="","",G241+H241+I241)</f>
      </c>
      <c r="K241" s="60">
        <f>IF(B241="","",IFERROR(MATCH(SUMPRODUCT(MAX((PRECIOS!$A$6:$A$55&lt;=C241)*PRECIOS!$A$6:$A$55)),PRECIOS!$A$6:$A$55,0),1))</f>
      </c>
      <c r="L241" s="69">
        <f>IF(B241="","",INDEX(PRECIOS!$A$6:$A$55,K241))</f>
      </c>
      <c r="M241" s="37">
        <f>IF(B241="","",G241*INDEX(PRECIOS!$B$6:$B$55,K241))</f>
      </c>
      <c r="N241" s="37">
        <f>IF(B241="","",H241*INDEX(PRECIOS!$C$6:$C$55,K241))</f>
      </c>
      <c r="O241" s="37">
        <f>IF(B241="","",I241*INDEX(PRECIOS!$D$6:$D$55,K241))</f>
      </c>
      <c r="P241" s="37">
        <f>IF(B241="","",N(ENTRADA!$X241))</f>
      </c>
      <c r="Q241" s="70">
        <f>IF(B241="","",M241+N241+O241+P241)</f>
      </c>
      <c r="R241" s="71">
        <f>IF(B241="","",IF(ENTRADA!$J241="",Std_Viajes_Puerto,ENTRADA!$J241))</f>
      </c>
      <c r="S241" s="37">
        <f>IF(B241="","",R241*INDEX(PRECIOS!$F$6:$F$55,K241))</f>
      </c>
      <c r="T241" s="71">
        <f>IF(B241="","",R241*Litros_Puerto_Viaje)</f>
      </c>
      <c r="U241" s="71">
        <f>IF(B241="","",IF(ENTRADA!$K241="",T241,ENTRADA!$K241))</f>
      </c>
      <c r="V241" s="37">
        <f>IF(B241="","",U241*INDEX(PRECIOS!$E$6:$E$55,K241))</f>
      </c>
      <c r="W241" s="37">
        <f>IF(B241="","",IF(ENTRADA!$L241="",R241*INDEX(PRECIOS!$G$6:$G$55,K241),ENTRADA!$L241))</f>
      </c>
      <c r="X241" s="37">
        <f>IF(B241="","",R241*Km_Puerto_Viaje*INDEX(PRECIOS!$N$6:$N$55,K241))</f>
      </c>
      <c r="Y241" s="70">
        <f>IF(B241="","",S241+V241+W241+X241)</f>
      </c>
      <c r="Z241" s="71">
        <f>IF(B241="","",IF(J241=0,0,ROUNDUP(J241/Rend_Desagrupe,0)))</f>
      </c>
      <c r="AA241" s="71">
        <f>IF(B241="","",IF(ENTRADA!$M241="",Z241,ENTRADA!$M241))</f>
      </c>
      <c r="AB241" s="37">
        <f>IF(B241="","",AA241*INDEX(PRECIOS!$H$6:$H$55,K241))</f>
      </c>
      <c r="AC241" s="37">
        <f>IF(B241="","",IF(E241="ENCI",INDEX(PRECIOS!$J$6:$J$55,K241),IF(E241="A.V",INDEX(PRECIOS!$K$6:$K$55,K241),0)))</f>
      </c>
      <c r="AD241" s="37">
        <f>IF(B241="","",N(ENTRADA!$N241))</f>
      </c>
      <c r="AE241" s="70">
        <f>IF(B241="","",AB241+AC241+AD241)</f>
      </c>
      <c r="AF241" s="71">
        <f>IF(B241="","",IF(G241=0,0,ROUNDUP(G241/Cap_Camion_OCC,0)))</f>
      </c>
      <c r="AG241" s="71">
        <f>IF(B241="","",AF241*L_Dist_OCC)</f>
      </c>
      <c r="AH241" s="71">
        <f>IF(B241="","",IF(ENTRADA!$O241="",AG241,ENTRADA!$O241))</f>
      </c>
      <c r="AI241" s="37">
        <f>IF(B241="","",AH241*INDEX(PRECIOS!$E$6:$E$55,K241))</f>
      </c>
      <c r="AJ241" s="71">
        <f>IF(B241="","",IF(H241=0,0,ROUNDUP(H241/Cap_Camion_CEN,0)))</f>
      </c>
      <c r="AK241" s="71">
        <f>IF(B241="","",AJ241*L_Tras_CEN)</f>
      </c>
      <c r="AL241" s="71">
        <f>IF(B241="","",IF(ENTRADA!$P241="",AK241,ENTRADA!$P241))</f>
      </c>
      <c r="AM241" s="71">
        <f>IF(B241="","",AJ241*L_Dist_CEN)</f>
      </c>
      <c r="AN241" s="71">
        <f>IF(B241="","",IF(ENTRADA!$Q241="",AM241,ENTRADA!$Q241))</f>
      </c>
      <c r="AO241" s="37">
        <f>IF(B241="","",(AL241+AN241)*INDEX(PRECIOS!$E$6:$E$55,K241))</f>
      </c>
      <c r="AP241" s="71">
        <f>IF(B241="","",IF(H241=0,0,ROUNDUP(H241/Rend_Desagrupe_CT,0)))</f>
      </c>
      <c r="AQ241" s="71">
        <f>IF(B241="","",IF(ENTRADA!$R241="",AP241,ENTRADA!$R241))</f>
      </c>
      <c r="AR241" s="37">
        <f>IF(B241="","",AQ241*INDEX(PRECIOS!$I$6:$I$55,K241))</f>
      </c>
      <c r="AS241" s="37">
        <f>IF(B241="","",AO241+AR241)</f>
      </c>
      <c r="AT241" s="71">
        <f>IF(B241="","",IF(I241=0,0,ROUNDUP(I241/Cap_Camion_ORI,0)))</f>
      </c>
      <c r="AU241" s="71">
        <f>IF(B241="","",AT241*L_Tras_ORI)</f>
      </c>
      <c r="AV241" s="71">
        <f>IF(B241="","",IF(ENTRADA!$S241="",AU241,ENTRADA!$S241))</f>
      </c>
      <c r="AW241" s="71">
        <f>IF(B241="","",AT241*L_Dist_ORI)</f>
      </c>
      <c r="AX241" s="71">
        <f>IF(B241="","",IF(ENTRADA!$T241="",AW241,ENTRADA!$T241))</f>
      </c>
      <c r="AY241" s="37">
        <f>IF(B241="","",(AV241+AX241)*INDEX(PRECIOS!$E$6:$E$55,K241))</f>
      </c>
      <c r="AZ241" s="71">
        <f>IF(B241="","",IF(I241=0,0,ROUNDUP(I241/Rend_Desagrupe_CT,0)))</f>
      </c>
      <c r="BA241" s="71">
        <f>IF(B241="","",IF(ENTRADA!$U241="",AZ241,ENTRADA!$U241))</f>
      </c>
      <c r="BB241" s="37">
        <f>IF(B241="","",BA241*INDEX(PRECIOS!$I$6:$I$55,K241))</f>
      </c>
      <c r="BC241" s="37">
        <f>IF(B241="","",AY241+BB241)</f>
      </c>
      <c r="BD241" s="70">
        <f>IF(B241="","",AI241+AS241+BC241)</f>
      </c>
      <c r="BE241" s="37">
        <f>IF(B241="","",IF(Base_Comision="% DEL INGRESO",M241*INDEX(PRECIOS!$L$6:$L$55,K241),G241*INDEX(PRECIOS!$M$6:$M$55,K241)))</f>
      </c>
      <c r="BF241" s="37">
        <f>IF(B241="","",IF(Base_Comision="% DEL INGRESO",N241*INDEX(PRECIOS!$L$6:$L$55,K241),H241*INDEX(PRECIOS!$M$6:$M$55,K241)))</f>
      </c>
      <c r="BG241" s="37">
        <f>IF(B241="","",IF(Base_Comision="% DEL INGRESO",O241*INDEX(PRECIOS!$L$6:$L$55,K241),I241*INDEX(PRECIOS!$M$6:$M$55,K241)))</f>
      </c>
      <c r="BH241" s="70">
        <f>IF(B241="","",BE241+BF241+BG241)</f>
      </c>
      <c r="BI241" s="37">
        <f>IF(B241="","",Q241*Pct_Reclamaciones)</f>
      </c>
      <c r="BJ241" s="37">
        <f>IF(B241="","",Q241*Pct_Banco)</f>
      </c>
      <c r="BK241" s="37">
        <f>IF(B241="","",N(ENTRADA!$V241))</f>
      </c>
      <c r="BL241" s="70">
        <f>IF(B241="","",Y241+AE241+BD241+BH241+BI241+BJ241+BK241)</f>
      </c>
      <c r="BM241" s="70">
        <f>IF(B241="","",Q241-BL241)</f>
      </c>
      <c r="BN241" s="72">
        <f>IF(B241="","",IF(Q241=0,0,BM241/Q241))</f>
      </c>
      <c r="BO241" s="73">
        <f>IF(B241="","",IF(J241=0,0,BM241/J241))</f>
      </c>
      <c r="BP241" s="60">
        <f>IF(B241="","",IFERROR(MATCH(D241,COSTOS_FIJOS!$G$5:$AD$5,0),0))</f>
      </c>
      <c r="BQ241" s="60">
        <f>IF(B241="","",COUNTIFS($D$6:$D$305,D241))</f>
      </c>
      <c r="BR241" s="67">
        <f>IF(B241="","",SUMIFS($J$6:$J$305,$D$6:$D$305,D241))</f>
      </c>
      <c r="BS241" s="72">
        <f>IF(B241="","",IF(Metodo_Prorrateo="KG",IF(BR241=0,0,J241/BR241),1/BQ241))</f>
      </c>
      <c r="BT241" s="37">
        <f>IF(B241="","",IF(BP241=0,0,INDEX(COSTOS_FIJOS!$G$38:$AD$38,BP241))*BS241)</f>
      </c>
      <c r="BU241" s="72">
        <f>IF(B241="","",IF(Metodo_Prorrateo="KG",IF(SUMIFS($G$6:$G$305,$D$6:$D$305,D241)=0,0,G241/SUMIFS($G$6:$G$305,$D$6:$D$305,D241)),IF(G241&gt;0,1/COUNTIFS($D$6:$D$305,D241,$G$6:$G$305,"&gt;0"),0)))</f>
      </c>
      <c r="BV241" s="37">
        <f>IF(B241="","",IF(BP241=0,0,INDEX(COSTOS_FIJOS!$G$39:$AD$39,BP241))*BU241)</f>
      </c>
      <c r="BW241" s="72">
        <f>IF(B241="","",IF(Metodo_Prorrateo="KG",IF(SUMIFS($H$6:$H$305,$D$6:$D$305,D241)=0,0,H241/SUMIFS($H$6:$H$305,$D$6:$D$305,D241)),IF(H241&gt;0,1/COUNTIFS($D$6:$D$305,D241,$H$6:$H$305,"&gt;0"),0)))</f>
      </c>
      <c r="BX241" s="37">
        <f>IF(B241="","",IF(BP241=0,0,INDEX(COSTOS_FIJOS!$G$40:$AD$40,BP241))*BW241)</f>
      </c>
      <c r="BY241" s="72">
        <f>IF(B241="","",IF(Metodo_Prorrateo="KG",IF(SUMIFS($I$6:$I$305,$D$6:$D$305,D241)=0,0,I241/SUMIFS($I$6:$I$305,$D$6:$D$305,D241)),IF(I241&gt;0,1/COUNTIFS($D$6:$D$305,D241,$I$6:$I$305,"&gt;0"),0)))</f>
      </c>
      <c r="BZ241" s="37">
        <f>IF(B241="","",IF(BP241=0,0,INDEX(COSTOS_FIJOS!$G$41:$AD$41,BP241))*BY241)</f>
      </c>
      <c r="CA241" s="70">
        <f>IF(B241="","",BT241+BV241+BX241+BZ241)</f>
      </c>
      <c r="CB241" s="37">
        <f>IF(B241="","",Q241*Imp_Ventas_Serv)</f>
      </c>
      <c r="CC241" s="37">
        <f>IF(B241="","",Q241*Contrib_Territorial)</f>
      </c>
      <c r="CD241" s="70">
        <f>IF(B241="","",BM241-CA241-CB241-CC241)</f>
      </c>
      <c r="CE241" s="37">
        <f>IF(B241="","",MAX(0,CD241)*Imp_Utilidades)</f>
      </c>
      <c r="CF241" s="70">
        <f>IF(B241="","",CD241-CE241)</f>
      </c>
      <c r="CG241" s="72">
        <f>IF(B241="","",IF(Q241=0,0,CF241/Q241))</f>
      </c>
      <c r="CH241" s="73">
        <f>IF(B241="","",IF(J241=0,0,(BL241+CA241+CB241+CC241)/J241))</f>
      </c>
      <c r="CI241" s="73">
        <f>IF(B241="","",IF(J241=0,0,Q241/J241))</f>
      </c>
      <c r="CJ241" s="73">
        <f>IF(B241="","",IF(J241=0,0,CD241/J241))</f>
      </c>
      <c r="CK241" s="37">
        <f>IF(B241="","",Y241+AE241+BK241+BT241)</f>
      </c>
      <c r="CL241" s="37">
        <f>IF(B241="","",IF(J241=0,0,(M241+P241*G241/J241)*(1-Pct_Reclamaciones-Pct_Banco-Imp_Ventas_Serv-Contrib_Territorial)-AI241-BE241-BV241-CK241*G241/J241))</f>
      </c>
      <c r="CM241" s="37">
        <f>IF(B241="","",IF(J241=0,0,(N241+P241*H241/J241)*(1-Pct_Reclamaciones-Pct_Banco-Imp_Ventas_Serv-Contrib_Territorial)-AS241-BF241-BX241-CK241*H241/J241))</f>
      </c>
      <c r="CN241" s="37">
        <f>IF(B241="","",IF(J241=0,0,(O241+P241*I241/J241)*(1-Pct_Reclamaciones-Pct_Banco-Imp_Ventas_Serv-Contrib_Territorial)-BC241-BG241-BZ241-CK241*I241/J241))</f>
      </c>
      <c r="CO241" s="37">
        <f>IF(B241="","",IF(J241=0,0,ROUND(CD241-CL241-CM241-CN241,4)))</f>
      </c>
      <c r="CP241" s="71">
        <f>IF(B241="","",T241+AG241+AK241+AM241+AU241+AW241)</f>
      </c>
      <c r="CQ241" s="71">
        <f>IF(B241="","",U241+AH241+AL241+AN241+AV241+AX241)</f>
      </c>
      <c r="CR241" s="72">
        <f>IF(B241="","",IF(CP241=0,0,CQ241/CP241-1))</f>
      </c>
      <c r="CS241" s="60">
        <f>IF(B241="","",IF(ENTRADA!$Y241="","",ENTRADA!$Y241-C241))</f>
      </c>
      <c r="CT241" s="66">
        <f>IF(B241="","",IF(ENTRADA!$C241="","Falta fecha. ","")&amp;IF(BP241=0,"Mes fuera del rango de COSTOS_FIJOS. ","")&amp;IF(J241=0,"Sin kg. ","")&amp;IF(E241="","Falta transitaria. ","")&amp;IF(AND(T241&gt;0,U241/T241-1&gt;Tolerancia_Comb),"Combustible al puerto "&amp;TEXT(U241/T241-1,"+0%")&amp;" sobre norma. ","")&amp;IF(AND(AG241&gt;0,AH241/AG241-1&gt;Tolerancia_Comb),"Combustible distribución Occidente "&amp;TEXT(AH241/AG241-1,"+0%")&amp;" sobre norma. ","")&amp;IF(AND(AK241&gt;0,AL241/AK241-1&gt;Tolerancia_Comb),"Combustible traslado Centro "&amp;TEXT(AL241/AK241-1,"+0%")&amp;" sobre norma. ","")&amp;IF(AND(AM241&gt;0,AN241/AM241-1&gt;Tolerancia_Comb),"Combustible distribución Centro "&amp;TEXT(AN241/AM241-1,"+0%")&amp;" sobre norma. ","")&amp;IF(AND(AU241&gt;0,AV241/AU241-1&gt;Tolerancia_Comb),"Combustible traslado Oriente "&amp;TEXT(AV241/AU241-1,"+0%")&amp;" sobre norma. ","")&amp;IF(AND(AW241&gt;0,AX241/AW241-1&gt;Tolerancia_Comb),"Combustible distribución Oriente "&amp;TEXT(AX241/AW241-1,"+0%")&amp;" sobre norma. ","")&amp;IF(AND(ENTRADA!$C241&lt;&gt;"",C241&lt;PRECIOS!$A$6),"Fecha anterior a la 1ª vigencia de precios. ","")&amp;IF(CD241&lt;0,"Contenedor con pérdida. ",""))</f>
      </c>
    </row>
    <row r="242">
      <c r="A242" s="60">
        <f>IF(B242="","",ROW()-5)</f>
      </c>
      <c r="B242" s="63">
        <f>IF(ENTRADA!$B242="","",ENTRADA!$B242)</f>
      </c>
      <c r="C242" s="64">
        <f>IF(B242="","",ENTRADA!$C242)</f>
      </c>
      <c r="D242" s="65">
        <f>IF(B242="","",DATE(YEAR(C242),MONTH(C242),1))</f>
      </c>
      <c r="E242" s="66">
        <f>IF(B242="","",ENTRADA!$D242&amp;"")</f>
      </c>
      <c r="F242" s="66">
        <f>IF(B242="","",ENTRADA!$Z242&amp;"")</f>
      </c>
      <c r="G242" s="67">
        <f>IF(B242="","",N(ENTRADA!$G242))</f>
      </c>
      <c r="H242" s="67">
        <f>IF(B242="","",N(ENTRADA!$H242))</f>
      </c>
      <c r="I242" s="67">
        <f>IF(B242="","",N(ENTRADA!$I242))</f>
      </c>
      <c r="J242" s="68">
        <f>IF(B242="","",G242+H242+I242)</f>
      </c>
      <c r="K242" s="60">
        <f>IF(B242="","",IFERROR(MATCH(SUMPRODUCT(MAX((PRECIOS!$A$6:$A$55&lt;=C242)*PRECIOS!$A$6:$A$55)),PRECIOS!$A$6:$A$55,0),1))</f>
      </c>
      <c r="L242" s="69">
        <f>IF(B242="","",INDEX(PRECIOS!$A$6:$A$55,K242))</f>
      </c>
      <c r="M242" s="37">
        <f>IF(B242="","",G242*INDEX(PRECIOS!$B$6:$B$55,K242))</f>
      </c>
      <c r="N242" s="37">
        <f>IF(B242="","",H242*INDEX(PRECIOS!$C$6:$C$55,K242))</f>
      </c>
      <c r="O242" s="37">
        <f>IF(B242="","",I242*INDEX(PRECIOS!$D$6:$D$55,K242))</f>
      </c>
      <c r="P242" s="37">
        <f>IF(B242="","",N(ENTRADA!$X242))</f>
      </c>
      <c r="Q242" s="70">
        <f>IF(B242="","",M242+N242+O242+P242)</f>
      </c>
      <c r="R242" s="71">
        <f>IF(B242="","",IF(ENTRADA!$J242="",Std_Viajes_Puerto,ENTRADA!$J242))</f>
      </c>
      <c r="S242" s="37">
        <f>IF(B242="","",R242*INDEX(PRECIOS!$F$6:$F$55,K242))</f>
      </c>
      <c r="T242" s="71">
        <f>IF(B242="","",R242*Litros_Puerto_Viaje)</f>
      </c>
      <c r="U242" s="71">
        <f>IF(B242="","",IF(ENTRADA!$K242="",T242,ENTRADA!$K242))</f>
      </c>
      <c r="V242" s="37">
        <f>IF(B242="","",U242*INDEX(PRECIOS!$E$6:$E$55,K242))</f>
      </c>
      <c r="W242" s="37">
        <f>IF(B242="","",IF(ENTRADA!$L242="",R242*INDEX(PRECIOS!$G$6:$G$55,K242),ENTRADA!$L242))</f>
      </c>
      <c r="X242" s="37">
        <f>IF(B242="","",R242*Km_Puerto_Viaje*INDEX(PRECIOS!$N$6:$N$55,K242))</f>
      </c>
      <c r="Y242" s="70">
        <f>IF(B242="","",S242+V242+W242+X242)</f>
      </c>
      <c r="Z242" s="71">
        <f>IF(B242="","",IF(J242=0,0,ROUNDUP(J242/Rend_Desagrupe,0)))</f>
      </c>
      <c r="AA242" s="71">
        <f>IF(B242="","",IF(ENTRADA!$M242="",Z242,ENTRADA!$M242))</f>
      </c>
      <c r="AB242" s="37">
        <f>IF(B242="","",AA242*INDEX(PRECIOS!$H$6:$H$55,K242))</f>
      </c>
      <c r="AC242" s="37">
        <f>IF(B242="","",IF(E242="ENCI",INDEX(PRECIOS!$J$6:$J$55,K242),IF(E242="A.V",INDEX(PRECIOS!$K$6:$K$55,K242),0)))</f>
      </c>
      <c r="AD242" s="37">
        <f>IF(B242="","",N(ENTRADA!$N242))</f>
      </c>
      <c r="AE242" s="70">
        <f>IF(B242="","",AB242+AC242+AD242)</f>
      </c>
      <c r="AF242" s="71">
        <f>IF(B242="","",IF(G242=0,0,ROUNDUP(G242/Cap_Camion_OCC,0)))</f>
      </c>
      <c r="AG242" s="71">
        <f>IF(B242="","",AF242*L_Dist_OCC)</f>
      </c>
      <c r="AH242" s="71">
        <f>IF(B242="","",IF(ENTRADA!$O242="",AG242,ENTRADA!$O242))</f>
      </c>
      <c r="AI242" s="37">
        <f>IF(B242="","",AH242*INDEX(PRECIOS!$E$6:$E$55,K242))</f>
      </c>
      <c r="AJ242" s="71">
        <f>IF(B242="","",IF(H242=0,0,ROUNDUP(H242/Cap_Camion_CEN,0)))</f>
      </c>
      <c r="AK242" s="71">
        <f>IF(B242="","",AJ242*L_Tras_CEN)</f>
      </c>
      <c r="AL242" s="71">
        <f>IF(B242="","",IF(ENTRADA!$P242="",AK242,ENTRADA!$P242))</f>
      </c>
      <c r="AM242" s="71">
        <f>IF(B242="","",AJ242*L_Dist_CEN)</f>
      </c>
      <c r="AN242" s="71">
        <f>IF(B242="","",IF(ENTRADA!$Q242="",AM242,ENTRADA!$Q242))</f>
      </c>
      <c r="AO242" s="37">
        <f>IF(B242="","",(AL242+AN242)*INDEX(PRECIOS!$E$6:$E$55,K242))</f>
      </c>
      <c r="AP242" s="71">
        <f>IF(B242="","",IF(H242=0,0,ROUNDUP(H242/Rend_Desagrupe_CT,0)))</f>
      </c>
      <c r="AQ242" s="71">
        <f>IF(B242="","",IF(ENTRADA!$R242="",AP242,ENTRADA!$R242))</f>
      </c>
      <c r="AR242" s="37">
        <f>IF(B242="","",AQ242*INDEX(PRECIOS!$I$6:$I$55,K242))</f>
      </c>
      <c r="AS242" s="37">
        <f>IF(B242="","",AO242+AR242)</f>
      </c>
      <c r="AT242" s="71">
        <f>IF(B242="","",IF(I242=0,0,ROUNDUP(I242/Cap_Camion_ORI,0)))</f>
      </c>
      <c r="AU242" s="71">
        <f>IF(B242="","",AT242*L_Tras_ORI)</f>
      </c>
      <c r="AV242" s="71">
        <f>IF(B242="","",IF(ENTRADA!$S242="",AU242,ENTRADA!$S242))</f>
      </c>
      <c r="AW242" s="71">
        <f>IF(B242="","",AT242*L_Dist_ORI)</f>
      </c>
      <c r="AX242" s="71">
        <f>IF(B242="","",IF(ENTRADA!$T242="",AW242,ENTRADA!$T242))</f>
      </c>
      <c r="AY242" s="37">
        <f>IF(B242="","",(AV242+AX242)*INDEX(PRECIOS!$E$6:$E$55,K242))</f>
      </c>
      <c r="AZ242" s="71">
        <f>IF(B242="","",IF(I242=0,0,ROUNDUP(I242/Rend_Desagrupe_CT,0)))</f>
      </c>
      <c r="BA242" s="71">
        <f>IF(B242="","",IF(ENTRADA!$U242="",AZ242,ENTRADA!$U242))</f>
      </c>
      <c r="BB242" s="37">
        <f>IF(B242="","",BA242*INDEX(PRECIOS!$I$6:$I$55,K242))</f>
      </c>
      <c r="BC242" s="37">
        <f>IF(B242="","",AY242+BB242)</f>
      </c>
      <c r="BD242" s="70">
        <f>IF(B242="","",AI242+AS242+BC242)</f>
      </c>
      <c r="BE242" s="37">
        <f>IF(B242="","",IF(Base_Comision="% DEL INGRESO",M242*INDEX(PRECIOS!$L$6:$L$55,K242),G242*INDEX(PRECIOS!$M$6:$M$55,K242)))</f>
      </c>
      <c r="BF242" s="37">
        <f>IF(B242="","",IF(Base_Comision="% DEL INGRESO",N242*INDEX(PRECIOS!$L$6:$L$55,K242),H242*INDEX(PRECIOS!$M$6:$M$55,K242)))</f>
      </c>
      <c r="BG242" s="37">
        <f>IF(B242="","",IF(Base_Comision="% DEL INGRESO",O242*INDEX(PRECIOS!$L$6:$L$55,K242),I242*INDEX(PRECIOS!$M$6:$M$55,K242)))</f>
      </c>
      <c r="BH242" s="70">
        <f>IF(B242="","",BE242+BF242+BG242)</f>
      </c>
      <c r="BI242" s="37">
        <f>IF(B242="","",Q242*Pct_Reclamaciones)</f>
      </c>
      <c r="BJ242" s="37">
        <f>IF(B242="","",Q242*Pct_Banco)</f>
      </c>
      <c r="BK242" s="37">
        <f>IF(B242="","",N(ENTRADA!$V242))</f>
      </c>
      <c r="BL242" s="70">
        <f>IF(B242="","",Y242+AE242+BD242+BH242+BI242+BJ242+BK242)</f>
      </c>
      <c r="BM242" s="70">
        <f>IF(B242="","",Q242-BL242)</f>
      </c>
      <c r="BN242" s="72">
        <f>IF(B242="","",IF(Q242=0,0,BM242/Q242))</f>
      </c>
      <c r="BO242" s="73">
        <f>IF(B242="","",IF(J242=0,0,BM242/J242))</f>
      </c>
      <c r="BP242" s="60">
        <f>IF(B242="","",IFERROR(MATCH(D242,COSTOS_FIJOS!$G$5:$AD$5,0),0))</f>
      </c>
      <c r="BQ242" s="60">
        <f>IF(B242="","",COUNTIFS($D$6:$D$305,D242))</f>
      </c>
      <c r="BR242" s="67">
        <f>IF(B242="","",SUMIFS($J$6:$J$305,$D$6:$D$305,D242))</f>
      </c>
      <c r="BS242" s="72">
        <f>IF(B242="","",IF(Metodo_Prorrateo="KG",IF(BR242=0,0,J242/BR242),1/BQ242))</f>
      </c>
      <c r="BT242" s="37">
        <f>IF(B242="","",IF(BP242=0,0,INDEX(COSTOS_FIJOS!$G$38:$AD$38,BP242))*BS242)</f>
      </c>
      <c r="BU242" s="72">
        <f>IF(B242="","",IF(Metodo_Prorrateo="KG",IF(SUMIFS($G$6:$G$305,$D$6:$D$305,D242)=0,0,G242/SUMIFS($G$6:$G$305,$D$6:$D$305,D242)),IF(G242&gt;0,1/COUNTIFS($D$6:$D$305,D242,$G$6:$G$305,"&gt;0"),0)))</f>
      </c>
      <c r="BV242" s="37">
        <f>IF(B242="","",IF(BP242=0,0,INDEX(COSTOS_FIJOS!$G$39:$AD$39,BP242))*BU242)</f>
      </c>
      <c r="BW242" s="72">
        <f>IF(B242="","",IF(Metodo_Prorrateo="KG",IF(SUMIFS($H$6:$H$305,$D$6:$D$305,D242)=0,0,H242/SUMIFS($H$6:$H$305,$D$6:$D$305,D242)),IF(H242&gt;0,1/COUNTIFS($D$6:$D$305,D242,$H$6:$H$305,"&gt;0"),0)))</f>
      </c>
      <c r="BX242" s="37">
        <f>IF(B242="","",IF(BP242=0,0,INDEX(COSTOS_FIJOS!$G$40:$AD$40,BP242))*BW242)</f>
      </c>
      <c r="BY242" s="72">
        <f>IF(B242="","",IF(Metodo_Prorrateo="KG",IF(SUMIFS($I$6:$I$305,$D$6:$D$305,D242)=0,0,I242/SUMIFS($I$6:$I$305,$D$6:$D$305,D242)),IF(I242&gt;0,1/COUNTIFS($D$6:$D$305,D242,$I$6:$I$305,"&gt;0"),0)))</f>
      </c>
      <c r="BZ242" s="37">
        <f>IF(B242="","",IF(BP242=0,0,INDEX(COSTOS_FIJOS!$G$41:$AD$41,BP242))*BY242)</f>
      </c>
      <c r="CA242" s="70">
        <f>IF(B242="","",BT242+BV242+BX242+BZ242)</f>
      </c>
      <c r="CB242" s="37">
        <f>IF(B242="","",Q242*Imp_Ventas_Serv)</f>
      </c>
      <c r="CC242" s="37">
        <f>IF(B242="","",Q242*Contrib_Territorial)</f>
      </c>
      <c r="CD242" s="70">
        <f>IF(B242="","",BM242-CA242-CB242-CC242)</f>
      </c>
      <c r="CE242" s="37">
        <f>IF(B242="","",MAX(0,CD242)*Imp_Utilidades)</f>
      </c>
      <c r="CF242" s="70">
        <f>IF(B242="","",CD242-CE242)</f>
      </c>
      <c r="CG242" s="72">
        <f>IF(B242="","",IF(Q242=0,0,CF242/Q242))</f>
      </c>
      <c r="CH242" s="73">
        <f>IF(B242="","",IF(J242=0,0,(BL242+CA242+CB242+CC242)/J242))</f>
      </c>
      <c r="CI242" s="73">
        <f>IF(B242="","",IF(J242=0,0,Q242/J242))</f>
      </c>
      <c r="CJ242" s="73">
        <f>IF(B242="","",IF(J242=0,0,CD242/J242))</f>
      </c>
      <c r="CK242" s="37">
        <f>IF(B242="","",Y242+AE242+BK242+BT242)</f>
      </c>
      <c r="CL242" s="37">
        <f>IF(B242="","",IF(J242=0,0,(M242+P242*G242/J242)*(1-Pct_Reclamaciones-Pct_Banco-Imp_Ventas_Serv-Contrib_Territorial)-AI242-BE242-BV242-CK242*G242/J242))</f>
      </c>
      <c r="CM242" s="37">
        <f>IF(B242="","",IF(J242=0,0,(N242+P242*H242/J242)*(1-Pct_Reclamaciones-Pct_Banco-Imp_Ventas_Serv-Contrib_Territorial)-AS242-BF242-BX242-CK242*H242/J242))</f>
      </c>
      <c r="CN242" s="37">
        <f>IF(B242="","",IF(J242=0,0,(O242+P242*I242/J242)*(1-Pct_Reclamaciones-Pct_Banco-Imp_Ventas_Serv-Contrib_Territorial)-BC242-BG242-BZ242-CK242*I242/J242))</f>
      </c>
      <c r="CO242" s="37">
        <f>IF(B242="","",IF(J242=0,0,ROUND(CD242-CL242-CM242-CN242,4)))</f>
      </c>
      <c r="CP242" s="71">
        <f>IF(B242="","",T242+AG242+AK242+AM242+AU242+AW242)</f>
      </c>
      <c r="CQ242" s="71">
        <f>IF(B242="","",U242+AH242+AL242+AN242+AV242+AX242)</f>
      </c>
      <c r="CR242" s="72">
        <f>IF(B242="","",IF(CP242=0,0,CQ242/CP242-1))</f>
      </c>
      <c r="CS242" s="60">
        <f>IF(B242="","",IF(ENTRADA!$Y242="","",ENTRADA!$Y242-C242))</f>
      </c>
      <c r="CT242" s="66">
        <f>IF(B242="","",IF(ENTRADA!$C242="","Falta fecha. ","")&amp;IF(BP242=0,"Mes fuera del rango de COSTOS_FIJOS. ","")&amp;IF(J242=0,"Sin kg. ","")&amp;IF(E242="","Falta transitaria. ","")&amp;IF(AND(T242&gt;0,U242/T242-1&gt;Tolerancia_Comb),"Combustible al puerto "&amp;TEXT(U242/T242-1,"+0%")&amp;" sobre norma. ","")&amp;IF(AND(AG242&gt;0,AH242/AG242-1&gt;Tolerancia_Comb),"Combustible distribución Occidente "&amp;TEXT(AH242/AG242-1,"+0%")&amp;" sobre norma. ","")&amp;IF(AND(AK242&gt;0,AL242/AK242-1&gt;Tolerancia_Comb),"Combustible traslado Centro "&amp;TEXT(AL242/AK242-1,"+0%")&amp;" sobre norma. ","")&amp;IF(AND(AM242&gt;0,AN242/AM242-1&gt;Tolerancia_Comb),"Combustible distribución Centro "&amp;TEXT(AN242/AM242-1,"+0%")&amp;" sobre norma. ","")&amp;IF(AND(AU242&gt;0,AV242/AU242-1&gt;Tolerancia_Comb),"Combustible traslado Oriente "&amp;TEXT(AV242/AU242-1,"+0%")&amp;" sobre norma. ","")&amp;IF(AND(AW242&gt;0,AX242/AW242-1&gt;Tolerancia_Comb),"Combustible distribución Oriente "&amp;TEXT(AX242/AW242-1,"+0%")&amp;" sobre norma. ","")&amp;IF(AND(ENTRADA!$C242&lt;&gt;"",C242&lt;PRECIOS!$A$6),"Fecha anterior a la 1ª vigencia de precios. ","")&amp;IF(CD242&lt;0,"Contenedor con pérdida. ",""))</f>
      </c>
    </row>
    <row r="243">
      <c r="A243" s="60">
        <f>IF(B243="","",ROW()-5)</f>
      </c>
      <c r="B243" s="63">
        <f>IF(ENTRADA!$B243="","",ENTRADA!$B243)</f>
      </c>
      <c r="C243" s="64">
        <f>IF(B243="","",ENTRADA!$C243)</f>
      </c>
      <c r="D243" s="65">
        <f>IF(B243="","",DATE(YEAR(C243),MONTH(C243),1))</f>
      </c>
      <c r="E243" s="66">
        <f>IF(B243="","",ENTRADA!$D243&amp;"")</f>
      </c>
      <c r="F243" s="66">
        <f>IF(B243="","",ENTRADA!$Z243&amp;"")</f>
      </c>
      <c r="G243" s="67">
        <f>IF(B243="","",N(ENTRADA!$G243))</f>
      </c>
      <c r="H243" s="67">
        <f>IF(B243="","",N(ENTRADA!$H243))</f>
      </c>
      <c r="I243" s="67">
        <f>IF(B243="","",N(ENTRADA!$I243))</f>
      </c>
      <c r="J243" s="68">
        <f>IF(B243="","",G243+H243+I243)</f>
      </c>
      <c r="K243" s="60">
        <f>IF(B243="","",IFERROR(MATCH(SUMPRODUCT(MAX((PRECIOS!$A$6:$A$55&lt;=C243)*PRECIOS!$A$6:$A$55)),PRECIOS!$A$6:$A$55,0),1))</f>
      </c>
      <c r="L243" s="69">
        <f>IF(B243="","",INDEX(PRECIOS!$A$6:$A$55,K243))</f>
      </c>
      <c r="M243" s="37">
        <f>IF(B243="","",G243*INDEX(PRECIOS!$B$6:$B$55,K243))</f>
      </c>
      <c r="N243" s="37">
        <f>IF(B243="","",H243*INDEX(PRECIOS!$C$6:$C$55,K243))</f>
      </c>
      <c r="O243" s="37">
        <f>IF(B243="","",I243*INDEX(PRECIOS!$D$6:$D$55,K243))</f>
      </c>
      <c r="P243" s="37">
        <f>IF(B243="","",N(ENTRADA!$X243))</f>
      </c>
      <c r="Q243" s="70">
        <f>IF(B243="","",M243+N243+O243+P243)</f>
      </c>
      <c r="R243" s="71">
        <f>IF(B243="","",IF(ENTRADA!$J243="",Std_Viajes_Puerto,ENTRADA!$J243))</f>
      </c>
      <c r="S243" s="37">
        <f>IF(B243="","",R243*INDEX(PRECIOS!$F$6:$F$55,K243))</f>
      </c>
      <c r="T243" s="71">
        <f>IF(B243="","",R243*Litros_Puerto_Viaje)</f>
      </c>
      <c r="U243" s="71">
        <f>IF(B243="","",IF(ENTRADA!$K243="",T243,ENTRADA!$K243))</f>
      </c>
      <c r="V243" s="37">
        <f>IF(B243="","",U243*INDEX(PRECIOS!$E$6:$E$55,K243))</f>
      </c>
      <c r="W243" s="37">
        <f>IF(B243="","",IF(ENTRADA!$L243="",R243*INDEX(PRECIOS!$G$6:$G$55,K243),ENTRADA!$L243))</f>
      </c>
      <c r="X243" s="37">
        <f>IF(B243="","",R243*Km_Puerto_Viaje*INDEX(PRECIOS!$N$6:$N$55,K243))</f>
      </c>
      <c r="Y243" s="70">
        <f>IF(B243="","",S243+V243+W243+X243)</f>
      </c>
      <c r="Z243" s="71">
        <f>IF(B243="","",IF(J243=0,0,ROUNDUP(J243/Rend_Desagrupe,0)))</f>
      </c>
      <c r="AA243" s="71">
        <f>IF(B243="","",IF(ENTRADA!$M243="",Z243,ENTRADA!$M243))</f>
      </c>
      <c r="AB243" s="37">
        <f>IF(B243="","",AA243*INDEX(PRECIOS!$H$6:$H$55,K243))</f>
      </c>
      <c r="AC243" s="37">
        <f>IF(B243="","",IF(E243="ENCI",INDEX(PRECIOS!$J$6:$J$55,K243),IF(E243="A.V",INDEX(PRECIOS!$K$6:$K$55,K243),0)))</f>
      </c>
      <c r="AD243" s="37">
        <f>IF(B243="","",N(ENTRADA!$N243))</f>
      </c>
      <c r="AE243" s="70">
        <f>IF(B243="","",AB243+AC243+AD243)</f>
      </c>
      <c r="AF243" s="71">
        <f>IF(B243="","",IF(G243=0,0,ROUNDUP(G243/Cap_Camion_OCC,0)))</f>
      </c>
      <c r="AG243" s="71">
        <f>IF(B243="","",AF243*L_Dist_OCC)</f>
      </c>
      <c r="AH243" s="71">
        <f>IF(B243="","",IF(ENTRADA!$O243="",AG243,ENTRADA!$O243))</f>
      </c>
      <c r="AI243" s="37">
        <f>IF(B243="","",AH243*INDEX(PRECIOS!$E$6:$E$55,K243))</f>
      </c>
      <c r="AJ243" s="71">
        <f>IF(B243="","",IF(H243=0,0,ROUNDUP(H243/Cap_Camion_CEN,0)))</f>
      </c>
      <c r="AK243" s="71">
        <f>IF(B243="","",AJ243*L_Tras_CEN)</f>
      </c>
      <c r="AL243" s="71">
        <f>IF(B243="","",IF(ENTRADA!$P243="",AK243,ENTRADA!$P243))</f>
      </c>
      <c r="AM243" s="71">
        <f>IF(B243="","",AJ243*L_Dist_CEN)</f>
      </c>
      <c r="AN243" s="71">
        <f>IF(B243="","",IF(ENTRADA!$Q243="",AM243,ENTRADA!$Q243))</f>
      </c>
      <c r="AO243" s="37">
        <f>IF(B243="","",(AL243+AN243)*INDEX(PRECIOS!$E$6:$E$55,K243))</f>
      </c>
      <c r="AP243" s="71">
        <f>IF(B243="","",IF(H243=0,0,ROUNDUP(H243/Rend_Desagrupe_CT,0)))</f>
      </c>
      <c r="AQ243" s="71">
        <f>IF(B243="","",IF(ENTRADA!$R243="",AP243,ENTRADA!$R243))</f>
      </c>
      <c r="AR243" s="37">
        <f>IF(B243="","",AQ243*INDEX(PRECIOS!$I$6:$I$55,K243))</f>
      </c>
      <c r="AS243" s="37">
        <f>IF(B243="","",AO243+AR243)</f>
      </c>
      <c r="AT243" s="71">
        <f>IF(B243="","",IF(I243=0,0,ROUNDUP(I243/Cap_Camion_ORI,0)))</f>
      </c>
      <c r="AU243" s="71">
        <f>IF(B243="","",AT243*L_Tras_ORI)</f>
      </c>
      <c r="AV243" s="71">
        <f>IF(B243="","",IF(ENTRADA!$S243="",AU243,ENTRADA!$S243))</f>
      </c>
      <c r="AW243" s="71">
        <f>IF(B243="","",AT243*L_Dist_ORI)</f>
      </c>
      <c r="AX243" s="71">
        <f>IF(B243="","",IF(ENTRADA!$T243="",AW243,ENTRADA!$T243))</f>
      </c>
      <c r="AY243" s="37">
        <f>IF(B243="","",(AV243+AX243)*INDEX(PRECIOS!$E$6:$E$55,K243))</f>
      </c>
      <c r="AZ243" s="71">
        <f>IF(B243="","",IF(I243=0,0,ROUNDUP(I243/Rend_Desagrupe_CT,0)))</f>
      </c>
      <c r="BA243" s="71">
        <f>IF(B243="","",IF(ENTRADA!$U243="",AZ243,ENTRADA!$U243))</f>
      </c>
      <c r="BB243" s="37">
        <f>IF(B243="","",BA243*INDEX(PRECIOS!$I$6:$I$55,K243))</f>
      </c>
      <c r="BC243" s="37">
        <f>IF(B243="","",AY243+BB243)</f>
      </c>
      <c r="BD243" s="70">
        <f>IF(B243="","",AI243+AS243+BC243)</f>
      </c>
      <c r="BE243" s="37">
        <f>IF(B243="","",IF(Base_Comision="% DEL INGRESO",M243*INDEX(PRECIOS!$L$6:$L$55,K243),G243*INDEX(PRECIOS!$M$6:$M$55,K243)))</f>
      </c>
      <c r="BF243" s="37">
        <f>IF(B243="","",IF(Base_Comision="% DEL INGRESO",N243*INDEX(PRECIOS!$L$6:$L$55,K243),H243*INDEX(PRECIOS!$M$6:$M$55,K243)))</f>
      </c>
      <c r="BG243" s="37">
        <f>IF(B243="","",IF(Base_Comision="% DEL INGRESO",O243*INDEX(PRECIOS!$L$6:$L$55,K243),I243*INDEX(PRECIOS!$M$6:$M$55,K243)))</f>
      </c>
      <c r="BH243" s="70">
        <f>IF(B243="","",BE243+BF243+BG243)</f>
      </c>
      <c r="BI243" s="37">
        <f>IF(B243="","",Q243*Pct_Reclamaciones)</f>
      </c>
      <c r="BJ243" s="37">
        <f>IF(B243="","",Q243*Pct_Banco)</f>
      </c>
      <c r="BK243" s="37">
        <f>IF(B243="","",N(ENTRADA!$V243))</f>
      </c>
      <c r="BL243" s="70">
        <f>IF(B243="","",Y243+AE243+BD243+BH243+BI243+BJ243+BK243)</f>
      </c>
      <c r="BM243" s="70">
        <f>IF(B243="","",Q243-BL243)</f>
      </c>
      <c r="BN243" s="72">
        <f>IF(B243="","",IF(Q243=0,0,BM243/Q243))</f>
      </c>
      <c r="BO243" s="73">
        <f>IF(B243="","",IF(J243=0,0,BM243/J243))</f>
      </c>
      <c r="BP243" s="60">
        <f>IF(B243="","",IFERROR(MATCH(D243,COSTOS_FIJOS!$G$5:$AD$5,0),0))</f>
      </c>
      <c r="BQ243" s="60">
        <f>IF(B243="","",COUNTIFS($D$6:$D$305,D243))</f>
      </c>
      <c r="BR243" s="67">
        <f>IF(B243="","",SUMIFS($J$6:$J$305,$D$6:$D$305,D243))</f>
      </c>
      <c r="BS243" s="72">
        <f>IF(B243="","",IF(Metodo_Prorrateo="KG",IF(BR243=0,0,J243/BR243),1/BQ243))</f>
      </c>
      <c r="BT243" s="37">
        <f>IF(B243="","",IF(BP243=0,0,INDEX(COSTOS_FIJOS!$G$38:$AD$38,BP243))*BS243)</f>
      </c>
      <c r="BU243" s="72">
        <f>IF(B243="","",IF(Metodo_Prorrateo="KG",IF(SUMIFS($G$6:$G$305,$D$6:$D$305,D243)=0,0,G243/SUMIFS($G$6:$G$305,$D$6:$D$305,D243)),IF(G243&gt;0,1/COUNTIFS($D$6:$D$305,D243,$G$6:$G$305,"&gt;0"),0)))</f>
      </c>
      <c r="BV243" s="37">
        <f>IF(B243="","",IF(BP243=0,0,INDEX(COSTOS_FIJOS!$G$39:$AD$39,BP243))*BU243)</f>
      </c>
      <c r="BW243" s="72">
        <f>IF(B243="","",IF(Metodo_Prorrateo="KG",IF(SUMIFS($H$6:$H$305,$D$6:$D$305,D243)=0,0,H243/SUMIFS($H$6:$H$305,$D$6:$D$305,D243)),IF(H243&gt;0,1/COUNTIFS($D$6:$D$305,D243,$H$6:$H$305,"&gt;0"),0)))</f>
      </c>
      <c r="BX243" s="37">
        <f>IF(B243="","",IF(BP243=0,0,INDEX(COSTOS_FIJOS!$G$40:$AD$40,BP243))*BW243)</f>
      </c>
      <c r="BY243" s="72">
        <f>IF(B243="","",IF(Metodo_Prorrateo="KG",IF(SUMIFS($I$6:$I$305,$D$6:$D$305,D243)=0,0,I243/SUMIFS($I$6:$I$305,$D$6:$D$305,D243)),IF(I243&gt;0,1/COUNTIFS($D$6:$D$305,D243,$I$6:$I$305,"&gt;0"),0)))</f>
      </c>
      <c r="BZ243" s="37">
        <f>IF(B243="","",IF(BP243=0,0,INDEX(COSTOS_FIJOS!$G$41:$AD$41,BP243))*BY243)</f>
      </c>
      <c r="CA243" s="70">
        <f>IF(B243="","",BT243+BV243+BX243+BZ243)</f>
      </c>
      <c r="CB243" s="37">
        <f>IF(B243="","",Q243*Imp_Ventas_Serv)</f>
      </c>
      <c r="CC243" s="37">
        <f>IF(B243="","",Q243*Contrib_Territorial)</f>
      </c>
      <c r="CD243" s="70">
        <f>IF(B243="","",BM243-CA243-CB243-CC243)</f>
      </c>
      <c r="CE243" s="37">
        <f>IF(B243="","",MAX(0,CD243)*Imp_Utilidades)</f>
      </c>
      <c r="CF243" s="70">
        <f>IF(B243="","",CD243-CE243)</f>
      </c>
      <c r="CG243" s="72">
        <f>IF(B243="","",IF(Q243=0,0,CF243/Q243))</f>
      </c>
      <c r="CH243" s="73">
        <f>IF(B243="","",IF(J243=0,0,(BL243+CA243+CB243+CC243)/J243))</f>
      </c>
      <c r="CI243" s="73">
        <f>IF(B243="","",IF(J243=0,0,Q243/J243))</f>
      </c>
      <c r="CJ243" s="73">
        <f>IF(B243="","",IF(J243=0,0,CD243/J243))</f>
      </c>
      <c r="CK243" s="37">
        <f>IF(B243="","",Y243+AE243+BK243+BT243)</f>
      </c>
      <c r="CL243" s="37">
        <f>IF(B243="","",IF(J243=0,0,(M243+P243*G243/J243)*(1-Pct_Reclamaciones-Pct_Banco-Imp_Ventas_Serv-Contrib_Territorial)-AI243-BE243-BV243-CK243*G243/J243))</f>
      </c>
      <c r="CM243" s="37">
        <f>IF(B243="","",IF(J243=0,0,(N243+P243*H243/J243)*(1-Pct_Reclamaciones-Pct_Banco-Imp_Ventas_Serv-Contrib_Territorial)-AS243-BF243-BX243-CK243*H243/J243))</f>
      </c>
      <c r="CN243" s="37">
        <f>IF(B243="","",IF(J243=0,0,(O243+P243*I243/J243)*(1-Pct_Reclamaciones-Pct_Banco-Imp_Ventas_Serv-Contrib_Territorial)-BC243-BG243-BZ243-CK243*I243/J243))</f>
      </c>
      <c r="CO243" s="37">
        <f>IF(B243="","",IF(J243=0,0,ROUND(CD243-CL243-CM243-CN243,4)))</f>
      </c>
      <c r="CP243" s="71">
        <f>IF(B243="","",T243+AG243+AK243+AM243+AU243+AW243)</f>
      </c>
      <c r="CQ243" s="71">
        <f>IF(B243="","",U243+AH243+AL243+AN243+AV243+AX243)</f>
      </c>
      <c r="CR243" s="72">
        <f>IF(B243="","",IF(CP243=0,0,CQ243/CP243-1))</f>
      </c>
      <c r="CS243" s="60">
        <f>IF(B243="","",IF(ENTRADA!$Y243="","",ENTRADA!$Y243-C243))</f>
      </c>
      <c r="CT243" s="66">
        <f>IF(B243="","",IF(ENTRADA!$C243="","Falta fecha. ","")&amp;IF(BP243=0,"Mes fuera del rango de COSTOS_FIJOS. ","")&amp;IF(J243=0,"Sin kg. ","")&amp;IF(E243="","Falta transitaria. ","")&amp;IF(AND(T243&gt;0,U243/T243-1&gt;Tolerancia_Comb),"Combustible al puerto "&amp;TEXT(U243/T243-1,"+0%")&amp;" sobre norma. ","")&amp;IF(AND(AG243&gt;0,AH243/AG243-1&gt;Tolerancia_Comb),"Combustible distribución Occidente "&amp;TEXT(AH243/AG243-1,"+0%")&amp;" sobre norma. ","")&amp;IF(AND(AK243&gt;0,AL243/AK243-1&gt;Tolerancia_Comb),"Combustible traslado Centro "&amp;TEXT(AL243/AK243-1,"+0%")&amp;" sobre norma. ","")&amp;IF(AND(AM243&gt;0,AN243/AM243-1&gt;Tolerancia_Comb),"Combustible distribución Centro "&amp;TEXT(AN243/AM243-1,"+0%")&amp;" sobre norma. ","")&amp;IF(AND(AU243&gt;0,AV243/AU243-1&gt;Tolerancia_Comb),"Combustible traslado Oriente "&amp;TEXT(AV243/AU243-1,"+0%")&amp;" sobre norma. ","")&amp;IF(AND(AW243&gt;0,AX243/AW243-1&gt;Tolerancia_Comb),"Combustible distribución Oriente "&amp;TEXT(AX243/AW243-1,"+0%")&amp;" sobre norma. ","")&amp;IF(AND(ENTRADA!$C243&lt;&gt;"",C243&lt;PRECIOS!$A$6),"Fecha anterior a la 1ª vigencia de precios. ","")&amp;IF(CD243&lt;0,"Contenedor con pérdida. ",""))</f>
      </c>
    </row>
    <row r="244">
      <c r="A244" s="60">
        <f>IF(B244="","",ROW()-5)</f>
      </c>
      <c r="B244" s="63">
        <f>IF(ENTRADA!$B244="","",ENTRADA!$B244)</f>
      </c>
      <c r="C244" s="64">
        <f>IF(B244="","",ENTRADA!$C244)</f>
      </c>
      <c r="D244" s="65">
        <f>IF(B244="","",DATE(YEAR(C244),MONTH(C244),1))</f>
      </c>
      <c r="E244" s="66">
        <f>IF(B244="","",ENTRADA!$D244&amp;"")</f>
      </c>
      <c r="F244" s="66">
        <f>IF(B244="","",ENTRADA!$Z244&amp;"")</f>
      </c>
      <c r="G244" s="67">
        <f>IF(B244="","",N(ENTRADA!$G244))</f>
      </c>
      <c r="H244" s="67">
        <f>IF(B244="","",N(ENTRADA!$H244))</f>
      </c>
      <c r="I244" s="67">
        <f>IF(B244="","",N(ENTRADA!$I244))</f>
      </c>
      <c r="J244" s="68">
        <f>IF(B244="","",G244+H244+I244)</f>
      </c>
      <c r="K244" s="60">
        <f>IF(B244="","",IFERROR(MATCH(SUMPRODUCT(MAX((PRECIOS!$A$6:$A$55&lt;=C244)*PRECIOS!$A$6:$A$55)),PRECIOS!$A$6:$A$55,0),1))</f>
      </c>
      <c r="L244" s="69">
        <f>IF(B244="","",INDEX(PRECIOS!$A$6:$A$55,K244))</f>
      </c>
      <c r="M244" s="37">
        <f>IF(B244="","",G244*INDEX(PRECIOS!$B$6:$B$55,K244))</f>
      </c>
      <c r="N244" s="37">
        <f>IF(B244="","",H244*INDEX(PRECIOS!$C$6:$C$55,K244))</f>
      </c>
      <c r="O244" s="37">
        <f>IF(B244="","",I244*INDEX(PRECIOS!$D$6:$D$55,K244))</f>
      </c>
      <c r="P244" s="37">
        <f>IF(B244="","",N(ENTRADA!$X244))</f>
      </c>
      <c r="Q244" s="70">
        <f>IF(B244="","",M244+N244+O244+P244)</f>
      </c>
      <c r="R244" s="71">
        <f>IF(B244="","",IF(ENTRADA!$J244="",Std_Viajes_Puerto,ENTRADA!$J244))</f>
      </c>
      <c r="S244" s="37">
        <f>IF(B244="","",R244*INDEX(PRECIOS!$F$6:$F$55,K244))</f>
      </c>
      <c r="T244" s="71">
        <f>IF(B244="","",R244*Litros_Puerto_Viaje)</f>
      </c>
      <c r="U244" s="71">
        <f>IF(B244="","",IF(ENTRADA!$K244="",T244,ENTRADA!$K244))</f>
      </c>
      <c r="V244" s="37">
        <f>IF(B244="","",U244*INDEX(PRECIOS!$E$6:$E$55,K244))</f>
      </c>
      <c r="W244" s="37">
        <f>IF(B244="","",IF(ENTRADA!$L244="",R244*INDEX(PRECIOS!$G$6:$G$55,K244),ENTRADA!$L244))</f>
      </c>
      <c r="X244" s="37">
        <f>IF(B244="","",R244*Km_Puerto_Viaje*INDEX(PRECIOS!$N$6:$N$55,K244))</f>
      </c>
      <c r="Y244" s="70">
        <f>IF(B244="","",S244+V244+W244+X244)</f>
      </c>
      <c r="Z244" s="71">
        <f>IF(B244="","",IF(J244=0,0,ROUNDUP(J244/Rend_Desagrupe,0)))</f>
      </c>
      <c r="AA244" s="71">
        <f>IF(B244="","",IF(ENTRADA!$M244="",Z244,ENTRADA!$M244))</f>
      </c>
      <c r="AB244" s="37">
        <f>IF(B244="","",AA244*INDEX(PRECIOS!$H$6:$H$55,K244))</f>
      </c>
      <c r="AC244" s="37">
        <f>IF(B244="","",IF(E244="ENCI",INDEX(PRECIOS!$J$6:$J$55,K244),IF(E244="A.V",INDEX(PRECIOS!$K$6:$K$55,K244),0)))</f>
      </c>
      <c r="AD244" s="37">
        <f>IF(B244="","",N(ENTRADA!$N244))</f>
      </c>
      <c r="AE244" s="70">
        <f>IF(B244="","",AB244+AC244+AD244)</f>
      </c>
      <c r="AF244" s="71">
        <f>IF(B244="","",IF(G244=0,0,ROUNDUP(G244/Cap_Camion_OCC,0)))</f>
      </c>
      <c r="AG244" s="71">
        <f>IF(B244="","",AF244*L_Dist_OCC)</f>
      </c>
      <c r="AH244" s="71">
        <f>IF(B244="","",IF(ENTRADA!$O244="",AG244,ENTRADA!$O244))</f>
      </c>
      <c r="AI244" s="37">
        <f>IF(B244="","",AH244*INDEX(PRECIOS!$E$6:$E$55,K244))</f>
      </c>
      <c r="AJ244" s="71">
        <f>IF(B244="","",IF(H244=0,0,ROUNDUP(H244/Cap_Camion_CEN,0)))</f>
      </c>
      <c r="AK244" s="71">
        <f>IF(B244="","",AJ244*L_Tras_CEN)</f>
      </c>
      <c r="AL244" s="71">
        <f>IF(B244="","",IF(ENTRADA!$P244="",AK244,ENTRADA!$P244))</f>
      </c>
      <c r="AM244" s="71">
        <f>IF(B244="","",AJ244*L_Dist_CEN)</f>
      </c>
      <c r="AN244" s="71">
        <f>IF(B244="","",IF(ENTRADA!$Q244="",AM244,ENTRADA!$Q244))</f>
      </c>
      <c r="AO244" s="37">
        <f>IF(B244="","",(AL244+AN244)*INDEX(PRECIOS!$E$6:$E$55,K244))</f>
      </c>
      <c r="AP244" s="71">
        <f>IF(B244="","",IF(H244=0,0,ROUNDUP(H244/Rend_Desagrupe_CT,0)))</f>
      </c>
      <c r="AQ244" s="71">
        <f>IF(B244="","",IF(ENTRADA!$R244="",AP244,ENTRADA!$R244))</f>
      </c>
      <c r="AR244" s="37">
        <f>IF(B244="","",AQ244*INDEX(PRECIOS!$I$6:$I$55,K244))</f>
      </c>
      <c r="AS244" s="37">
        <f>IF(B244="","",AO244+AR244)</f>
      </c>
      <c r="AT244" s="71">
        <f>IF(B244="","",IF(I244=0,0,ROUNDUP(I244/Cap_Camion_ORI,0)))</f>
      </c>
      <c r="AU244" s="71">
        <f>IF(B244="","",AT244*L_Tras_ORI)</f>
      </c>
      <c r="AV244" s="71">
        <f>IF(B244="","",IF(ENTRADA!$S244="",AU244,ENTRADA!$S244))</f>
      </c>
      <c r="AW244" s="71">
        <f>IF(B244="","",AT244*L_Dist_ORI)</f>
      </c>
      <c r="AX244" s="71">
        <f>IF(B244="","",IF(ENTRADA!$T244="",AW244,ENTRADA!$T244))</f>
      </c>
      <c r="AY244" s="37">
        <f>IF(B244="","",(AV244+AX244)*INDEX(PRECIOS!$E$6:$E$55,K244))</f>
      </c>
      <c r="AZ244" s="71">
        <f>IF(B244="","",IF(I244=0,0,ROUNDUP(I244/Rend_Desagrupe_CT,0)))</f>
      </c>
      <c r="BA244" s="71">
        <f>IF(B244="","",IF(ENTRADA!$U244="",AZ244,ENTRADA!$U244))</f>
      </c>
      <c r="BB244" s="37">
        <f>IF(B244="","",BA244*INDEX(PRECIOS!$I$6:$I$55,K244))</f>
      </c>
      <c r="BC244" s="37">
        <f>IF(B244="","",AY244+BB244)</f>
      </c>
      <c r="BD244" s="70">
        <f>IF(B244="","",AI244+AS244+BC244)</f>
      </c>
      <c r="BE244" s="37">
        <f>IF(B244="","",IF(Base_Comision="% DEL INGRESO",M244*INDEX(PRECIOS!$L$6:$L$55,K244),G244*INDEX(PRECIOS!$M$6:$M$55,K244)))</f>
      </c>
      <c r="BF244" s="37">
        <f>IF(B244="","",IF(Base_Comision="% DEL INGRESO",N244*INDEX(PRECIOS!$L$6:$L$55,K244),H244*INDEX(PRECIOS!$M$6:$M$55,K244)))</f>
      </c>
      <c r="BG244" s="37">
        <f>IF(B244="","",IF(Base_Comision="% DEL INGRESO",O244*INDEX(PRECIOS!$L$6:$L$55,K244),I244*INDEX(PRECIOS!$M$6:$M$55,K244)))</f>
      </c>
      <c r="BH244" s="70">
        <f>IF(B244="","",BE244+BF244+BG244)</f>
      </c>
      <c r="BI244" s="37">
        <f>IF(B244="","",Q244*Pct_Reclamaciones)</f>
      </c>
      <c r="BJ244" s="37">
        <f>IF(B244="","",Q244*Pct_Banco)</f>
      </c>
      <c r="BK244" s="37">
        <f>IF(B244="","",N(ENTRADA!$V244))</f>
      </c>
      <c r="BL244" s="70">
        <f>IF(B244="","",Y244+AE244+BD244+BH244+BI244+BJ244+BK244)</f>
      </c>
      <c r="BM244" s="70">
        <f>IF(B244="","",Q244-BL244)</f>
      </c>
      <c r="BN244" s="72">
        <f>IF(B244="","",IF(Q244=0,0,BM244/Q244))</f>
      </c>
      <c r="BO244" s="73">
        <f>IF(B244="","",IF(J244=0,0,BM244/J244))</f>
      </c>
      <c r="BP244" s="60">
        <f>IF(B244="","",IFERROR(MATCH(D244,COSTOS_FIJOS!$G$5:$AD$5,0),0))</f>
      </c>
      <c r="BQ244" s="60">
        <f>IF(B244="","",COUNTIFS($D$6:$D$305,D244))</f>
      </c>
      <c r="BR244" s="67">
        <f>IF(B244="","",SUMIFS($J$6:$J$305,$D$6:$D$305,D244))</f>
      </c>
      <c r="BS244" s="72">
        <f>IF(B244="","",IF(Metodo_Prorrateo="KG",IF(BR244=0,0,J244/BR244),1/BQ244))</f>
      </c>
      <c r="BT244" s="37">
        <f>IF(B244="","",IF(BP244=0,0,INDEX(COSTOS_FIJOS!$G$38:$AD$38,BP244))*BS244)</f>
      </c>
      <c r="BU244" s="72">
        <f>IF(B244="","",IF(Metodo_Prorrateo="KG",IF(SUMIFS($G$6:$G$305,$D$6:$D$305,D244)=0,0,G244/SUMIFS($G$6:$G$305,$D$6:$D$305,D244)),IF(G244&gt;0,1/COUNTIFS($D$6:$D$305,D244,$G$6:$G$305,"&gt;0"),0)))</f>
      </c>
      <c r="BV244" s="37">
        <f>IF(B244="","",IF(BP244=0,0,INDEX(COSTOS_FIJOS!$G$39:$AD$39,BP244))*BU244)</f>
      </c>
      <c r="BW244" s="72">
        <f>IF(B244="","",IF(Metodo_Prorrateo="KG",IF(SUMIFS($H$6:$H$305,$D$6:$D$305,D244)=0,0,H244/SUMIFS($H$6:$H$305,$D$6:$D$305,D244)),IF(H244&gt;0,1/COUNTIFS($D$6:$D$305,D244,$H$6:$H$305,"&gt;0"),0)))</f>
      </c>
      <c r="BX244" s="37">
        <f>IF(B244="","",IF(BP244=0,0,INDEX(COSTOS_FIJOS!$G$40:$AD$40,BP244))*BW244)</f>
      </c>
      <c r="BY244" s="72">
        <f>IF(B244="","",IF(Metodo_Prorrateo="KG",IF(SUMIFS($I$6:$I$305,$D$6:$D$305,D244)=0,0,I244/SUMIFS($I$6:$I$305,$D$6:$D$305,D244)),IF(I244&gt;0,1/COUNTIFS($D$6:$D$305,D244,$I$6:$I$305,"&gt;0"),0)))</f>
      </c>
      <c r="BZ244" s="37">
        <f>IF(B244="","",IF(BP244=0,0,INDEX(COSTOS_FIJOS!$G$41:$AD$41,BP244))*BY244)</f>
      </c>
      <c r="CA244" s="70">
        <f>IF(B244="","",BT244+BV244+BX244+BZ244)</f>
      </c>
      <c r="CB244" s="37">
        <f>IF(B244="","",Q244*Imp_Ventas_Serv)</f>
      </c>
      <c r="CC244" s="37">
        <f>IF(B244="","",Q244*Contrib_Territorial)</f>
      </c>
      <c r="CD244" s="70">
        <f>IF(B244="","",BM244-CA244-CB244-CC244)</f>
      </c>
      <c r="CE244" s="37">
        <f>IF(B244="","",MAX(0,CD244)*Imp_Utilidades)</f>
      </c>
      <c r="CF244" s="70">
        <f>IF(B244="","",CD244-CE244)</f>
      </c>
      <c r="CG244" s="72">
        <f>IF(B244="","",IF(Q244=0,0,CF244/Q244))</f>
      </c>
      <c r="CH244" s="73">
        <f>IF(B244="","",IF(J244=0,0,(BL244+CA244+CB244+CC244)/J244))</f>
      </c>
      <c r="CI244" s="73">
        <f>IF(B244="","",IF(J244=0,0,Q244/J244))</f>
      </c>
      <c r="CJ244" s="73">
        <f>IF(B244="","",IF(J244=0,0,CD244/J244))</f>
      </c>
      <c r="CK244" s="37">
        <f>IF(B244="","",Y244+AE244+BK244+BT244)</f>
      </c>
      <c r="CL244" s="37">
        <f>IF(B244="","",IF(J244=0,0,(M244+P244*G244/J244)*(1-Pct_Reclamaciones-Pct_Banco-Imp_Ventas_Serv-Contrib_Territorial)-AI244-BE244-BV244-CK244*G244/J244))</f>
      </c>
      <c r="CM244" s="37">
        <f>IF(B244="","",IF(J244=0,0,(N244+P244*H244/J244)*(1-Pct_Reclamaciones-Pct_Banco-Imp_Ventas_Serv-Contrib_Territorial)-AS244-BF244-BX244-CK244*H244/J244))</f>
      </c>
      <c r="CN244" s="37">
        <f>IF(B244="","",IF(J244=0,0,(O244+P244*I244/J244)*(1-Pct_Reclamaciones-Pct_Banco-Imp_Ventas_Serv-Contrib_Territorial)-BC244-BG244-BZ244-CK244*I244/J244))</f>
      </c>
      <c r="CO244" s="37">
        <f>IF(B244="","",IF(J244=0,0,ROUND(CD244-CL244-CM244-CN244,4)))</f>
      </c>
      <c r="CP244" s="71">
        <f>IF(B244="","",T244+AG244+AK244+AM244+AU244+AW244)</f>
      </c>
      <c r="CQ244" s="71">
        <f>IF(B244="","",U244+AH244+AL244+AN244+AV244+AX244)</f>
      </c>
      <c r="CR244" s="72">
        <f>IF(B244="","",IF(CP244=0,0,CQ244/CP244-1))</f>
      </c>
      <c r="CS244" s="60">
        <f>IF(B244="","",IF(ENTRADA!$Y244="","",ENTRADA!$Y244-C244))</f>
      </c>
      <c r="CT244" s="66">
        <f>IF(B244="","",IF(ENTRADA!$C244="","Falta fecha. ","")&amp;IF(BP244=0,"Mes fuera del rango de COSTOS_FIJOS. ","")&amp;IF(J244=0,"Sin kg. ","")&amp;IF(E244="","Falta transitaria. ","")&amp;IF(AND(T244&gt;0,U244/T244-1&gt;Tolerancia_Comb),"Combustible al puerto "&amp;TEXT(U244/T244-1,"+0%")&amp;" sobre norma. ","")&amp;IF(AND(AG244&gt;0,AH244/AG244-1&gt;Tolerancia_Comb),"Combustible distribución Occidente "&amp;TEXT(AH244/AG244-1,"+0%")&amp;" sobre norma. ","")&amp;IF(AND(AK244&gt;0,AL244/AK244-1&gt;Tolerancia_Comb),"Combustible traslado Centro "&amp;TEXT(AL244/AK244-1,"+0%")&amp;" sobre norma. ","")&amp;IF(AND(AM244&gt;0,AN244/AM244-1&gt;Tolerancia_Comb),"Combustible distribución Centro "&amp;TEXT(AN244/AM244-1,"+0%")&amp;" sobre norma. ","")&amp;IF(AND(AU244&gt;0,AV244/AU244-1&gt;Tolerancia_Comb),"Combustible traslado Oriente "&amp;TEXT(AV244/AU244-1,"+0%")&amp;" sobre norma. ","")&amp;IF(AND(AW244&gt;0,AX244/AW244-1&gt;Tolerancia_Comb),"Combustible distribución Oriente "&amp;TEXT(AX244/AW244-1,"+0%")&amp;" sobre norma. ","")&amp;IF(AND(ENTRADA!$C244&lt;&gt;"",C244&lt;PRECIOS!$A$6),"Fecha anterior a la 1ª vigencia de precios. ","")&amp;IF(CD244&lt;0,"Contenedor con pérdida. ",""))</f>
      </c>
    </row>
    <row r="245">
      <c r="A245" s="60">
        <f>IF(B245="","",ROW()-5)</f>
      </c>
      <c r="B245" s="63">
        <f>IF(ENTRADA!$B245="","",ENTRADA!$B245)</f>
      </c>
      <c r="C245" s="64">
        <f>IF(B245="","",ENTRADA!$C245)</f>
      </c>
      <c r="D245" s="65">
        <f>IF(B245="","",DATE(YEAR(C245),MONTH(C245),1))</f>
      </c>
      <c r="E245" s="66">
        <f>IF(B245="","",ENTRADA!$D245&amp;"")</f>
      </c>
      <c r="F245" s="66">
        <f>IF(B245="","",ENTRADA!$Z245&amp;"")</f>
      </c>
      <c r="G245" s="67">
        <f>IF(B245="","",N(ENTRADA!$G245))</f>
      </c>
      <c r="H245" s="67">
        <f>IF(B245="","",N(ENTRADA!$H245))</f>
      </c>
      <c r="I245" s="67">
        <f>IF(B245="","",N(ENTRADA!$I245))</f>
      </c>
      <c r="J245" s="68">
        <f>IF(B245="","",G245+H245+I245)</f>
      </c>
      <c r="K245" s="60">
        <f>IF(B245="","",IFERROR(MATCH(SUMPRODUCT(MAX((PRECIOS!$A$6:$A$55&lt;=C245)*PRECIOS!$A$6:$A$55)),PRECIOS!$A$6:$A$55,0),1))</f>
      </c>
      <c r="L245" s="69">
        <f>IF(B245="","",INDEX(PRECIOS!$A$6:$A$55,K245))</f>
      </c>
      <c r="M245" s="37">
        <f>IF(B245="","",G245*INDEX(PRECIOS!$B$6:$B$55,K245))</f>
      </c>
      <c r="N245" s="37">
        <f>IF(B245="","",H245*INDEX(PRECIOS!$C$6:$C$55,K245))</f>
      </c>
      <c r="O245" s="37">
        <f>IF(B245="","",I245*INDEX(PRECIOS!$D$6:$D$55,K245))</f>
      </c>
      <c r="P245" s="37">
        <f>IF(B245="","",N(ENTRADA!$X245))</f>
      </c>
      <c r="Q245" s="70">
        <f>IF(B245="","",M245+N245+O245+P245)</f>
      </c>
      <c r="R245" s="71">
        <f>IF(B245="","",IF(ENTRADA!$J245="",Std_Viajes_Puerto,ENTRADA!$J245))</f>
      </c>
      <c r="S245" s="37">
        <f>IF(B245="","",R245*INDEX(PRECIOS!$F$6:$F$55,K245))</f>
      </c>
      <c r="T245" s="71">
        <f>IF(B245="","",R245*Litros_Puerto_Viaje)</f>
      </c>
      <c r="U245" s="71">
        <f>IF(B245="","",IF(ENTRADA!$K245="",T245,ENTRADA!$K245))</f>
      </c>
      <c r="V245" s="37">
        <f>IF(B245="","",U245*INDEX(PRECIOS!$E$6:$E$55,K245))</f>
      </c>
      <c r="W245" s="37">
        <f>IF(B245="","",IF(ENTRADA!$L245="",R245*INDEX(PRECIOS!$G$6:$G$55,K245),ENTRADA!$L245))</f>
      </c>
      <c r="X245" s="37">
        <f>IF(B245="","",R245*Km_Puerto_Viaje*INDEX(PRECIOS!$N$6:$N$55,K245))</f>
      </c>
      <c r="Y245" s="70">
        <f>IF(B245="","",S245+V245+W245+X245)</f>
      </c>
      <c r="Z245" s="71">
        <f>IF(B245="","",IF(J245=0,0,ROUNDUP(J245/Rend_Desagrupe,0)))</f>
      </c>
      <c r="AA245" s="71">
        <f>IF(B245="","",IF(ENTRADA!$M245="",Z245,ENTRADA!$M245))</f>
      </c>
      <c r="AB245" s="37">
        <f>IF(B245="","",AA245*INDEX(PRECIOS!$H$6:$H$55,K245))</f>
      </c>
      <c r="AC245" s="37">
        <f>IF(B245="","",IF(E245="ENCI",INDEX(PRECIOS!$J$6:$J$55,K245),IF(E245="A.V",INDEX(PRECIOS!$K$6:$K$55,K245),0)))</f>
      </c>
      <c r="AD245" s="37">
        <f>IF(B245="","",N(ENTRADA!$N245))</f>
      </c>
      <c r="AE245" s="70">
        <f>IF(B245="","",AB245+AC245+AD245)</f>
      </c>
      <c r="AF245" s="71">
        <f>IF(B245="","",IF(G245=0,0,ROUNDUP(G245/Cap_Camion_OCC,0)))</f>
      </c>
      <c r="AG245" s="71">
        <f>IF(B245="","",AF245*L_Dist_OCC)</f>
      </c>
      <c r="AH245" s="71">
        <f>IF(B245="","",IF(ENTRADA!$O245="",AG245,ENTRADA!$O245))</f>
      </c>
      <c r="AI245" s="37">
        <f>IF(B245="","",AH245*INDEX(PRECIOS!$E$6:$E$55,K245))</f>
      </c>
      <c r="AJ245" s="71">
        <f>IF(B245="","",IF(H245=0,0,ROUNDUP(H245/Cap_Camion_CEN,0)))</f>
      </c>
      <c r="AK245" s="71">
        <f>IF(B245="","",AJ245*L_Tras_CEN)</f>
      </c>
      <c r="AL245" s="71">
        <f>IF(B245="","",IF(ENTRADA!$P245="",AK245,ENTRADA!$P245))</f>
      </c>
      <c r="AM245" s="71">
        <f>IF(B245="","",AJ245*L_Dist_CEN)</f>
      </c>
      <c r="AN245" s="71">
        <f>IF(B245="","",IF(ENTRADA!$Q245="",AM245,ENTRADA!$Q245))</f>
      </c>
      <c r="AO245" s="37">
        <f>IF(B245="","",(AL245+AN245)*INDEX(PRECIOS!$E$6:$E$55,K245))</f>
      </c>
      <c r="AP245" s="71">
        <f>IF(B245="","",IF(H245=0,0,ROUNDUP(H245/Rend_Desagrupe_CT,0)))</f>
      </c>
      <c r="AQ245" s="71">
        <f>IF(B245="","",IF(ENTRADA!$R245="",AP245,ENTRADA!$R245))</f>
      </c>
      <c r="AR245" s="37">
        <f>IF(B245="","",AQ245*INDEX(PRECIOS!$I$6:$I$55,K245))</f>
      </c>
      <c r="AS245" s="37">
        <f>IF(B245="","",AO245+AR245)</f>
      </c>
      <c r="AT245" s="71">
        <f>IF(B245="","",IF(I245=0,0,ROUNDUP(I245/Cap_Camion_ORI,0)))</f>
      </c>
      <c r="AU245" s="71">
        <f>IF(B245="","",AT245*L_Tras_ORI)</f>
      </c>
      <c r="AV245" s="71">
        <f>IF(B245="","",IF(ENTRADA!$S245="",AU245,ENTRADA!$S245))</f>
      </c>
      <c r="AW245" s="71">
        <f>IF(B245="","",AT245*L_Dist_ORI)</f>
      </c>
      <c r="AX245" s="71">
        <f>IF(B245="","",IF(ENTRADA!$T245="",AW245,ENTRADA!$T245))</f>
      </c>
      <c r="AY245" s="37">
        <f>IF(B245="","",(AV245+AX245)*INDEX(PRECIOS!$E$6:$E$55,K245))</f>
      </c>
      <c r="AZ245" s="71">
        <f>IF(B245="","",IF(I245=0,0,ROUNDUP(I245/Rend_Desagrupe_CT,0)))</f>
      </c>
      <c r="BA245" s="71">
        <f>IF(B245="","",IF(ENTRADA!$U245="",AZ245,ENTRADA!$U245))</f>
      </c>
      <c r="BB245" s="37">
        <f>IF(B245="","",BA245*INDEX(PRECIOS!$I$6:$I$55,K245))</f>
      </c>
      <c r="BC245" s="37">
        <f>IF(B245="","",AY245+BB245)</f>
      </c>
      <c r="BD245" s="70">
        <f>IF(B245="","",AI245+AS245+BC245)</f>
      </c>
      <c r="BE245" s="37">
        <f>IF(B245="","",IF(Base_Comision="% DEL INGRESO",M245*INDEX(PRECIOS!$L$6:$L$55,K245),G245*INDEX(PRECIOS!$M$6:$M$55,K245)))</f>
      </c>
      <c r="BF245" s="37">
        <f>IF(B245="","",IF(Base_Comision="% DEL INGRESO",N245*INDEX(PRECIOS!$L$6:$L$55,K245),H245*INDEX(PRECIOS!$M$6:$M$55,K245)))</f>
      </c>
      <c r="BG245" s="37">
        <f>IF(B245="","",IF(Base_Comision="% DEL INGRESO",O245*INDEX(PRECIOS!$L$6:$L$55,K245),I245*INDEX(PRECIOS!$M$6:$M$55,K245)))</f>
      </c>
      <c r="BH245" s="70">
        <f>IF(B245="","",BE245+BF245+BG245)</f>
      </c>
      <c r="BI245" s="37">
        <f>IF(B245="","",Q245*Pct_Reclamaciones)</f>
      </c>
      <c r="BJ245" s="37">
        <f>IF(B245="","",Q245*Pct_Banco)</f>
      </c>
      <c r="BK245" s="37">
        <f>IF(B245="","",N(ENTRADA!$V245))</f>
      </c>
      <c r="BL245" s="70">
        <f>IF(B245="","",Y245+AE245+BD245+BH245+BI245+BJ245+BK245)</f>
      </c>
      <c r="BM245" s="70">
        <f>IF(B245="","",Q245-BL245)</f>
      </c>
      <c r="BN245" s="72">
        <f>IF(B245="","",IF(Q245=0,0,BM245/Q245))</f>
      </c>
      <c r="BO245" s="73">
        <f>IF(B245="","",IF(J245=0,0,BM245/J245))</f>
      </c>
      <c r="BP245" s="60">
        <f>IF(B245="","",IFERROR(MATCH(D245,COSTOS_FIJOS!$G$5:$AD$5,0),0))</f>
      </c>
      <c r="BQ245" s="60">
        <f>IF(B245="","",COUNTIFS($D$6:$D$305,D245))</f>
      </c>
      <c r="BR245" s="67">
        <f>IF(B245="","",SUMIFS($J$6:$J$305,$D$6:$D$305,D245))</f>
      </c>
      <c r="BS245" s="72">
        <f>IF(B245="","",IF(Metodo_Prorrateo="KG",IF(BR245=0,0,J245/BR245),1/BQ245))</f>
      </c>
      <c r="BT245" s="37">
        <f>IF(B245="","",IF(BP245=0,0,INDEX(COSTOS_FIJOS!$G$38:$AD$38,BP245))*BS245)</f>
      </c>
      <c r="BU245" s="72">
        <f>IF(B245="","",IF(Metodo_Prorrateo="KG",IF(SUMIFS($G$6:$G$305,$D$6:$D$305,D245)=0,0,G245/SUMIFS($G$6:$G$305,$D$6:$D$305,D245)),IF(G245&gt;0,1/COUNTIFS($D$6:$D$305,D245,$G$6:$G$305,"&gt;0"),0)))</f>
      </c>
      <c r="BV245" s="37">
        <f>IF(B245="","",IF(BP245=0,0,INDEX(COSTOS_FIJOS!$G$39:$AD$39,BP245))*BU245)</f>
      </c>
      <c r="BW245" s="72">
        <f>IF(B245="","",IF(Metodo_Prorrateo="KG",IF(SUMIFS($H$6:$H$305,$D$6:$D$305,D245)=0,0,H245/SUMIFS($H$6:$H$305,$D$6:$D$305,D245)),IF(H245&gt;0,1/COUNTIFS($D$6:$D$305,D245,$H$6:$H$305,"&gt;0"),0)))</f>
      </c>
      <c r="BX245" s="37">
        <f>IF(B245="","",IF(BP245=0,0,INDEX(COSTOS_FIJOS!$G$40:$AD$40,BP245))*BW245)</f>
      </c>
      <c r="BY245" s="72">
        <f>IF(B245="","",IF(Metodo_Prorrateo="KG",IF(SUMIFS($I$6:$I$305,$D$6:$D$305,D245)=0,0,I245/SUMIFS($I$6:$I$305,$D$6:$D$305,D245)),IF(I245&gt;0,1/COUNTIFS($D$6:$D$305,D245,$I$6:$I$305,"&gt;0"),0)))</f>
      </c>
      <c r="BZ245" s="37">
        <f>IF(B245="","",IF(BP245=0,0,INDEX(COSTOS_FIJOS!$G$41:$AD$41,BP245))*BY245)</f>
      </c>
      <c r="CA245" s="70">
        <f>IF(B245="","",BT245+BV245+BX245+BZ245)</f>
      </c>
      <c r="CB245" s="37">
        <f>IF(B245="","",Q245*Imp_Ventas_Serv)</f>
      </c>
      <c r="CC245" s="37">
        <f>IF(B245="","",Q245*Contrib_Territorial)</f>
      </c>
      <c r="CD245" s="70">
        <f>IF(B245="","",BM245-CA245-CB245-CC245)</f>
      </c>
      <c r="CE245" s="37">
        <f>IF(B245="","",MAX(0,CD245)*Imp_Utilidades)</f>
      </c>
      <c r="CF245" s="70">
        <f>IF(B245="","",CD245-CE245)</f>
      </c>
      <c r="CG245" s="72">
        <f>IF(B245="","",IF(Q245=0,0,CF245/Q245))</f>
      </c>
      <c r="CH245" s="73">
        <f>IF(B245="","",IF(J245=0,0,(BL245+CA245+CB245+CC245)/J245))</f>
      </c>
      <c r="CI245" s="73">
        <f>IF(B245="","",IF(J245=0,0,Q245/J245))</f>
      </c>
      <c r="CJ245" s="73">
        <f>IF(B245="","",IF(J245=0,0,CD245/J245))</f>
      </c>
      <c r="CK245" s="37">
        <f>IF(B245="","",Y245+AE245+BK245+BT245)</f>
      </c>
      <c r="CL245" s="37">
        <f>IF(B245="","",IF(J245=0,0,(M245+P245*G245/J245)*(1-Pct_Reclamaciones-Pct_Banco-Imp_Ventas_Serv-Contrib_Territorial)-AI245-BE245-BV245-CK245*G245/J245))</f>
      </c>
      <c r="CM245" s="37">
        <f>IF(B245="","",IF(J245=0,0,(N245+P245*H245/J245)*(1-Pct_Reclamaciones-Pct_Banco-Imp_Ventas_Serv-Contrib_Territorial)-AS245-BF245-BX245-CK245*H245/J245))</f>
      </c>
      <c r="CN245" s="37">
        <f>IF(B245="","",IF(J245=0,0,(O245+P245*I245/J245)*(1-Pct_Reclamaciones-Pct_Banco-Imp_Ventas_Serv-Contrib_Territorial)-BC245-BG245-BZ245-CK245*I245/J245))</f>
      </c>
      <c r="CO245" s="37">
        <f>IF(B245="","",IF(J245=0,0,ROUND(CD245-CL245-CM245-CN245,4)))</f>
      </c>
      <c r="CP245" s="71">
        <f>IF(B245="","",T245+AG245+AK245+AM245+AU245+AW245)</f>
      </c>
      <c r="CQ245" s="71">
        <f>IF(B245="","",U245+AH245+AL245+AN245+AV245+AX245)</f>
      </c>
      <c r="CR245" s="72">
        <f>IF(B245="","",IF(CP245=0,0,CQ245/CP245-1))</f>
      </c>
      <c r="CS245" s="60">
        <f>IF(B245="","",IF(ENTRADA!$Y245="","",ENTRADA!$Y245-C245))</f>
      </c>
      <c r="CT245" s="66">
        <f>IF(B245="","",IF(ENTRADA!$C245="","Falta fecha. ","")&amp;IF(BP245=0,"Mes fuera del rango de COSTOS_FIJOS. ","")&amp;IF(J245=0,"Sin kg. ","")&amp;IF(E245="","Falta transitaria. ","")&amp;IF(AND(T245&gt;0,U245/T245-1&gt;Tolerancia_Comb),"Combustible al puerto "&amp;TEXT(U245/T245-1,"+0%")&amp;" sobre norma. ","")&amp;IF(AND(AG245&gt;0,AH245/AG245-1&gt;Tolerancia_Comb),"Combustible distribución Occidente "&amp;TEXT(AH245/AG245-1,"+0%")&amp;" sobre norma. ","")&amp;IF(AND(AK245&gt;0,AL245/AK245-1&gt;Tolerancia_Comb),"Combustible traslado Centro "&amp;TEXT(AL245/AK245-1,"+0%")&amp;" sobre norma. ","")&amp;IF(AND(AM245&gt;0,AN245/AM245-1&gt;Tolerancia_Comb),"Combustible distribución Centro "&amp;TEXT(AN245/AM245-1,"+0%")&amp;" sobre norma. ","")&amp;IF(AND(AU245&gt;0,AV245/AU245-1&gt;Tolerancia_Comb),"Combustible traslado Oriente "&amp;TEXT(AV245/AU245-1,"+0%")&amp;" sobre norma. ","")&amp;IF(AND(AW245&gt;0,AX245/AW245-1&gt;Tolerancia_Comb),"Combustible distribución Oriente "&amp;TEXT(AX245/AW245-1,"+0%")&amp;" sobre norma. ","")&amp;IF(AND(ENTRADA!$C245&lt;&gt;"",C245&lt;PRECIOS!$A$6),"Fecha anterior a la 1ª vigencia de precios. ","")&amp;IF(CD245&lt;0,"Contenedor con pérdida. ",""))</f>
      </c>
    </row>
    <row r="246">
      <c r="A246" s="60">
        <f>IF(B246="","",ROW()-5)</f>
      </c>
      <c r="B246" s="63">
        <f>IF(ENTRADA!$B246="","",ENTRADA!$B246)</f>
      </c>
      <c r="C246" s="64">
        <f>IF(B246="","",ENTRADA!$C246)</f>
      </c>
      <c r="D246" s="65">
        <f>IF(B246="","",DATE(YEAR(C246),MONTH(C246),1))</f>
      </c>
      <c r="E246" s="66">
        <f>IF(B246="","",ENTRADA!$D246&amp;"")</f>
      </c>
      <c r="F246" s="66">
        <f>IF(B246="","",ENTRADA!$Z246&amp;"")</f>
      </c>
      <c r="G246" s="67">
        <f>IF(B246="","",N(ENTRADA!$G246))</f>
      </c>
      <c r="H246" s="67">
        <f>IF(B246="","",N(ENTRADA!$H246))</f>
      </c>
      <c r="I246" s="67">
        <f>IF(B246="","",N(ENTRADA!$I246))</f>
      </c>
      <c r="J246" s="68">
        <f>IF(B246="","",G246+H246+I246)</f>
      </c>
      <c r="K246" s="60">
        <f>IF(B246="","",IFERROR(MATCH(SUMPRODUCT(MAX((PRECIOS!$A$6:$A$55&lt;=C246)*PRECIOS!$A$6:$A$55)),PRECIOS!$A$6:$A$55,0),1))</f>
      </c>
      <c r="L246" s="69">
        <f>IF(B246="","",INDEX(PRECIOS!$A$6:$A$55,K246))</f>
      </c>
      <c r="M246" s="37">
        <f>IF(B246="","",G246*INDEX(PRECIOS!$B$6:$B$55,K246))</f>
      </c>
      <c r="N246" s="37">
        <f>IF(B246="","",H246*INDEX(PRECIOS!$C$6:$C$55,K246))</f>
      </c>
      <c r="O246" s="37">
        <f>IF(B246="","",I246*INDEX(PRECIOS!$D$6:$D$55,K246))</f>
      </c>
      <c r="P246" s="37">
        <f>IF(B246="","",N(ENTRADA!$X246))</f>
      </c>
      <c r="Q246" s="70">
        <f>IF(B246="","",M246+N246+O246+P246)</f>
      </c>
      <c r="R246" s="71">
        <f>IF(B246="","",IF(ENTRADA!$J246="",Std_Viajes_Puerto,ENTRADA!$J246))</f>
      </c>
      <c r="S246" s="37">
        <f>IF(B246="","",R246*INDEX(PRECIOS!$F$6:$F$55,K246))</f>
      </c>
      <c r="T246" s="71">
        <f>IF(B246="","",R246*Litros_Puerto_Viaje)</f>
      </c>
      <c r="U246" s="71">
        <f>IF(B246="","",IF(ENTRADA!$K246="",T246,ENTRADA!$K246))</f>
      </c>
      <c r="V246" s="37">
        <f>IF(B246="","",U246*INDEX(PRECIOS!$E$6:$E$55,K246))</f>
      </c>
      <c r="W246" s="37">
        <f>IF(B246="","",IF(ENTRADA!$L246="",R246*INDEX(PRECIOS!$G$6:$G$55,K246),ENTRADA!$L246))</f>
      </c>
      <c r="X246" s="37">
        <f>IF(B246="","",R246*Km_Puerto_Viaje*INDEX(PRECIOS!$N$6:$N$55,K246))</f>
      </c>
      <c r="Y246" s="70">
        <f>IF(B246="","",S246+V246+W246+X246)</f>
      </c>
      <c r="Z246" s="71">
        <f>IF(B246="","",IF(J246=0,0,ROUNDUP(J246/Rend_Desagrupe,0)))</f>
      </c>
      <c r="AA246" s="71">
        <f>IF(B246="","",IF(ENTRADA!$M246="",Z246,ENTRADA!$M246))</f>
      </c>
      <c r="AB246" s="37">
        <f>IF(B246="","",AA246*INDEX(PRECIOS!$H$6:$H$55,K246))</f>
      </c>
      <c r="AC246" s="37">
        <f>IF(B246="","",IF(E246="ENCI",INDEX(PRECIOS!$J$6:$J$55,K246),IF(E246="A.V",INDEX(PRECIOS!$K$6:$K$55,K246),0)))</f>
      </c>
      <c r="AD246" s="37">
        <f>IF(B246="","",N(ENTRADA!$N246))</f>
      </c>
      <c r="AE246" s="70">
        <f>IF(B246="","",AB246+AC246+AD246)</f>
      </c>
      <c r="AF246" s="71">
        <f>IF(B246="","",IF(G246=0,0,ROUNDUP(G246/Cap_Camion_OCC,0)))</f>
      </c>
      <c r="AG246" s="71">
        <f>IF(B246="","",AF246*L_Dist_OCC)</f>
      </c>
      <c r="AH246" s="71">
        <f>IF(B246="","",IF(ENTRADA!$O246="",AG246,ENTRADA!$O246))</f>
      </c>
      <c r="AI246" s="37">
        <f>IF(B246="","",AH246*INDEX(PRECIOS!$E$6:$E$55,K246))</f>
      </c>
      <c r="AJ246" s="71">
        <f>IF(B246="","",IF(H246=0,0,ROUNDUP(H246/Cap_Camion_CEN,0)))</f>
      </c>
      <c r="AK246" s="71">
        <f>IF(B246="","",AJ246*L_Tras_CEN)</f>
      </c>
      <c r="AL246" s="71">
        <f>IF(B246="","",IF(ENTRADA!$P246="",AK246,ENTRADA!$P246))</f>
      </c>
      <c r="AM246" s="71">
        <f>IF(B246="","",AJ246*L_Dist_CEN)</f>
      </c>
      <c r="AN246" s="71">
        <f>IF(B246="","",IF(ENTRADA!$Q246="",AM246,ENTRADA!$Q246))</f>
      </c>
      <c r="AO246" s="37">
        <f>IF(B246="","",(AL246+AN246)*INDEX(PRECIOS!$E$6:$E$55,K246))</f>
      </c>
      <c r="AP246" s="71">
        <f>IF(B246="","",IF(H246=0,0,ROUNDUP(H246/Rend_Desagrupe_CT,0)))</f>
      </c>
      <c r="AQ246" s="71">
        <f>IF(B246="","",IF(ENTRADA!$R246="",AP246,ENTRADA!$R246))</f>
      </c>
      <c r="AR246" s="37">
        <f>IF(B246="","",AQ246*INDEX(PRECIOS!$I$6:$I$55,K246))</f>
      </c>
      <c r="AS246" s="37">
        <f>IF(B246="","",AO246+AR246)</f>
      </c>
      <c r="AT246" s="71">
        <f>IF(B246="","",IF(I246=0,0,ROUNDUP(I246/Cap_Camion_ORI,0)))</f>
      </c>
      <c r="AU246" s="71">
        <f>IF(B246="","",AT246*L_Tras_ORI)</f>
      </c>
      <c r="AV246" s="71">
        <f>IF(B246="","",IF(ENTRADA!$S246="",AU246,ENTRADA!$S246))</f>
      </c>
      <c r="AW246" s="71">
        <f>IF(B246="","",AT246*L_Dist_ORI)</f>
      </c>
      <c r="AX246" s="71">
        <f>IF(B246="","",IF(ENTRADA!$T246="",AW246,ENTRADA!$T246))</f>
      </c>
      <c r="AY246" s="37">
        <f>IF(B246="","",(AV246+AX246)*INDEX(PRECIOS!$E$6:$E$55,K246))</f>
      </c>
      <c r="AZ246" s="71">
        <f>IF(B246="","",IF(I246=0,0,ROUNDUP(I246/Rend_Desagrupe_CT,0)))</f>
      </c>
      <c r="BA246" s="71">
        <f>IF(B246="","",IF(ENTRADA!$U246="",AZ246,ENTRADA!$U246))</f>
      </c>
      <c r="BB246" s="37">
        <f>IF(B246="","",BA246*INDEX(PRECIOS!$I$6:$I$55,K246))</f>
      </c>
      <c r="BC246" s="37">
        <f>IF(B246="","",AY246+BB246)</f>
      </c>
      <c r="BD246" s="70">
        <f>IF(B246="","",AI246+AS246+BC246)</f>
      </c>
      <c r="BE246" s="37">
        <f>IF(B246="","",IF(Base_Comision="% DEL INGRESO",M246*INDEX(PRECIOS!$L$6:$L$55,K246),G246*INDEX(PRECIOS!$M$6:$M$55,K246)))</f>
      </c>
      <c r="BF246" s="37">
        <f>IF(B246="","",IF(Base_Comision="% DEL INGRESO",N246*INDEX(PRECIOS!$L$6:$L$55,K246),H246*INDEX(PRECIOS!$M$6:$M$55,K246)))</f>
      </c>
      <c r="BG246" s="37">
        <f>IF(B246="","",IF(Base_Comision="% DEL INGRESO",O246*INDEX(PRECIOS!$L$6:$L$55,K246),I246*INDEX(PRECIOS!$M$6:$M$55,K246)))</f>
      </c>
      <c r="BH246" s="70">
        <f>IF(B246="","",BE246+BF246+BG246)</f>
      </c>
      <c r="BI246" s="37">
        <f>IF(B246="","",Q246*Pct_Reclamaciones)</f>
      </c>
      <c r="BJ246" s="37">
        <f>IF(B246="","",Q246*Pct_Banco)</f>
      </c>
      <c r="BK246" s="37">
        <f>IF(B246="","",N(ENTRADA!$V246))</f>
      </c>
      <c r="BL246" s="70">
        <f>IF(B246="","",Y246+AE246+BD246+BH246+BI246+BJ246+BK246)</f>
      </c>
      <c r="BM246" s="70">
        <f>IF(B246="","",Q246-BL246)</f>
      </c>
      <c r="BN246" s="72">
        <f>IF(B246="","",IF(Q246=0,0,BM246/Q246))</f>
      </c>
      <c r="BO246" s="73">
        <f>IF(B246="","",IF(J246=0,0,BM246/J246))</f>
      </c>
      <c r="BP246" s="60">
        <f>IF(B246="","",IFERROR(MATCH(D246,COSTOS_FIJOS!$G$5:$AD$5,0),0))</f>
      </c>
      <c r="BQ246" s="60">
        <f>IF(B246="","",COUNTIFS($D$6:$D$305,D246))</f>
      </c>
      <c r="BR246" s="67">
        <f>IF(B246="","",SUMIFS($J$6:$J$305,$D$6:$D$305,D246))</f>
      </c>
      <c r="BS246" s="72">
        <f>IF(B246="","",IF(Metodo_Prorrateo="KG",IF(BR246=0,0,J246/BR246),1/BQ246))</f>
      </c>
      <c r="BT246" s="37">
        <f>IF(B246="","",IF(BP246=0,0,INDEX(COSTOS_FIJOS!$G$38:$AD$38,BP246))*BS246)</f>
      </c>
      <c r="BU246" s="72">
        <f>IF(B246="","",IF(Metodo_Prorrateo="KG",IF(SUMIFS($G$6:$G$305,$D$6:$D$305,D246)=0,0,G246/SUMIFS($G$6:$G$305,$D$6:$D$305,D246)),IF(G246&gt;0,1/COUNTIFS($D$6:$D$305,D246,$G$6:$G$305,"&gt;0"),0)))</f>
      </c>
      <c r="BV246" s="37">
        <f>IF(B246="","",IF(BP246=0,0,INDEX(COSTOS_FIJOS!$G$39:$AD$39,BP246))*BU246)</f>
      </c>
      <c r="BW246" s="72">
        <f>IF(B246="","",IF(Metodo_Prorrateo="KG",IF(SUMIFS($H$6:$H$305,$D$6:$D$305,D246)=0,0,H246/SUMIFS($H$6:$H$305,$D$6:$D$305,D246)),IF(H246&gt;0,1/COUNTIFS($D$6:$D$305,D246,$H$6:$H$305,"&gt;0"),0)))</f>
      </c>
      <c r="BX246" s="37">
        <f>IF(B246="","",IF(BP246=0,0,INDEX(COSTOS_FIJOS!$G$40:$AD$40,BP246))*BW246)</f>
      </c>
      <c r="BY246" s="72">
        <f>IF(B246="","",IF(Metodo_Prorrateo="KG",IF(SUMIFS($I$6:$I$305,$D$6:$D$305,D246)=0,0,I246/SUMIFS($I$6:$I$305,$D$6:$D$305,D246)),IF(I246&gt;0,1/COUNTIFS($D$6:$D$305,D246,$I$6:$I$305,"&gt;0"),0)))</f>
      </c>
      <c r="BZ246" s="37">
        <f>IF(B246="","",IF(BP246=0,0,INDEX(COSTOS_FIJOS!$G$41:$AD$41,BP246))*BY246)</f>
      </c>
      <c r="CA246" s="70">
        <f>IF(B246="","",BT246+BV246+BX246+BZ246)</f>
      </c>
      <c r="CB246" s="37">
        <f>IF(B246="","",Q246*Imp_Ventas_Serv)</f>
      </c>
      <c r="CC246" s="37">
        <f>IF(B246="","",Q246*Contrib_Territorial)</f>
      </c>
      <c r="CD246" s="70">
        <f>IF(B246="","",BM246-CA246-CB246-CC246)</f>
      </c>
      <c r="CE246" s="37">
        <f>IF(B246="","",MAX(0,CD246)*Imp_Utilidades)</f>
      </c>
      <c r="CF246" s="70">
        <f>IF(B246="","",CD246-CE246)</f>
      </c>
      <c r="CG246" s="72">
        <f>IF(B246="","",IF(Q246=0,0,CF246/Q246))</f>
      </c>
      <c r="CH246" s="73">
        <f>IF(B246="","",IF(J246=0,0,(BL246+CA246+CB246+CC246)/J246))</f>
      </c>
      <c r="CI246" s="73">
        <f>IF(B246="","",IF(J246=0,0,Q246/J246))</f>
      </c>
      <c r="CJ246" s="73">
        <f>IF(B246="","",IF(J246=0,0,CD246/J246))</f>
      </c>
      <c r="CK246" s="37">
        <f>IF(B246="","",Y246+AE246+BK246+BT246)</f>
      </c>
      <c r="CL246" s="37">
        <f>IF(B246="","",IF(J246=0,0,(M246+P246*G246/J246)*(1-Pct_Reclamaciones-Pct_Banco-Imp_Ventas_Serv-Contrib_Territorial)-AI246-BE246-BV246-CK246*G246/J246))</f>
      </c>
      <c r="CM246" s="37">
        <f>IF(B246="","",IF(J246=0,0,(N246+P246*H246/J246)*(1-Pct_Reclamaciones-Pct_Banco-Imp_Ventas_Serv-Contrib_Territorial)-AS246-BF246-BX246-CK246*H246/J246))</f>
      </c>
      <c r="CN246" s="37">
        <f>IF(B246="","",IF(J246=0,0,(O246+P246*I246/J246)*(1-Pct_Reclamaciones-Pct_Banco-Imp_Ventas_Serv-Contrib_Territorial)-BC246-BG246-BZ246-CK246*I246/J246))</f>
      </c>
      <c r="CO246" s="37">
        <f>IF(B246="","",IF(J246=0,0,ROUND(CD246-CL246-CM246-CN246,4)))</f>
      </c>
      <c r="CP246" s="71">
        <f>IF(B246="","",T246+AG246+AK246+AM246+AU246+AW246)</f>
      </c>
      <c r="CQ246" s="71">
        <f>IF(B246="","",U246+AH246+AL246+AN246+AV246+AX246)</f>
      </c>
      <c r="CR246" s="72">
        <f>IF(B246="","",IF(CP246=0,0,CQ246/CP246-1))</f>
      </c>
      <c r="CS246" s="60">
        <f>IF(B246="","",IF(ENTRADA!$Y246="","",ENTRADA!$Y246-C246))</f>
      </c>
      <c r="CT246" s="66">
        <f>IF(B246="","",IF(ENTRADA!$C246="","Falta fecha. ","")&amp;IF(BP246=0,"Mes fuera del rango de COSTOS_FIJOS. ","")&amp;IF(J246=0,"Sin kg. ","")&amp;IF(E246="","Falta transitaria. ","")&amp;IF(AND(T246&gt;0,U246/T246-1&gt;Tolerancia_Comb),"Combustible al puerto "&amp;TEXT(U246/T246-1,"+0%")&amp;" sobre norma. ","")&amp;IF(AND(AG246&gt;0,AH246/AG246-1&gt;Tolerancia_Comb),"Combustible distribución Occidente "&amp;TEXT(AH246/AG246-1,"+0%")&amp;" sobre norma. ","")&amp;IF(AND(AK246&gt;0,AL246/AK246-1&gt;Tolerancia_Comb),"Combustible traslado Centro "&amp;TEXT(AL246/AK246-1,"+0%")&amp;" sobre norma. ","")&amp;IF(AND(AM246&gt;0,AN246/AM246-1&gt;Tolerancia_Comb),"Combustible distribución Centro "&amp;TEXT(AN246/AM246-1,"+0%")&amp;" sobre norma. ","")&amp;IF(AND(AU246&gt;0,AV246/AU246-1&gt;Tolerancia_Comb),"Combustible traslado Oriente "&amp;TEXT(AV246/AU246-1,"+0%")&amp;" sobre norma. ","")&amp;IF(AND(AW246&gt;0,AX246/AW246-1&gt;Tolerancia_Comb),"Combustible distribución Oriente "&amp;TEXT(AX246/AW246-1,"+0%")&amp;" sobre norma. ","")&amp;IF(AND(ENTRADA!$C246&lt;&gt;"",C246&lt;PRECIOS!$A$6),"Fecha anterior a la 1ª vigencia de precios. ","")&amp;IF(CD246&lt;0,"Contenedor con pérdida. ",""))</f>
      </c>
    </row>
    <row r="247">
      <c r="A247" s="60">
        <f>IF(B247="","",ROW()-5)</f>
      </c>
      <c r="B247" s="63">
        <f>IF(ENTRADA!$B247="","",ENTRADA!$B247)</f>
      </c>
      <c r="C247" s="64">
        <f>IF(B247="","",ENTRADA!$C247)</f>
      </c>
      <c r="D247" s="65">
        <f>IF(B247="","",DATE(YEAR(C247),MONTH(C247),1))</f>
      </c>
      <c r="E247" s="66">
        <f>IF(B247="","",ENTRADA!$D247&amp;"")</f>
      </c>
      <c r="F247" s="66">
        <f>IF(B247="","",ENTRADA!$Z247&amp;"")</f>
      </c>
      <c r="G247" s="67">
        <f>IF(B247="","",N(ENTRADA!$G247))</f>
      </c>
      <c r="H247" s="67">
        <f>IF(B247="","",N(ENTRADA!$H247))</f>
      </c>
      <c r="I247" s="67">
        <f>IF(B247="","",N(ENTRADA!$I247))</f>
      </c>
      <c r="J247" s="68">
        <f>IF(B247="","",G247+H247+I247)</f>
      </c>
      <c r="K247" s="60">
        <f>IF(B247="","",IFERROR(MATCH(SUMPRODUCT(MAX((PRECIOS!$A$6:$A$55&lt;=C247)*PRECIOS!$A$6:$A$55)),PRECIOS!$A$6:$A$55,0),1))</f>
      </c>
      <c r="L247" s="69">
        <f>IF(B247="","",INDEX(PRECIOS!$A$6:$A$55,K247))</f>
      </c>
      <c r="M247" s="37">
        <f>IF(B247="","",G247*INDEX(PRECIOS!$B$6:$B$55,K247))</f>
      </c>
      <c r="N247" s="37">
        <f>IF(B247="","",H247*INDEX(PRECIOS!$C$6:$C$55,K247))</f>
      </c>
      <c r="O247" s="37">
        <f>IF(B247="","",I247*INDEX(PRECIOS!$D$6:$D$55,K247))</f>
      </c>
      <c r="P247" s="37">
        <f>IF(B247="","",N(ENTRADA!$X247))</f>
      </c>
      <c r="Q247" s="70">
        <f>IF(B247="","",M247+N247+O247+P247)</f>
      </c>
      <c r="R247" s="71">
        <f>IF(B247="","",IF(ENTRADA!$J247="",Std_Viajes_Puerto,ENTRADA!$J247))</f>
      </c>
      <c r="S247" s="37">
        <f>IF(B247="","",R247*INDEX(PRECIOS!$F$6:$F$55,K247))</f>
      </c>
      <c r="T247" s="71">
        <f>IF(B247="","",R247*Litros_Puerto_Viaje)</f>
      </c>
      <c r="U247" s="71">
        <f>IF(B247="","",IF(ENTRADA!$K247="",T247,ENTRADA!$K247))</f>
      </c>
      <c r="V247" s="37">
        <f>IF(B247="","",U247*INDEX(PRECIOS!$E$6:$E$55,K247))</f>
      </c>
      <c r="W247" s="37">
        <f>IF(B247="","",IF(ENTRADA!$L247="",R247*INDEX(PRECIOS!$G$6:$G$55,K247),ENTRADA!$L247))</f>
      </c>
      <c r="X247" s="37">
        <f>IF(B247="","",R247*Km_Puerto_Viaje*INDEX(PRECIOS!$N$6:$N$55,K247))</f>
      </c>
      <c r="Y247" s="70">
        <f>IF(B247="","",S247+V247+W247+X247)</f>
      </c>
      <c r="Z247" s="71">
        <f>IF(B247="","",IF(J247=0,0,ROUNDUP(J247/Rend_Desagrupe,0)))</f>
      </c>
      <c r="AA247" s="71">
        <f>IF(B247="","",IF(ENTRADA!$M247="",Z247,ENTRADA!$M247))</f>
      </c>
      <c r="AB247" s="37">
        <f>IF(B247="","",AA247*INDEX(PRECIOS!$H$6:$H$55,K247))</f>
      </c>
      <c r="AC247" s="37">
        <f>IF(B247="","",IF(E247="ENCI",INDEX(PRECIOS!$J$6:$J$55,K247),IF(E247="A.V",INDEX(PRECIOS!$K$6:$K$55,K247),0)))</f>
      </c>
      <c r="AD247" s="37">
        <f>IF(B247="","",N(ENTRADA!$N247))</f>
      </c>
      <c r="AE247" s="70">
        <f>IF(B247="","",AB247+AC247+AD247)</f>
      </c>
      <c r="AF247" s="71">
        <f>IF(B247="","",IF(G247=0,0,ROUNDUP(G247/Cap_Camion_OCC,0)))</f>
      </c>
      <c r="AG247" s="71">
        <f>IF(B247="","",AF247*L_Dist_OCC)</f>
      </c>
      <c r="AH247" s="71">
        <f>IF(B247="","",IF(ENTRADA!$O247="",AG247,ENTRADA!$O247))</f>
      </c>
      <c r="AI247" s="37">
        <f>IF(B247="","",AH247*INDEX(PRECIOS!$E$6:$E$55,K247))</f>
      </c>
      <c r="AJ247" s="71">
        <f>IF(B247="","",IF(H247=0,0,ROUNDUP(H247/Cap_Camion_CEN,0)))</f>
      </c>
      <c r="AK247" s="71">
        <f>IF(B247="","",AJ247*L_Tras_CEN)</f>
      </c>
      <c r="AL247" s="71">
        <f>IF(B247="","",IF(ENTRADA!$P247="",AK247,ENTRADA!$P247))</f>
      </c>
      <c r="AM247" s="71">
        <f>IF(B247="","",AJ247*L_Dist_CEN)</f>
      </c>
      <c r="AN247" s="71">
        <f>IF(B247="","",IF(ENTRADA!$Q247="",AM247,ENTRADA!$Q247))</f>
      </c>
      <c r="AO247" s="37">
        <f>IF(B247="","",(AL247+AN247)*INDEX(PRECIOS!$E$6:$E$55,K247))</f>
      </c>
      <c r="AP247" s="71">
        <f>IF(B247="","",IF(H247=0,0,ROUNDUP(H247/Rend_Desagrupe_CT,0)))</f>
      </c>
      <c r="AQ247" s="71">
        <f>IF(B247="","",IF(ENTRADA!$R247="",AP247,ENTRADA!$R247))</f>
      </c>
      <c r="AR247" s="37">
        <f>IF(B247="","",AQ247*INDEX(PRECIOS!$I$6:$I$55,K247))</f>
      </c>
      <c r="AS247" s="37">
        <f>IF(B247="","",AO247+AR247)</f>
      </c>
      <c r="AT247" s="71">
        <f>IF(B247="","",IF(I247=0,0,ROUNDUP(I247/Cap_Camion_ORI,0)))</f>
      </c>
      <c r="AU247" s="71">
        <f>IF(B247="","",AT247*L_Tras_ORI)</f>
      </c>
      <c r="AV247" s="71">
        <f>IF(B247="","",IF(ENTRADA!$S247="",AU247,ENTRADA!$S247))</f>
      </c>
      <c r="AW247" s="71">
        <f>IF(B247="","",AT247*L_Dist_ORI)</f>
      </c>
      <c r="AX247" s="71">
        <f>IF(B247="","",IF(ENTRADA!$T247="",AW247,ENTRADA!$T247))</f>
      </c>
      <c r="AY247" s="37">
        <f>IF(B247="","",(AV247+AX247)*INDEX(PRECIOS!$E$6:$E$55,K247))</f>
      </c>
      <c r="AZ247" s="71">
        <f>IF(B247="","",IF(I247=0,0,ROUNDUP(I247/Rend_Desagrupe_CT,0)))</f>
      </c>
      <c r="BA247" s="71">
        <f>IF(B247="","",IF(ENTRADA!$U247="",AZ247,ENTRADA!$U247))</f>
      </c>
      <c r="BB247" s="37">
        <f>IF(B247="","",BA247*INDEX(PRECIOS!$I$6:$I$55,K247))</f>
      </c>
      <c r="BC247" s="37">
        <f>IF(B247="","",AY247+BB247)</f>
      </c>
      <c r="BD247" s="70">
        <f>IF(B247="","",AI247+AS247+BC247)</f>
      </c>
      <c r="BE247" s="37">
        <f>IF(B247="","",IF(Base_Comision="% DEL INGRESO",M247*INDEX(PRECIOS!$L$6:$L$55,K247),G247*INDEX(PRECIOS!$M$6:$M$55,K247)))</f>
      </c>
      <c r="BF247" s="37">
        <f>IF(B247="","",IF(Base_Comision="% DEL INGRESO",N247*INDEX(PRECIOS!$L$6:$L$55,K247),H247*INDEX(PRECIOS!$M$6:$M$55,K247)))</f>
      </c>
      <c r="BG247" s="37">
        <f>IF(B247="","",IF(Base_Comision="% DEL INGRESO",O247*INDEX(PRECIOS!$L$6:$L$55,K247),I247*INDEX(PRECIOS!$M$6:$M$55,K247)))</f>
      </c>
      <c r="BH247" s="70">
        <f>IF(B247="","",BE247+BF247+BG247)</f>
      </c>
      <c r="BI247" s="37">
        <f>IF(B247="","",Q247*Pct_Reclamaciones)</f>
      </c>
      <c r="BJ247" s="37">
        <f>IF(B247="","",Q247*Pct_Banco)</f>
      </c>
      <c r="BK247" s="37">
        <f>IF(B247="","",N(ENTRADA!$V247))</f>
      </c>
      <c r="BL247" s="70">
        <f>IF(B247="","",Y247+AE247+BD247+BH247+BI247+BJ247+BK247)</f>
      </c>
      <c r="BM247" s="70">
        <f>IF(B247="","",Q247-BL247)</f>
      </c>
      <c r="BN247" s="72">
        <f>IF(B247="","",IF(Q247=0,0,BM247/Q247))</f>
      </c>
      <c r="BO247" s="73">
        <f>IF(B247="","",IF(J247=0,0,BM247/J247))</f>
      </c>
      <c r="BP247" s="60">
        <f>IF(B247="","",IFERROR(MATCH(D247,COSTOS_FIJOS!$G$5:$AD$5,0),0))</f>
      </c>
      <c r="BQ247" s="60">
        <f>IF(B247="","",COUNTIFS($D$6:$D$305,D247))</f>
      </c>
      <c r="BR247" s="67">
        <f>IF(B247="","",SUMIFS($J$6:$J$305,$D$6:$D$305,D247))</f>
      </c>
      <c r="BS247" s="72">
        <f>IF(B247="","",IF(Metodo_Prorrateo="KG",IF(BR247=0,0,J247/BR247),1/BQ247))</f>
      </c>
      <c r="BT247" s="37">
        <f>IF(B247="","",IF(BP247=0,0,INDEX(COSTOS_FIJOS!$G$38:$AD$38,BP247))*BS247)</f>
      </c>
      <c r="BU247" s="72">
        <f>IF(B247="","",IF(Metodo_Prorrateo="KG",IF(SUMIFS($G$6:$G$305,$D$6:$D$305,D247)=0,0,G247/SUMIFS($G$6:$G$305,$D$6:$D$305,D247)),IF(G247&gt;0,1/COUNTIFS($D$6:$D$305,D247,$G$6:$G$305,"&gt;0"),0)))</f>
      </c>
      <c r="BV247" s="37">
        <f>IF(B247="","",IF(BP247=0,0,INDEX(COSTOS_FIJOS!$G$39:$AD$39,BP247))*BU247)</f>
      </c>
      <c r="BW247" s="72">
        <f>IF(B247="","",IF(Metodo_Prorrateo="KG",IF(SUMIFS($H$6:$H$305,$D$6:$D$305,D247)=0,0,H247/SUMIFS($H$6:$H$305,$D$6:$D$305,D247)),IF(H247&gt;0,1/COUNTIFS($D$6:$D$305,D247,$H$6:$H$305,"&gt;0"),0)))</f>
      </c>
      <c r="BX247" s="37">
        <f>IF(B247="","",IF(BP247=0,0,INDEX(COSTOS_FIJOS!$G$40:$AD$40,BP247))*BW247)</f>
      </c>
      <c r="BY247" s="72">
        <f>IF(B247="","",IF(Metodo_Prorrateo="KG",IF(SUMIFS($I$6:$I$305,$D$6:$D$305,D247)=0,0,I247/SUMIFS($I$6:$I$305,$D$6:$D$305,D247)),IF(I247&gt;0,1/COUNTIFS($D$6:$D$305,D247,$I$6:$I$305,"&gt;0"),0)))</f>
      </c>
      <c r="BZ247" s="37">
        <f>IF(B247="","",IF(BP247=0,0,INDEX(COSTOS_FIJOS!$G$41:$AD$41,BP247))*BY247)</f>
      </c>
      <c r="CA247" s="70">
        <f>IF(B247="","",BT247+BV247+BX247+BZ247)</f>
      </c>
      <c r="CB247" s="37">
        <f>IF(B247="","",Q247*Imp_Ventas_Serv)</f>
      </c>
      <c r="CC247" s="37">
        <f>IF(B247="","",Q247*Contrib_Territorial)</f>
      </c>
      <c r="CD247" s="70">
        <f>IF(B247="","",BM247-CA247-CB247-CC247)</f>
      </c>
      <c r="CE247" s="37">
        <f>IF(B247="","",MAX(0,CD247)*Imp_Utilidades)</f>
      </c>
      <c r="CF247" s="70">
        <f>IF(B247="","",CD247-CE247)</f>
      </c>
      <c r="CG247" s="72">
        <f>IF(B247="","",IF(Q247=0,0,CF247/Q247))</f>
      </c>
      <c r="CH247" s="73">
        <f>IF(B247="","",IF(J247=0,0,(BL247+CA247+CB247+CC247)/J247))</f>
      </c>
      <c r="CI247" s="73">
        <f>IF(B247="","",IF(J247=0,0,Q247/J247))</f>
      </c>
      <c r="CJ247" s="73">
        <f>IF(B247="","",IF(J247=0,0,CD247/J247))</f>
      </c>
      <c r="CK247" s="37">
        <f>IF(B247="","",Y247+AE247+BK247+BT247)</f>
      </c>
      <c r="CL247" s="37">
        <f>IF(B247="","",IF(J247=0,0,(M247+P247*G247/J247)*(1-Pct_Reclamaciones-Pct_Banco-Imp_Ventas_Serv-Contrib_Territorial)-AI247-BE247-BV247-CK247*G247/J247))</f>
      </c>
      <c r="CM247" s="37">
        <f>IF(B247="","",IF(J247=0,0,(N247+P247*H247/J247)*(1-Pct_Reclamaciones-Pct_Banco-Imp_Ventas_Serv-Contrib_Territorial)-AS247-BF247-BX247-CK247*H247/J247))</f>
      </c>
      <c r="CN247" s="37">
        <f>IF(B247="","",IF(J247=0,0,(O247+P247*I247/J247)*(1-Pct_Reclamaciones-Pct_Banco-Imp_Ventas_Serv-Contrib_Territorial)-BC247-BG247-BZ247-CK247*I247/J247))</f>
      </c>
      <c r="CO247" s="37">
        <f>IF(B247="","",IF(J247=0,0,ROUND(CD247-CL247-CM247-CN247,4)))</f>
      </c>
      <c r="CP247" s="71">
        <f>IF(B247="","",T247+AG247+AK247+AM247+AU247+AW247)</f>
      </c>
      <c r="CQ247" s="71">
        <f>IF(B247="","",U247+AH247+AL247+AN247+AV247+AX247)</f>
      </c>
      <c r="CR247" s="72">
        <f>IF(B247="","",IF(CP247=0,0,CQ247/CP247-1))</f>
      </c>
      <c r="CS247" s="60">
        <f>IF(B247="","",IF(ENTRADA!$Y247="","",ENTRADA!$Y247-C247))</f>
      </c>
      <c r="CT247" s="66">
        <f>IF(B247="","",IF(ENTRADA!$C247="","Falta fecha. ","")&amp;IF(BP247=0,"Mes fuera del rango de COSTOS_FIJOS. ","")&amp;IF(J247=0,"Sin kg. ","")&amp;IF(E247="","Falta transitaria. ","")&amp;IF(AND(T247&gt;0,U247/T247-1&gt;Tolerancia_Comb),"Combustible al puerto "&amp;TEXT(U247/T247-1,"+0%")&amp;" sobre norma. ","")&amp;IF(AND(AG247&gt;0,AH247/AG247-1&gt;Tolerancia_Comb),"Combustible distribución Occidente "&amp;TEXT(AH247/AG247-1,"+0%")&amp;" sobre norma. ","")&amp;IF(AND(AK247&gt;0,AL247/AK247-1&gt;Tolerancia_Comb),"Combustible traslado Centro "&amp;TEXT(AL247/AK247-1,"+0%")&amp;" sobre norma. ","")&amp;IF(AND(AM247&gt;0,AN247/AM247-1&gt;Tolerancia_Comb),"Combustible distribución Centro "&amp;TEXT(AN247/AM247-1,"+0%")&amp;" sobre norma. ","")&amp;IF(AND(AU247&gt;0,AV247/AU247-1&gt;Tolerancia_Comb),"Combustible traslado Oriente "&amp;TEXT(AV247/AU247-1,"+0%")&amp;" sobre norma. ","")&amp;IF(AND(AW247&gt;0,AX247/AW247-1&gt;Tolerancia_Comb),"Combustible distribución Oriente "&amp;TEXT(AX247/AW247-1,"+0%")&amp;" sobre norma. ","")&amp;IF(AND(ENTRADA!$C247&lt;&gt;"",C247&lt;PRECIOS!$A$6),"Fecha anterior a la 1ª vigencia de precios. ","")&amp;IF(CD247&lt;0,"Contenedor con pérdida. ",""))</f>
      </c>
    </row>
    <row r="248">
      <c r="A248" s="60">
        <f>IF(B248="","",ROW()-5)</f>
      </c>
      <c r="B248" s="63">
        <f>IF(ENTRADA!$B248="","",ENTRADA!$B248)</f>
      </c>
      <c r="C248" s="64">
        <f>IF(B248="","",ENTRADA!$C248)</f>
      </c>
      <c r="D248" s="65">
        <f>IF(B248="","",DATE(YEAR(C248),MONTH(C248),1))</f>
      </c>
      <c r="E248" s="66">
        <f>IF(B248="","",ENTRADA!$D248&amp;"")</f>
      </c>
      <c r="F248" s="66">
        <f>IF(B248="","",ENTRADA!$Z248&amp;"")</f>
      </c>
      <c r="G248" s="67">
        <f>IF(B248="","",N(ENTRADA!$G248))</f>
      </c>
      <c r="H248" s="67">
        <f>IF(B248="","",N(ENTRADA!$H248))</f>
      </c>
      <c r="I248" s="67">
        <f>IF(B248="","",N(ENTRADA!$I248))</f>
      </c>
      <c r="J248" s="68">
        <f>IF(B248="","",G248+H248+I248)</f>
      </c>
      <c r="K248" s="60">
        <f>IF(B248="","",IFERROR(MATCH(SUMPRODUCT(MAX((PRECIOS!$A$6:$A$55&lt;=C248)*PRECIOS!$A$6:$A$55)),PRECIOS!$A$6:$A$55,0),1))</f>
      </c>
      <c r="L248" s="69">
        <f>IF(B248="","",INDEX(PRECIOS!$A$6:$A$55,K248))</f>
      </c>
      <c r="M248" s="37">
        <f>IF(B248="","",G248*INDEX(PRECIOS!$B$6:$B$55,K248))</f>
      </c>
      <c r="N248" s="37">
        <f>IF(B248="","",H248*INDEX(PRECIOS!$C$6:$C$55,K248))</f>
      </c>
      <c r="O248" s="37">
        <f>IF(B248="","",I248*INDEX(PRECIOS!$D$6:$D$55,K248))</f>
      </c>
      <c r="P248" s="37">
        <f>IF(B248="","",N(ENTRADA!$X248))</f>
      </c>
      <c r="Q248" s="70">
        <f>IF(B248="","",M248+N248+O248+P248)</f>
      </c>
      <c r="R248" s="71">
        <f>IF(B248="","",IF(ENTRADA!$J248="",Std_Viajes_Puerto,ENTRADA!$J248))</f>
      </c>
      <c r="S248" s="37">
        <f>IF(B248="","",R248*INDEX(PRECIOS!$F$6:$F$55,K248))</f>
      </c>
      <c r="T248" s="71">
        <f>IF(B248="","",R248*Litros_Puerto_Viaje)</f>
      </c>
      <c r="U248" s="71">
        <f>IF(B248="","",IF(ENTRADA!$K248="",T248,ENTRADA!$K248))</f>
      </c>
      <c r="V248" s="37">
        <f>IF(B248="","",U248*INDEX(PRECIOS!$E$6:$E$55,K248))</f>
      </c>
      <c r="W248" s="37">
        <f>IF(B248="","",IF(ENTRADA!$L248="",R248*INDEX(PRECIOS!$G$6:$G$55,K248),ENTRADA!$L248))</f>
      </c>
      <c r="X248" s="37">
        <f>IF(B248="","",R248*Km_Puerto_Viaje*INDEX(PRECIOS!$N$6:$N$55,K248))</f>
      </c>
      <c r="Y248" s="70">
        <f>IF(B248="","",S248+V248+W248+X248)</f>
      </c>
      <c r="Z248" s="71">
        <f>IF(B248="","",IF(J248=0,0,ROUNDUP(J248/Rend_Desagrupe,0)))</f>
      </c>
      <c r="AA248" s="71">
        <f>IF(B248="","",IF(ENTRADA!$M248="",Z248,ENTRADA!$M248))</f>
      </c>
      <c r="AB248" s="37">
        <f>IF(B248="","",AA248*INDEX(PRECIOS!$H$6:$H$55,K248))</f>
      </c>
      <c r="AC248" s="37">
        <f>IF(B248="","",IF(E248="ENCI",INDEX(PRECIOS!$J$6:$J$55,K248),IF(E248="A.V",INDEX(PRECIOS!$K$6:$K$55,K248),0)))</f>
      </c>
      <c r="AD248" s="37">
        <f>IF(B248="","",N(ENTRADA!$N248))</f>
      </c>
      <c r="AE248" s="70">
        <f>IF(B248="","",AB248+AC248+AD248)</f>
      </c>
      <c r="AF248" s="71">
        <f>IF(B248="","",IF(G248=0,0,ROUNDUP(G248/Cap_Camion_OCC,0)))</f>
      </c>
      <c r="AG248" s="71">
        <f>IF(B248="","",AF248*L_Dist_OCC)</f>
      </c>
      <c r="AH248" s="71">
        <f>IF(B248="","",IF(ENTRADA!$O248="",AG248,ENTRADA!$O248))</f>
      </c>
      <c r="AI248" s="37">
        <f>IF(B248="","",AH248*INDEX(PRECIOS!$E$6:$E$55,K248))</f>
      </c>
      <c r="AJ248" s="71">
        <f>IF(B248="","",IF(H248=0,0,ROUNDUP(H248/Cap_Camion_CEN,0)))</f>
      </c>
      <c r="AK248" s="71">
        <f>IF(B248="","",AJ248*L_Tras_CEN)</f>
      </c>
      <c r="AL248" s="71">
        <f>IF(B248="","",IF(ENTRADA!$P248="",AK248,ENTRADA!$P248))</f>
      </c>
      <c r="AM248" s="71">
        <f>IF(B248="","",AJ248*L_Dist_CEN)</f>
      </c>
      <c r="AN248" s="71">
        <f>IF(B248="","",IF(ENTRADA!$Q248="",AM248,ENTRADA!$Q248))</f>
      </c>
      <c r="AO248" s="37">
        <f>IF(B248="","",(AL248+AN248)*INDEX(PRECIOS!$E$6:$E$55,K248))</f>
      </c>
      <c r="AP248" s="71">
        <f>IF(B248="","",IF(H248=0,0,ROUNDUP(H248/Rend_Desagrupe_CT,0)))</f>
      </c>
      <c r="AQ248" s="71">
        <f>IF(B248="","",IF(ENTRADA!$R248="",AP248,ENTRADA!$R248))</f>
      </c>
      <c r="AR248" s="37">
        <f>IF(B248="","",AQ248*INDEX(PRECIOS!$I$6:$I$55,K248))</f>
      </c>
      <c r="AS248" s="37">
        <f>IF(B248="","",AO248+AR248)</f>
      </c>
      <c r="AT248" s="71">
        <f>IF(B248="","",IF(I248=0,0,ROUNDUP(I248/Cap_Camion_ORI,0)))</f>
      </c>
      <c r="AU248" s="71">
        <f>IF(B248="","",AT248*L_Tras_ORI)</f>
      </c>
      <c r="AV248" s="71">
        <f>IF(B248="","",IF(ENTRADA!$S248="",AU248,ENTRADA!$S248))</f>
      </c>
      <c r="AW248" s="71">
        <f>IF(B248="","",AT248*L_Dist_ORI)</f>
      </c>
      <c r="AX248" s="71">
        <f>IF(B248="","",IF(ENTRADA!$T248="",AW248,ENTRADA!$T248))</f>
      </c>
      <c r="AY248" s="37">
        <f>IF(B248="","",(AV248+AX248)*INDEX(PRECIOS!$E$6:$E$55,K248))</f>
      </c>
      <c r="AZ248" s="71">
        <f>IF(B248="","",IF(I248=0,0,ROUNDUP(I248/Rend_Desagrupe_CT,0)))</f>
      </c>
      <c r="BA248" s="71">
        <f>IF(B248="","",IF(ENTRADA!$U248="",AZ248,ENTRADA!$U248))</f>
      </c>
      <c r="BB248" s="37">
        <f>IF(B248="","",BA248*INDEX(PRECIOS!$I$6:$I$55,K248))</f>
      </c>
      <c r="BC248" s="37">
        <f>IF(B248="","",AY248+BB248)</f>
      </c>
      <c r="BD248" s="70">
        <f>IF(B248="","",AI248+AS248+BC248)</f>
      </c>
      <c r="BE248" s="37">
        <f>IF(B248="","",IF(Base_Comision="% DEL INGRESO",M248*INDEX(PRECIOS!$L$6:$L$55,K248),G248*INDEX(PRECIOS!$M$6:$M$55,K248)))</f>
      </c>
      <c r="BF248" s="37">
        <f>IF(B248="","",IF(Base_Comision="% DEL INGRESO",N248*INDEX(PRECIOS!$L$6:$L$55,K248),H248*INDEX(PRECIOS!$M$6:$M$55,K248)))</f>
      </c>
      <c r="BG248" s="37">
        <f>IF(B248="","",IF(Base_Comision="% DEL INGRESO",O248*INDEX(PRECIOS!$L$6:$L$55,K248),I248*INDEX(PRECIOS!$M$6:$M$55,K248)))</f>
      </c>
      <c r="BH248" s="70">
        <f>IF(B248="","",BE248+BF248+BG248)</f>
      </c>
      <c r="BI248" s="37">
        <f>IF(B248="","",Q248*Pct_Reclamaciones)</f>
      </c>
      <c r="BJ248" s="37">
        <f>IF(B248="","",Q248*Pct_Banco)</f>
      </c>
      <c r="BK248" s="37">
        <f>IF(B248="","",N(ENTRADA!$V248))</f>
      </c>
      <c r="BL248" s="70">
        <f>IF(B248="","",Y248+AE248+BD248+BH248+BI248+BJ248+BK248)</f>
      </c>
      <c r="BM248" s="70">
        <f>IF(B248="","",Q248-BL248)</f>
      </c>
      <c r="BN248" s="72">
        <f>IF(B248="","",IF(Q248=0,0,BM248/Q248))</f>
      </c>
      <c r="BO248" s="73">
        <f>IF(B248="","",IF(J248=0,0,BM248/J248))</f>
      </c>
      <c r="BP248" s="60">
        <f>IF(B248="","",IFERROR(MATCH(D248,COSTOS_FIJOS!$G$5:$AD$5,0),0))</f>
      </c>
      <c r="BQ248" s="60">
        <f>IF(B248="","",COUNTIFS($D$6:$D$305,D248))</f>
      </c>
      <c r="BR248" s="67">
        <f>IF(B248="","",SUMIFS($J$6:$J$305,$D$6:$D$305,D248))</f>
      </c>
      <c r="BS248" s="72">
        <f>IF(B248="","",IF(Metodo_Prorrateo="KG",IF(BR248=0,0,J248/BR248),1/BQ248))</f>
      </c>
      <c r="BT248" s="37">
        <f>IF(B248="","",IF(BP248=0,0,INDEX(COSTOS_FIJOS!$G$38:$AD$38,BP248))*BS248)</f>
      </c>
      <c r="BU248" s="72">
        <f>IF(B248="","",IF(Metodo_Prorrateo="KG",IF(SUMIFS($G$6:$G$305,$D$6:$D$305,D248)=0,0,G248/SUMIFS($G$6:$G$305,$D$6:$D$305,D248)),IF(G248&gt;0,1/COUNTIFS($D$6:$D$305,D248,$G$6:$G$305,"&gt;0"),0)))</f>
      </c>
      <c r="BV248" s="37">
        <f>IF(B248="","",IF(BP248=0,0,INDEX(COSTOS_FIJOS!$G$39:$AD$39,BP248))*BU248)</f>
      </c>
      <c r="BW248" s="72">
        <f>IF(B248="","",IF(Metodo_Prorrateo="KG",IF(SUMIFS($H$6:$H$305,$D$6:$D$305,D248)=0,0,H248/SUMIFS($H$6:$H$305,$D$6:$D$305,D248)),IF(H248&gt;0,1/COUNTIFS($D$6:$D$305,D248,$H$6:$H$305,"&gt;0"),0)))</f>
      </c>
      <c r="BX248" s="37">
        <f>IF(B248="","",IF(BP248=0,0,INDEX(COSTOS_FIJOS!$G$40:$AD$40,BP248))*BW248)</f>
      </c>
      <c r="BY248" s="72">
        <f>IF(B248="","",IF(Metodo_Prorrateo="KG",IF(SUMIFS($I$6:$I$305,$D$6:$D$305,D248)=0,0,I248/SUMIFS($I$6:$I$305,$D$6:$D$305,D248)),IF(I248&gt;0,1/COUNTIFS($D$6:$D$305,D248,$I$6:$I$305,"&gt;0"),0)))</f>
      </c>
      <c r="BZ248" s="37">
        <f>IF(B248="","",IF(BP248=0,0,INDEX(COSTOS_FIJOS!$G$41:$AD$41,BP248))*BY248)</f>
      </c>
      <c r="CA248" s="70">
        <f>IF(B248="","",BT248+BV248+BX248+BZ248)</f>
      </c>
      <c r="CB248" s="37">
        <f>IF(B248="","",Q248*Imp_Ventas_Serv)</f>
      </c>
      <c r="CC248" s="37">
        <f>IF(B248="","",Q248*Contrib_Territorial)</f>
      </c>
      <c r="CD248" s="70">
        <f>IF(B248="","",BM248-CA248-CB248-CC248)</f>
      </c>
      <c r="CE248" s="37">
        <f>IF(B248="","",MAX(0,CD248)*Imp_Utilidades)</f>
      </c>
      <c r="CF248" s="70">
        <f>IF(B248="","",CD248-CE248)</f>
      </c>
      <c r="CG248" s="72">
        <f>IF(B248="","",IF(Q248=0,0,CF248/Q248))</f>
      </c>
      <c r="CH248" s="73">
        <f>IF(B248="","",IF(J248=0,0,(BL248+CA248+CB248+CC248)/J248))</f>
      </c>
      <c r="CI248" s="73">
        <f>IF(B248="","",IF(J248=0,0,Q248/J248))</f>
      </c>
      <c r="CJ248" s="73">
        <f>IF(B248="","",IF(J248=0,0,CD248/J248))</f>
      </c>
      <c r="CK248" s="37">
        <f>IF(B248="","",Y248+AE248+BK248+BT248)</f>
      </c>
      <c r="CL248" s="37">
        <f>IF(B248="","",IF(J248=0,0,(M248+P248*G248/J248)*(1-Pct_Reclamaciones-Pct_Banco-Imp_Ventas_Serv-Contrib_Territorial)-AI248-BE248-BV248-CK248*G248/J248))</f>
      </c>
      <c r="CM248" s="37">
        <f>IF(B248="","",IF(J248=0,0,(N248+P248*H248/J248)*(1-Pct_Reclamaciones-Pct_Banco-Imp_Ventas_Serv-Contrib_Territorial)-AS248-BF248-BX248-CK248*H248/J248))</f>
      </c>
      <c r="CN248" s="37">
        <f>IF(B248="","",IF(J248=0,0,(O248+P248*I248/J248)*(1-Pct_Reclamaciones-Pct_Banco-Imp_Ventas_Serv-Contrib_Territorial)-BC248-BG248-BZ248-CK248*I248/J248))</f>
      </c>
      <c r="CO248" s="37">
        <f>IF(B248="","",IF(J248=0,0,ROUND(CD248-CL248-CM248-CN248,4)))</f>
      </c>
      <c r="CP248" s="71">
        <f>IF(B248="","",T248+AG248+AK248+AM248+AU248+AW248)</f>
      </c>
      <c r="CQ248" s="71">
        <f>IF(B248="","",U248+AH248+AL248+AN248+AV248+AX248)</f>
      </c>
      <c r="CR248" s="72">
        <f>IF(B248="","",IF(CP248=0,0,CQ248/CP248-1))</f>
      </c>
      <c r="CS248" s="60">
        <f>IF(B248="","",IF(ENTRADA!$Y248="","",ENTRADA!$Y248-C248))</f>
      </c>
      <c r="CT248" s="66">
        <f>IF(B248="","",IF(ENTRADA!$C248="","Falta fecha. ","")&amp;IF(BP248=0,"Mes fuera del rango de COSTOS_FIJOS. ","")&amp;IF(J248=0,"Sin kg. ","")&amp;IF(E248="","Falta transitaria. ","")&amp;IF(AND(T248&gt;0,U248/T248-1&gt;Tolerancia_Comb),"Combustible al puerto "&amp;TEXT(U248/T248-1,"+0%")&amp;" sobre norma. ","")&amp;IF(AND(AG248&gt;0,AH248/AG248-1&gt;Tolerancia_Comb),"Combustible distribución Occidente "&amp;TEXT(AH248/AG248-1,"+0%")&amp;" sobre norma. ","")&amp;IF(AND(AK248&gt;0,AL248/AK248-1&gt;Tolerancia_Comb),"Combustible traslado Centro "&amp;TEXT(AL248/AK248-1,"+0%")&amp;" sobre norma. ","")&amp;IF(AND(AM248&gt;0,AN248/AM248-1&gt;Tolerancia_Comb),"Combustible distribución Centro "&amp;TEXT(AN248/AM248-1,"+0%")&amp;" sobre norma. ","")&amp;IF(AND(AU248&gt;0,AV248/AU248-1&gt;Tolerancia_Comb),"Combustible traslado Oriente "&amp;TEXT(AV248/AU248-1,"+0%")&amp;" sobre norma. ","")&amp;IF(AND(AW248&gt;0,AX248/AW248-1&gt;Tolerancia_Comb),"Combustible distribución Oriente "&amp;TEXT(AX248/AW248-1,"+0%")&amp;" sobre norma. ","")&amp;IF(AND(ENTRADA!$C248&lt;&gt;"",C248&lt;PRECIOS!$A$6),"Fecha anterior a la 1ª vigencia de precios. ","")&amp;IF(CD248&lt;0,"Contenedor con pérdida. ",""))</f>
      </c>
    </row>
    <row r="249">
      <c r="A249" s="60">
        <f>IF(B249="","",ROW()-5)</f>
      </c>
      <c r="B249" s="63">
        <f>IF(ENTRADA!$B249="","",ENTRADA!$B249)</f>
      </c>
      <c r="C249" s="64">
        <f>IF(B249="","",ENTRADA!$C249)</f>
      </c>
      <c r="D249" s="65">
        <f>IF(B249="","",DATE(YEAR(C249),MONTH(C249),1))</f>
      </c>
      <c r="E249" s="66">
        <f>IF(B249="","",ENTRADA!$D249&amp;"")</f>
      </c>
      <c r="F249" s="66">
        <f>IF(B249="","",ENTRADA!$Z249&amp;"")</f>
      </c>
      <c r="G249" s="67">
        <f>IF(B249="","",N(ENTRADA!$G249))</f>
      </c>
      <c r="H249" s="67">
        <f>IF(B249="","",N(ENTRADA!$H249))</f>
      </c>
      <c r="I249" s="67">
        <f>IF(B249="","",N(ENTRADA!$I249))</f>
      </c>
      <c r="J249" s="68">
        <f>IF(B249="","",G249+H249+I249)</f>
      </c>
      <c r="K249" s="60">
        <f>IF(B249="","",IFERROR(MATCH(SUMPRODUCT(MAX((PRECIOS!$A$6:$A$55&lt;=C249)*PRECIOS!$A$6:$A$55)),PRECIOS!$A$6:$A$55,0),1))</f>
      </c>
      <c r="L249" s="69">
        <f>IF(B249="","",INDEX(PRECIOS!$A$6:$A$55,K249))</f>
      </c>
      <c r="M249" s="37">
        <f>IF(B249="","",G249*INDEX(PRECIOS!$B$6:$B$55,K249))</f>
      </c>
      <c r="N249" s="37">
        <f>IF(B249="","",H249*INDEX(PRECIOS!$C$6:$C$55,K249))</f>
      </c>
      <c r="O249" s="37">
        <f>IF(B249="","",I249*INDEX(PRECIOS!$D$6:$D$55,K249))</f>
      </c>
      <c r="P249" s="37">
        <f>IF(B249="","",N(ENTRADA!$X249))</f>
      </c>
      <c r="Q249" s="70">
        <f>IF(B249="","",M249+N249+O249+P249)</f>
      </c>
      <c r="R249" s="71">
        <f>IF(B249="","",IF(ENTRADA!$J249="",Std_Viajes_Puerto,ENTRADA!$J249))</f>
      </c>
      <c r="S249" s="37">
        <f>IF(B249="","",R249*INDEX(PRECIOS!$F$6:$F$55,K249))</f>
      </c>
      <c r="T249" s="71">
        <f>IF(B249="","",R249*Litros_Puerto_Viaje)</f>
      </c>
      <c r="U249" s="71">
        <f>IF(B249="","",IF(ENTRADA!$K249="",T249,ENTRADA!$K249))</f>
      </c>
      <c r="V249" s="37">
        <f>IF(B249="","",U249*INDEX(PRECIOS!$E$6:$E$55,K249))</f>
      </c>
      <c r="W249" s="37">
        <f>IF(B249="","",IF(ENTRADA!$L249="",R249*INDEX(PRECIOS!$G$6:$G$55,K249),ENTRADA!$L249))</f>
      </c>
      <c r="X249" s="37">
        <f>IF(B249="","",R249*Km_Puerto_Viaje*INDEX(PRECIOS!$N$6:$N$55,K249))</f>
      </c>
      <c r="Y249" s="70">
        <f>IF(B249="","",S249+V249+W249+X249)</f>
      </c>
      <c r="Z249" s="71">
        <f>IF(B249="","",IF(J249=0,0,ROUNDUP(J249/Rend_Desagrupe,0)))</f>
      </c>
      <c r="AA249" s="71">
        <f>IF(B249="","",IF(ENTRADA!$M249="",Z249,ENTRADA!$M249))</f>
      </c>
      <c r="AB249" s="37">
        <f>IF(B249="","",AA249*INDEX(PRECIOS!$H$6:$H$55,K249))</f>
      </c>
      <c r="AC249" s="37">
        <f>IF(B249="","",IF(E249="ENCI",INDEX(PRECIOS!$J$6:$J$55,K249),IF(E249="A.V",INDEX(PRECIOS!$K$6:$K$55,K249),0)))</f>
      </c>
      <c r="AD249" s="37">
        <f>IF(B249="","",N(ENTRADA!$N249))</f>
      </c>
      <c r="AE249" s="70">
        <f>IF(B249="","",AB249+AC249+AD249)</f>
      </c>
      <c r="AF249" s="71">
        <f>IF(B249="","",IF(G249=0,0,ROUNDUP(G249/Cap_Camion_OCC,0)))</f>
      </c>
      <c r="AG249" s="71">
        <f>IF(B249="","",AF249*L_Dist_OCC)</f>
      </c>
      <c r="AH249" s="71">
        <f>IF(B249="","",IF(ENTRADA!$O249="",AG249,ENTRADA!$O249))</f>
      </c>
      <c r="AI249" s="37">
        <f>IF(B249="","",AH249*INDEX(PRECIOS!$E$6:$E$55,K249))</f>
      </c>
      <c r="AJ249" s="71">
        <f>IF(B249="","",IF(H249=0,0,ROUNDUP(H249/Cap_Camion_CEN,0)))</f>
      </c>
      <c r="AK249" s="71">
        <f>IF(B249="","",AJ249*L_Tras_CEN)</f>
      </c>
      <c r="AL249" s="71">
        <f>IF(B249="","",IF(ENTRADA!$P249="",AK249,ENTRADA!$P249))</f>
      </c>
      <c r="AM249" s="71">
        <f>IF(B249="","",AJ249*L_Dist_CEN)</f>
      </c>
      <c r="AN249" s="71">
        <f>IF(B249="","",IF(ENTRADA!$Q249="",AM249,ENTRADA!$Q249))</f>
      </c>
      <c r="AO249" s="37">
        <f>IF(B249="","",(AL249+AN249)*INDEX(PRECIOS!$E$6:$E$55,K249))</f>
      </c>
      <c r="AP249" s="71">
        <f>IF(B249="","",IF(H249=0,0,ROUNDUP(H249/Rend_Desagrupe_CT,0)))</f>
      </c>
      <c r="AQ249" s="71">
        <f>IF(B249="","",IF(ENTRADA!$R249="",AP249,ENTRADA!$R249))</f>
      </c>
      <c r="AR249" s="37">
        <f>IF(B249="","",AQ249*INDEX(PRECIOS!$I$6:$I$55,K249))</f>
      </c>
      <c r="AS249" s="37">
        <f>IF(B249="","",AO249+AR249)</f>
      </c>
      <c r="AT249" s="71">
        <f>IF(B249="","",IF(I249=0,0,ROUNDUP(I249/Cap_Camion_ORI,0)))</f>
      </c>
      <c r="AU249" s="71">
        <f>IF(B249="","",AT249*L_Tras_ORI)</f>
      </c>
      <c r="AV249" s="71">
        <f>IF(B249="","",IF(ENTRADA!$S249="",AU249,ENTRADA!$S249))</f>
      </c>
      <c r="AW249" s="71">
        <f>IF(B249="","",AT249*L_Dist_ORI)</f>
      </c>
      <c r="AX249" s="71">
        <f>IF(B249="","",IF(ENTRADA!$T249="",AW249,ENTRADA!$T249))</f>
      </c>
      <c r="AY249" s="37">
        <f>IF(B249="","",(AV249+AX249)*INDEX(PRECIOS!$E$6:$E$55,K249))</f>
      </c>
      <c r="AZ249" s="71">
        <f>IF(B249="","",IF(I249=0,0,ROUNDUP(I249/Rend_Desagrupe_CT,0)))</f>
      </c>
      <c r="BA249" s="71">
        <f>IF(B249="","",IF(ENTRADA!$U249="",AZ249,ENTRADA!$U249))</f>
      </c>
      <c r="BB249" s="37">
        <f>IF(B249="","",BA249*INDEX(PRECIOS!$I$6:$I$55,K249))</f>
      </c>
      <c r="BC249" s="37">
        <f>IF(B249="","",AY249+BB249)</f>
      </c>
      <c r="BD249" s="70">
        <f>IF(B249="","",AI249+AS249+BC249)</f>
      </c>
      <c r="BE249" s="37">
        <f>IF(B249="","",IF(Base_Comision="% DEL INGRESO",M249*INDEX(PRECIOS!$L$6:$L$55,K249),G249*INDEX(PRECIOS!$M$6:$M$55,K249)))</f>
      </c>
      <c r="BF249" s="37">
        <f>IF(B249="","",IF(Base_Comision="% DEL INGRESO",N249*INDEX(PRECIOS!$L$6:$L$55,K249),H249*INDEX(PRECIOS!$M$6:$M$55,K249)))</f>
      </c>
      <c r="BG249" s="37">
        <f>IF(B249="","",IF(Base_Comision="% DEL INGRESO",O249*INDEX(PRECIOS!$L$6:$L$55,K249),I249*INDEX(PRECIOS!$M$6:$M$55,K249)))</f>
      </c>
      <c r="BH249" s="70">
        <f>IF(B249="","",BE249+BF249+BG249)</f>
      </c>
      <c r="BI249" s="37">
        <f>IF(B249="","",Q249*Pct_Reclamaciones)</f>
      </c>
      <c r="BJ249" s="37">
        <f>IF(B249="","",Q249*Pct_Banco)</f>
      </c>
      <c r="BK249" s="37">
        <f>IF(B249="","",N(ENTRADA!$V249))</f>
      </c>
      <c r="BL249" s="70">
        <f>IF(B249="","",Y249+AE249+BD249+BH249+BI249+BJ249+BK249)</f>
      </c>
      <c r="BM249" s="70">
        <f>IF(B249="","",Q249-BL249)</f>
      </c>
      <c r="BN249" s="72">
        <f>IF(B249="","",IF(Q249=0,0,BM249/Q249))</f>
      </c>
      <c r="BO249" s="73">
        <f>IF(B249="","",IF(J249=0,0,BM249/J249))</f>
      </c>
      <c r="BP249" s="60">
        <f>IF(B249="","",IFERROR(MATCH(D249,COSTOS_FIJOS!$G$5:$AD$5,0),0))</f>
      </c>
      <c r="BQ249" s="60">
        <f>IF(B249="","",COUNTIFS($D$6:$D$305,D249))</f>
      </c>
      <c r="BR249" s="67">
        <f>IF(B249="","",SUMIFS($J$6:$J$305,$D$6:$D$305,D249))</f>
      </c>
      <c r="BS249" s="72">
        <f>IF(B249="","",IF(Metodo_Prorrateo="KG",IF(BR249=0,0,J249/BR249),1/BQ249))</f>
      </c>
      <c r="BT249" s="37">
        <f>IF(B249="","",IF(BP249=0,0,INDEX(COSTOS_FIJOS!$G$38:$AD$38,BP249))*BS249)</f>
      </c>
      <c r="BU249" s="72">
        <f>IF(B249="","",IF(Metodo_Prorrateo="KG",IF(SUMIFS($G$6:$G$305,$D$6:$D$305,D249)=0,0,G249/SUMIFS($G$6:$G$305,$D$6:$D$305,D249)),IF(G249&gt;0,1/COUNTIFS($D$6:$D$305,D249,$G$6:$G$305,"&gt;0"),0)))</f>
      </c>
      <c r="BV249" s="37">
        <f>IF(B249="","",IF(BP249=0,0,INDEX(COSTOS_FIJOS!$G$39:$AD$39,BP249))*BU249)</f>
      </c>
      <c r="BW249" s="72">
        <f>IF(B249="","",IF(Metodo_Prorrateo="KG",IF(SUMIFS($H$6:$H$305,$D$6:$D$305,D249)=0,0,H249/SUMIFS($H$6:$H$305,$D$6:$D$305,D249)),IF(H249&gt;0,1/COUNTIFS($D$6:$D$305,D249,$H$6:$H$305,"&gt;0"),0)))</f>
      </c>
      <c r="BX249" s="37">
        <f>IF(B249="","",IF(BP249=0,0,INDEX(COSTOS_FIJOS!$G$40:$AD$40,BP249))*BW249)</f>
      </c>
      <c r="BY249" s="72">
        <f>IF(B249="","",IF(Metodo_Prorrateo="KG",IF(SUMIFS($I$6:$I$305,$D$6:$D$305,D249)=0,0,I249/SUMIFS($I$6:$I$305,$D$6:$D$305,D249)),IF(I249&gt;0,1/COUNTIFS($D$6:$D$305,D249,$I$6:$I$305,"&gt;0"),0)))</f>
      </c>
      <c r="BZ249" s="37">
        <f>IF(B249="","",IF(BP249=0,0,INDEX(COSTOS_FIJOS!$G$41:$AD$41,BP249))*BY249)</f>
      </c>
      <c r="CA249" s="70">
        <f>IF(B249="","",BT249+BV249+BX249+BZ249)</f>
      </c>
      <c r="CB249" s="37">
        <f>IF(B249="","",Q249*Imp_Ventas_Serv)</f>
      </c>
      <c r="CC249" s="37">
        <f>IF(B249="","",Q249*Contrib_Territorial)</f>
      </c>
      <c r="CD249" s="70">
        <f>IF(B249="","",BM249-CA249-CB249-CC249)</f>
      </c>
      <c r="CE249" s="37">
        <f>IF(B249="","",MAX(0,CD249)*Imp_Utilidades)</f>
      </c>
      <c r="CF249" s="70">
        <f>IF(B249="","",CD249-CE249)</f>
      </c>
      <c r="CG249" s="72">
        <f>IF(B249="","",IF(Q249=0,0,CF249/Q249))</f>
      </c>
      <c r="CH249" s="73">
        <f>IF(B249="","",IF(J249=0,0,(BL249+CA249+CB249+CC249)/J249))</f>
      </c>
      <c r="CI249" s="73">
        <f>IF(B249="","",IF(J249=0,0,Q249/J249))</f>
      </c>
      <c r="CJ249" s="73">
        <f>IF(B249="","",IF(J249=0,0,CD249/J249))</f>
      </c>
      <c r="CK249" s="37">
        <f>IF(B249="","",Y249+AE249+BK249+BT249)</f>
      </c>
      <c r="CL249" s="37">
        <f>IF(B249="","",IF(J249=0,0,(M249+P249*G249/J249)*(1-Pct_Reclamaciones-Pct_Banco-Imp_Ventas_Serv-Contrib_Territorial)-AI249-BE249-BV249-CK249*G249/J249))</f>
      </c>
      <c r="CM249" s="37">
        <f>IF(B249="","",IF(J249=0,0,(N249+P249*H249/J249)*(1-Pct_Reclamaciones-Pct_Banco-Imp_Ventas_Serv-Contrib_Territorial)-AS249-BF249-BX249-CK249*H249/J249))</f>
      </c>
      <c r="CN249" s="37">
        <f>IF(B249="","",IF(J249=0,0,(O249+P249*I249/J249)*(1-Pct_Reclamaciones-Pct_Banco-Imp_Ventas_Serv-Contrib_Territorial)-BC249-BG249-BZ249-CK249*I249/J249))</f>
      </c>
      <c r="CO249" s="37">
        <f>IF(B249="","",IF(J249=0,0,ROUND(CD249-CL249-CM249-CN249,4)))</f>
      </c>
      <c r="CP249" s="71">
        <f>IF(B249="","",T249+AG249+AK249+AM249+AU249+AW249)</f>
      </c>
      <c r="CQ249" s="71">
        <f>IF(B249="","",U249+AH249+AL249+AN249+AV249+AX249)</f>
      </c>
      <c r="CR249" s="72">
        <f>IF(B249="","",IF(CP249=0,0,CQ249/CP249-1))</f>
      </c>
      <c r="CS249" s="60">
        <f>IF(B249="","",IF(ENTRADA!$Y249="","",ENTRADA!$Y249-C249))</f>
      </c>
      <c r="CT249" s="66">
        <f>IF(B249="","",IF(ENTRADA!$C249="","Falta fecha. ","")&amp;IF(BP249=0,"Mes fuera del rango de COSTOS_FIJOS. ","")&amp;IF(J249=0,"Sin kg. ","")&amp;IF(E249="","Falta transitaria. ","")&amp;IF(AND(T249&gt;0,U249/T249-1&gt;Tolerancia_Comb),"Combustible al puerto "&amp;TEXT(U249/T249-1,"+0%")&amp;" sobre norma. ","")&amp;IF(AND(AG249&gt;0,AH249/AG249-1&gt;Tolerancia_Comb),"Combustible distribución Occidente "&amp;TEXT(AH249/AG249-1,"+0%")&amp;" sobre norma. ","")&amp;IF(AND(AK249&gt;0,AL249/AK249-1&gt;Tolerancia_Comb),"Combustible traslado Centro "&amp;TEXT(AL249/AK249-1,"+0%")&amp;" sobre norma. ","")&amp;IF(AND(AM249&gt;0,AN249/AM249-1&gt;Tolerancia_Comb),"Combustible distribución Centro "&amp;TEXT(AN249/AM249-1,"+0%")&amp;" sobre norma. ","")&amp;IF(AND(AU249&gt;0,AV249/AU249-1&gt;Tolerancia_Comb),"Combustible traslado Oriente "&amp;TEXT(AV249/AU249-1,"+0%")&amp;" sobre norma. ","")&amp;IF(AND(AW249&gt;0,AX249/AW249-1&gt;Tolerancia_Comb),"Combustible distribución Oriente "&amp;TEXT(AX249/AW249-1,"+0%")&amp;" sobre norma. ","")&amp;IF(AND(ENTRADA!$C249&lt;&gt;"",C249&lt;PRECIOS!$A$6),"Fecha anterior a la 1ª vigencia de precios. ","")&amp;IF(CD249&lt;0,"Contenedor con pérdida. ",""))</f>
      </c>
    </row>
    <row r="250">
      <c r="A250" s="60">
        <f>IF(B250="","",ROW()-5)</f>
      </c>
      <c r="B250" s="63">
        <f>IF(ENTRADA!$B250="","",ENTRADA!$B250)</f>
      </c>
      <c r="C250" s="64">
        <f>IF(B250="","",ENTRADA!$C250)</f>
      </c>
      <c r="D250" s="65">
        <f>IF(B250="","",DATE(YEAR(C250),MONTH(C250),1))</f>
      </c>
      <c r="E250" s="66">
        <f>IF(B250="","",ENTRADA!$D250&amp;"")</f>
      </c>
      <c r="F250" s="66">
        <f>IF(B250="","",ENTRADA!$Z250&amp;"")</f>
      </c>
      <c r="G250" s="67">
        <f>IF(B250="","",N(ENTRADA!$G250))</f>
      </c>
      <c r="H250" s="67">
        <f>IF(B250="","",N(ENTRADA!$H250))</f>
      </c>
      <c r="I250" s="67">
        <f>IF(B250="","",N(ENTRADA!$I250))</f>
      </c>
      <c r="J250" s="68">
        <f>IF(B250="","",G250+H250+I250)</f>
      </c>
      <c r="K250" s="60">
        <f>IF(B250="","",IFERROR(MATCH(SUMPRODUCT(MAX((PRECIOS!$A$6:$A$55&lt;=C250)*PRECIOS!$A$6:$A$55)),PRECIOS!$A$6:$A$55,0),1))</f>
      </c>
      <c r="L250" s="69">
        <f>IF(B250="","",INDEX(PRECIOS!$A$6:$A$55,K250))</f>
      </c>
      <c r="M250" s="37">
        <f>IF(B250="","",G250*INDEX(PRECIOS!$B$6:$B$55,K250))</f>
      </c>
      <c r="N250" s="37">
        <f>IF(B250="","",H250*INDEX(PRECIOS!$C$6:$C$55,K250))</f>
      </c>
      <c r="O250" s="37">
        <f>IF(B250="","",I250*INDEX(PRECIOS!$D$6:$D$55,K250))</f>
      </c>
      <c r="P250" s="37">
        <f>IF(B250="","",N(ENTRADA!$X250))</f>
      </c>
      <c r="Q250" s="70">
        <f>IF(B250="","",M250+N250+O250+P250)</f>
      </c>
      <c r="R250" s="71">
        <f>IF(B250="","",IF(ENTRADA!$J250="",Std_Viajes_Puerto,ENTRADA!$J250))</f>
      </c>
      <c r="S250" s="37">
        <f>IF(B250="","",R250*INDEX(PRECIOS!$F$6:$F$55,K250))</f>
      </c>
      <c r="T250" s="71">
        <f>IF(B250="","",R250*Litros_Puerto_Viaje)</f>
      </c>
      <c r="U250" s="71">
        <f>IF(B250="","",IF(ENTRADA!$K250="",T250,ENTRADA!$K250))</f>
      </c>
      <c r="V250" s="37">
        <f>IF(B250="","",U250*INDEX(PRECIOS!$E$6:$E$55,K250))</f>
      </c>
      <c r="W250" s="37">
        <f>IF(B250="","",IF(ENTRADA!$L250="",R250*INDEX(PRECIOS!$G$6:$G$55,K250),ENTRADA!$L250))</f>
      </c>
      <c r="X250" s="37">
        <f>IF(B250="","",R250*Km_Puerto_Viaje*INDEX(PRECIOS!$N$6:$N$55,K250))</f>
      </c>
      <c r="Y250" s="70">
        <f>IF(B250="","",S250+V250+W250+X250)</f>
      </c>
      <c r="Z250" s="71">
        <f>IF(B250="","",IF(J250=0,0,ROUNDUP(J250/Rend_Desagrupe,0)))</f>
      </c>
      <c r="AA250" s="71">
        <f>IF(B250="","",IF(ENTRADA!$M250="",Z250,ENTRADA!$M250))</f>
      </c>
      <c r="AB250" s="37">
        <f>IF(B250="","",AA250*INDEX(PRECIOS!$H$6:$H$55,K250))</f>
      </c>
      <c r="AC250" s="37">
        <f>IF(B250="","",IF(E250="ENCI",INDEX(PRECIOS!$J$6:$J$55,K250),IF(E250="A.V",INDEX(PRECIOS!$K$6:$K$55,K250),0)))</f>
      </c>
      <c r="AD250" s="37">
        <f>IF(B250="","",N(ENTRADA!$N250))</f>
      </c>
      <c r="AE250" s="70">
        <f>IF(B250="","",AB250+AC250+AD250)</f>
      </c>
      <c r="AF250" s="71">
        <f>IF(B250="","",IF(G250=0,0,ROUNDUP(G250/Cap_Camion_OCC,0)))</f>
      </c>
      <c r="AG250" s="71">
        <f>IF(B250="","",AF250*L_Dist_OCC)</f>
      </c>
      <c r="AH250" s="71">
        <f>IF(B250="","",IF(ENTRADA!$O250="",AG250,ENTRADA!$O250))</f>
      </c>
      <c r="AI250" s="37">
        <f>IF(B250="","",AH250*INDEX(PRECIOS!$E$6:$E$55,K250))</f>
      </c>
      <c r="AJ250" s="71">
        <f>IF(B250="","",IF(H250=0,0,ROUNDUP(H250/Cap_Camion_CEN,0)))</f>
      </c>
      <c r="AK250" s="71">
        <f>IF(B250="","",AJ250*L_Tras_CEN)</f>
      </c>
      <c r="AL250" s="71">
        <f>IF(B250="","",IF(ENTRADA!$P250="",AK250,ENTRADA!$P250))</f>
      </c>
      <c r="AM250" s="71">
        <f>IF(B250="","",AJ250*L_Dist_CEN)</f>
      </c>
      <c r="AN250" s="71">
        <f>IF(B250="","",IF(ENTRADA!$Q250="",AM250,ENTRADA!$Q250))</f>
      </c>
      <c r="AO250" s="37">
        <f>IF(B250="","",(AL250+AN250)*INDEX(PRECIOS!$E$6:$E$55,K250))</f>
      </c>
      <c r="AP250" s="71">
        <f>IF(B250="","",IF(H250=0,0,ROUNDUP(H250/Rend_Desagrupe_CT,0)))</f>
      </c>
      <c r="AQ250" s="71">
        <f>IF(B250="","",IF(ENTRADA!$R250="",AP250,ENTRADA!$R250))</f>
      </c>
      <c r="AR250" s="37">
        <f>IF(B250="","",AQ250*INDEX(PRECIOS!$I$6:$I$55,K250))</f>
      </c>
      <c r="AS250" s="37">
        <f>IF(B250="","",AO250+AR250)</f>
      </c>
      <c r="AT250" s="71">
        <f>IF(B250="","",IF(I250=0,0,ROUNDUP(I250/Cap_Camion_ORI,0)))</f>
      </c>
      <c r="AU250" s="71">
        <f>IF(B250="","",AT250*L_Tras_ORI)</f>
      </c>
      <c r="AV250" s="71">
        <f>IF(B250="","",IF(ENTRADA!$S250="",AU250,ENTRADA!$S250))</f>
      </c>
      <c r="AW250" s="71">
        <f>IF(B250="","",AT250*L_Dist_ORI)</f>
      </c>
      <c r="AX250" s="71">
        <f>IF(B250="","",IF(ENTRADA!$T250="",AW250,ENTRADA!$T250))</f>
      </c>
      <c r="AY250" s="37">
        <f>IF(B250="","",(AV250+AX250)*INDEX(PRECIOS!$E$6:$E$55,K250))</f>
      </c>
      <c r="AZ250" s="71">
        <f>IF(B250="","",IF(I250=0,0,ROUNDUP(I250/Rend_Desagrupe_CT,0)))</f>
      </c>
      <c r="BA250" s="71">
        <f>IF(B250="","",IF(ENTRADA!$U250="",AZ250,ENTRADA!$U250))</f>
      </c>
      <c r="BB250" s="37">
        <f>IF(B250="","",BA250*INDEX(PRECIOS!$I$6:$I$55,K250))</f>
      </c>
      <c r="BC250" s="37">
        <f>IF(B250="","",AY250+BB250)</f>
      </c>
      <c r="BD250" s="70">
        <f>IF(B250="","",AI250+AS250+BC250)</f>
      </c>
      <c r="BE250" s="37">
        <f>IF(B250="","",IF(Base_Comision="% DEL INGRESO",M250*INDEX(PRECIOS!$L$6:$L$55,K250),G250*INDEX(PRECIOS!$M$6:$M$55,K250)))</f>
      </c>
      <c r="BF250" s="37">
        <f>IF(B250="","",IF(Base_Comision="% DEL INGRESO",N250*INDEX(PRECIOS!$L$6:$L$55,K250),H250*INDEX(PRECIOS!$M$6:$M$55,K250)))</f>
      </c>
      <c r="BG250" s="37">
        <f>IF(B250="","",IF(Base_Comision="% DEL INGRESO",O250*INDEX(PRECIOS!$L$6:$L$55,K250),I250*INDEX(PRECIOS!$M$6:$M$55,K250)))</f>
      </c>
      <c r="BH250" s="70">
        <f>IF(B250="","",BE250+BF250+BG250)</f>
      </c>
      <c r="BI250" s="37">
        <f>IF(B250="","",Q250*Pct_Reclamaciones)</f>
      </c>
      <c r="BJ250" s="37">
        <f>IF(B250="","",Q250*Pct_Banco)</f>
      </c>
      <c r="BK250" s="37">
        <f>IF(B250="","",N(ENTRADA!$V250))</f>
      </c>
      <c r="BL250" s="70">
        <f>IF(B250="","",Y250+AE250+BD250+BH250+BI250+BJ250+BK250)</f>
      </c>
      <c r="BM250" s="70">
        <f>IF(B250="","",Q250-BL250)</f>
      </c>
      <c r="BN250" s="72">
        <f>IF(B250="","",IF(Q250=0,0,BM250/Q250))</f>
      </c>
      <c r="BO250" s="73">
        <f>IF(B250="","",IF(J250=0,0,BM250/J250))</f>
      </c>
      <c r="BP250" s="60">
        <f>IF(B250="","",IFERROR(MATCH(D250,COSTOS_FIJOS!$G$5:$AD$5,0),0))</f>
      </c>
      <c r="BQ250" s="60">
        <f>IF(B250="","",COUNTIFS($D$6:$D$305,D250))</f>
      </c>
      <c r="BR250" s="67">
        <f>IF(B250="","",SUMIFS($J$6:$J$305,$D$6:$D$305,D250))</f>
      </c>
      <c r="BS250" s="72">
        <f>IF(B250="","",IF(Metodo_Prorrateo="KG",IF(BR250=0,0,J250/BR250),1/BQ250))</f>
      </c>
      <c r="BT250" s="37">
        <f>IF(B250="","",IF(BP250=0,0,INDEX(COSTOS_FIJOS!$G$38:$AD$38,BP250))*BS250)</f>
      </c>
      <c r="BU250" s="72">
        <f>IF(B250="","",IF(Metodo_Prorrateo="KG",IF(SUMIFS($G$6:$G$305,$D$6:$D$305,D250)=0,0,G250/SUMIFS($G$6:$G$305,$D$6:$D$305,D250)),IF(G250&gt;0,1/COUNTIFS($D$6:$D$305,D250,$G$6:$G$305,"&gt;0"),0)))</f>
      </c>
      <c r="BV250" s="37">
        <f>IF(B250="","",IF(BP250=0,0,INDEX(COSTOS_FIJOS!$G$39:$AD$39,BP250))*BU250)</f>
      </c>
      <c r="BW250" s="72">
        <f>IF(B250="","",IF(Metodo_Prorrateo="KG",IF(SUMIFS($H$6:$H$305,$D$6:$D$305,D250)=0,0,H250/SUMIFS($H$6:$H$305,$D$6:$D$305,D250)),IF(H250&gt;0,1/COUNTIFS($D$6:$D$305,D250,$H$6:$H$305,"&gt;0"),0)))</f>
      </c>
      <c r="BX250" s="37">
        <f>IF(B250="","",IF(BP250=0,0,INDEX(COSTOS_FIJOS!$G$40:$AD$40,BP250))*BW250)</f>
      </c>
      <c r="BY250" s="72">
        <f>IF(B250="","",IF(Metodo_Prorrateo="KG",IF(SUMIFS($I$6:$I$305,$D$6:$D$305,D250)=0,0,I250/SUMIFS($I$6:$I$305,$D$6:$D$305,D250)),IF(I250&gt;0,1/COUNTIFS($D$6:$D$305,D250,$I$6:$I$305,"&gt;0"),0)))</f>
      </c>
      <c r="BZ250" s="37">
        <f>IF(B250="","",IF(BP250=0,0,INDEX(COSTOS_FIJOS!$G$41:$AD$41,BP250))*BY250)</f>
      </c>
      <c r="CA250" s="70">
        <f>IF(B250="","",BT250+BV250+BX250+BZ250)</f>
      </c>
      <c r="CB250" s="37">
        <f>IF(B250="","",Q250*Imp_Ventas_Serv)</f>
      </c>
      <c r="CC250" s="37">
        <f>IF(B250="","",Q250*Contrib_Territorial)</f>
      </c>
      <c r="CD250" s="70">
        <f>IF(B250="","",BM250-CA250-CB250-CC250)</f>
      </c>
      <c r="CE250" s="37">
        <f>IF(B250="","",MAX(0,CD250)*Imp_Utilidades)</f>
      </c>
      <c r="CF250" s="70">
        <f>IF(B250="","",CD250-CE250)</f>
      </c>
      <c r="CG250" s="72">
        <f>IF(B250="","",IF(Q250=0,0,CF250/Q250))</f>
      </c>
      <c r="CH250" s="73">
        <f>IF(B250="","",IF(J250=0,0,(BL250+CA250+CB250+CC250)/J250))</f>
      </c>
      <c r="CI250" s="73">
        <f>IF(B250="","",IF(J250=0,0,Q250/J250))</f>
      </c>
      <c r="CJ250" s="73">
        <f>IF(B250="","",IF(J250=0,0,CD250/J250))</f>
      </c>
      <c r="CK250" s="37">
        <f>IF(B250="","",Y250+AE250+BK250+BT250)</f>
      </c>
      <c r="CL250" s="37">
        <f>IF(B250="","",IF(J250=0,0,(M250+P250*G250/J250)*(1-Pct_Reclamaciones-Pct_Banco-Imp_Ventas_Serv-Contrib_Territorial)-AI250-BE250-BV250-CK250*G250/J250))</f>
      </c>
      <c r="CM250" s="37">
        <f>IF(B250="","",IF(J250=0,0,(N250+P250*H250/J250)*(1-Pct_Reclamaciones-Pct_Banco-Imp_Ventas_Serv-Contrib_Territorial)-AS250-BF250-BX250-CK250*H250/J250))</f>
      </c>
      <c r="CN250" s="37">
        <f>IF(B250="","",IF(J250=0,0,(O250+P250*I250/J250)*(1-Pct_Reclamaciones-Pct_Banco-Imp_Ventas_Serv-Contrib_Territorial)-BC250-BG250-BZ250-CK250*I250/J250))</f>
      </c>
      <c r="CO250" s="37">
        <f>IF(B250="","",IF(J250=0,0,ROUND(CD250-CL250-CM250-CN250,4)))</f>
      </c>
      <c r="CP250" s="71">
        <f>IF(B250="","",T250+AG250+AK250+AM250+AU250+AW250)</f>
      </c>
      <c r="CQ250" s="71">
        <f>IF(B250="","",U250+AH250+AL250+AN250+AV250+AX250)</f>
      </c>
      <c r="CR250" s="72">
        <f>IF(B250="","",IF(CP250=0,0,CQ250/CP250-1))</f>
      </c>
      <c r="CS250" s="60">
        <f>IF(B250="","",IF(ENTRADA!$Y250="","",ENTRADA!$Y250-C250))</f>
      </c>
      <c r="CT250" s="66">
        <f>IF(B250="","",IF(ENTRADA!$C250="","Falta fecha. ","")&amp;IF(BP250=0,"Mes fuera del rango de COSTOS_FIJOS. ","")&amp;IF(J250=0,"Sin kg. ","")&amp;IF(E250="","Falta transitaria. ","")&amp;IF(AND(T250&gt;0,U250/T250-1&gt;Tolerancia_Comb),"Combustible al puerto "&amp;TEXT(U250/T250-1,"+0%")&amp;" sobre norma. ","")&amp;IF(AND(AG250&gt;0,AH250/AG250-1&gt;Tolerancia_Comb),"Combustible distribución Occidente "&amp;TEXT(AH250/AG250-1,"+0%")&amp;" sobre norma. ","")&amp;IF(AND(AK250&gt;0,AL250/AK250-1&gt;Tolerancia_Comb),"Combustible traslado Centro "&amp;TEXT(AL250/AK250-1,"+0%")&amp;" sobre norma. ","")&amp;IF(AND(AM250&gt;0,AN250/AM250-1&gt;Tolerancia_Comb),"Combustible distribución Centro "&amp;TEXT(AN250/AM250-1,"+0%")&amp;" sobre norma. ","")&amp;IF(AND(AU250&gt;0,AV250/AU250-1&gt;Tolerancia_Comb),"Combustible traslado Oriente "&amp;TEXT(AV250/AU250-1,"+0%")&amp;" sobre norma. ","")&amp;IF(AND(AW250&gt;0,AX250/AW250-1&gt;Tolerancia_Comb),"Combustible distribución Oriente "&amp;TEXT(AX250/AW250-1,"+0%")&amp;" sobre norma. ","")&amp;IF(AND(ENTRADA!$C250&lt;&gt;"",C250&lt;PRECIOS!$A$6),"Fecha anterior a la 1ª vigencia de precios. ","")&amp;IF(CD250&lt;0,"Contenedor con pérdida. ",""))</f>
      </c>
    </row>
    <row r="251">
      <c r="A251" s="60">
        <f>IF(B251="","",ROW()-5)</f>
      </c>
      <c r="B251" s="63">
        <f>IF(ENTRADA!$B251="","",ENTRADA!$B251)</f>
      </c>
      <c r="C251" s="64">
        <f>IF(B251="","",ENTRADA!$C251)</f>
      </c>
      <c r="D251" s="65">
        <f>IF(B251="","",DATE(YEAR(C251),MONTH(C251),1))</f>
      </c>
      <c r="E251" s="66">
        <f>IF(B251="","",ENTRADA!$D251&amp;"")</f>
      </c>
      <c r="F251" s="66">
        <f>IF(B251="","",ENTRADA!$Z251&amp;"")</f>
      </c>
      <c r="G251" s="67">
        <f>IF(B251="","",N(ENTRADA!$G251))</f>
      </c>
      <c r="H251" s="67">
        <f>IF(B251="","",N(ENTRADA!$H251))</f>
      </c>
      <c r="I251" s="67">
        <f>IF(B251="","",N(ENTRADA!$I251))</f>
      </c>
      <c r="J251" s="68">
        <f>IF(B251="","",G251+H251+I251)</f>
      </c>
      <c r="K251" s="60">
        <f>IF(B251="","",IFERROR(MATCH(SUMPRODUCT(MAX((PRECIOS!$A$6:$A$55&lt;=C251)*PRECIOS!$A$6:$A$55)),PRECIOS!$A$6:$A$55,0),1))</f>
      </c>
      <c r="L251" s="69">
        <f>IF(B251="","",INDEX(PRECIOS!$A$6:$A$55,K251))</f>
      </c>
      <c r="M251" s="37">
        <f>IF(B251="","",G251*INDEX(PRECIOS!$B$6:$B$55,K251))</f>
      </c>
      <c r="N251" s="37">
        <f>IF(B251="","",H251*INDEX(PRECIOS!$C$6:$C$55,K251))</f>
      </c>
      <c r="O251" s="37">
        <f>IF(B251="","",I251*INDEX(PRECIOS!$D$6:$D$55,K251))</f>
      </c>
      <c r="P251" s="37">
        <f>IF(B251="","",N(ENTRADA!$X251))</f>
      </c>
      <c r="Q251" s="70">
        <f>IF(B251="","",M251+N251+O251+P251)</f>
      </c>
      <c r="R251" s="71">
        <f>IF(B251="","",IF(ENTRADA!$J251="",Std_Viajes_Puerto,ENTRADA!$J251))</f>
      </c>
      <c r="S251" s="37">
        <f>IF(B251="","",R251*INDEX(PRECIOS!$F$6:$F$55,K251))</f>
      </c>
      <c r="T251" s="71">
        <f>IF(B251="","",R251*Litros_Puerto_Viaje)</f>
      </c>
      <c r="U251" s="71">
        <f>IF(B251="","",IF(ENTRADA!$K251="",T251,ENTRADA!$K251))</f>
      </c>
      <c r="V251" s="37">
        <f>IF(B251="","",U251*INDEX(PRECIOS!$E$6:$E$55,K251))</f>
      </c>
      <c r="W251" s="37">
        <f>IF(B251="","",IF(ENTRADA!$L251="",R251*INDEX(PRECIOS!$G$6:$G$55,K251),ENTRADA!$L251))</f>
      </c>
      <c r="X251" s="37">
        <f>IF(B251="","",R251*Km_Puerto_Viaje*INDEX(PRECIOS!$N$6:$N$55,K251))</f>
      </c>
      <c r="Y251" s="70">
        <f>IF(B251="","",S251+V251+W251+X251)</f>
      </c>
      <c r="Z251" s="71">
        <f>IF(B251="","",IF(J251=0,0,ROUNDUP(J251/Rend_Desagrupe,0)))</f>
      </c>
      <c r="AA251" s="71">
        <f>IF(B251="","",IF(ENTRADA!$M251="",Z251,ENTRADA!$M251))</f>
      </c>
      <c r="AB251" s="37">
        <f>IF(B251="","",AA251*INDEX(PRECIOS!$H$6:$H$55,K251))</f>
      </c>
      <c r="AC251" s="37">
        <f>IF(B251="","",IF(E251="ENCI",INDEX(PRECIOS!$J$6:$J$55,K251),IF(E251="A.V",INDEX(PRECIOS!$K$6:$K$55,K251),0)))</f>
      </c>
      <c r="AD251" s="37">
        <f>IF(B251="","",N(ENTRADA!$N251))</f>
      </c>
      <c r="AE251" s="70">
        <f>IF(B251="","",AB251+AC251+AD251)</f>
      </c>
      <c r="AF251" s="71">
        <f>IF(B251="","",IF(G251=0,0,ROUNDUP(G251/Cap_Camion_OCC,0)))</f>
      </c>
      <c r="AG251" s="71">
        <f>IF(B251="","",AF251*L_Dist_OCC)</f>
      </c>
      <c r="AH251" s="71">
        <f>IF(B251="","",IF(ENTRADA!$O251="",AG251,ENTRADA!$O251))</f>
      </c>
      <c r="AI251" s="37">
        <f>IF(B251="","",AH251*INDEX(PRECIOS!$E$6:$E$55,K251))</f>
      </c>
      <c r="AJ251" s="71">
        <f>IF(B251="","",IF(H251=0,0,ROUNDUP(H251/Cap_Camion_CEN,0)))</f>
      </c>
      <c r="AK251" s="71">
        <f>IF(B251="","",AJ251*L_Tras_CEN)</f>
      </c>
      <c r="AL251" s="71">
        <f>IF(B251="","",IF(ENTRADA!$P251="",AK251,ENTRADA!$P251))</f>
      </c>
      <c r="AM251" s="71">
        <f>IF(B251="","",AJ251*L_Dist_CEN)</f>
      </c>
      <c r="AN251" s="71">
        <f>IF(B251="","",IF(ENTRADA!$Q251="",AM251,ENTRADA!$Q251))</f>
      </c>
      <c r="AO251" s="37">
        <f>IF(B251="","",(AL251+AN251)*INDEX(PRECIOS!$E$6:$E$55,K251))</f>
      </c>
      <c r="AP251" s="71">
        <f>IF(B251="","",IF(H251=0,0,ROUNDUP(H251/Rend_Desagrupe_CT,0)))</f>
      </c>
      <c r="AQ251" s="71">
        <f>IF(B251="","",IF(ENTRADA!$R251="",AP251,ENTRADA!$R251))</f>
      </c>
      <c r="AR251" s="37">
        <f>IF(B251="","",AQ251*INDEX(PRECIOS!$I$6:$I$55,K251))</f>
      </c>
      <c r="AS251" s="37">
        <f>IF(B251="","",AO251+AR251)</f>
      </c>
      <c r="AT251" s="71">
        <f>IF(B251="","",IF(I251=0,0,ROUNDUP(I251/Cap_Camion_ORI,0)))</f>
      </c>
      <c r="AU251" s="71">
        <f>IF(B251="","",AT251*L_Tras_ORI)</f>
      </c>
      <c r="AV251" s="71">
        <f>IF(B251="","",IF(ENTRADA!$S251="",AU251,ENTRADA!$S251))</f>
      </c>
      <c r="AW251" s="71">
        <f>IF(B251="","",AT251*L_Dist_ORI)</f>
      </c>
      <c r="AX251" s="71">
        <f>IF(B251="","",IF(ENTRADA!$T251="",AW251,ENTRADA!$T251))</f>
      </c>
      <c r="AY251" s="37">
        <f>IF(B251="","",(AV251+AX251)*INDEX(PRECIOS!$E$6:$E$55,K251))</f>
      </c>
      <c r="AZ251" s="71">
        <f>IF(B251="","",IF(I251=0,0,ROUNDUP(I251/Rend_Desagrupe_CT,0)))</f>
      </c>
      <c r="BA251" s="71">
        <f>IF(B251="","",IF(ENTRADA!$U251="",AZ251,ENTRADA!$U251))</f>
      </c>
      <c r="BB251" s="37">
        <f>IF(B251="","",BA251*INDEX(PRECIOS!$I$6:$I$55,K251))</f>
      </c>
      <c r="BC251" s="37">
        <f>IF(B251="","",AY251+BB251)</f>
      </c>
      <c r="BD251" s="70">
        <f>IF(B251="","",AI251+AS251+BC251)</f>
      </c>
      <c r="BE251" s="37">
        <f>IF(B251="","",IF(Base_Comision="% DEL INGRESO",M251*INDEX(PRECIOS!$L$6:$L$55,K251),G251*INDEX(PRECIOS!$M$6:$M$55,K251)))</f>
      </c>
      <c r="BF251" s="37">
        <f>IF(B251="","",IF(Base_Comision="% DEL INGRESO",N251*INDEX(PRECIOS!$L$6:$L$55,K251),H251*INDEX(PRECIOS!$M$6:$M$55,K251)))</f>
      </c>
      <c r="BG251" s="37">
        <f>IF(B251="","",IF(Base_Comision="% DEL INGRESO",O251*INDEX(PRECIOS!$L$6:$L$55,K251),I251*INDEX(PRECIOS!$M$6:$M$55,K251)))</f>
      </c>
      <c r="BH251" s="70">
        <f>IF(B251="","",BE251+BF251+BG251)</f>
      </c>
      <c r="BI251" s="37">
        <f>IF(B251="","",Q251*Pct_Reclamaciones)</f>
      </c>
      <c r="BJ251" s="37">
        <f>IF(B251="","",Q251*Pct_Banco)</f>
      </c>
      <c r="BK251" s="37">
        <f>IF(B251="","",N(ENTRADA!$V251))</f>
      </c>
      <c r="BL251" s="70">
        <f>IF(B251="","",Y251+AE251+BD251+BH251+BI251+BJ251+BK251)</f>
      </c>
      <c r="BM251" s="70">
        <f>IF(B251="","",Q251-BL251)</f>
      </c>
      <c r="BN251" s="72">
        <f>IF(B251="","",IF(Q251=0,0,BM251/Q251))</f>
      </c>
      <c r="BO251" s="73">
        <f>IF(B251="","",IF(J251=0,0,BM251/J251))</f>
      </c>
      <c r="BP251" s="60">
        <f>IF(B251="","",IFERROR(MATCH(D251,COSTOS_FIJOS!$G$5:$AD$5,0),0))</f>
      </c>
      <c r="BQ251" s="60">
        <f>IF(B251="","",COUNTIFS($D$6:$D$305,D251))</f>
      </c>
      <c r="BR251" s="67">
        <f>IF(B251="","",SUMIFS($J$6:$J$305,$D$6:$D$305,D251))</f>
      </c>
      <c r="BS251" s="72">
        <f>IF(B251="","",IF(Metodo_Prorrateo="KG",IF(BR251=0,0,J251/BR251),1/BQ251))</f>
      </c>
      <c r="BT251" s="37">
        <f>IF(B251="","",IF(BP251=0,0,INDEX(COSTOS_FIJOS!$G$38:$AD$38,BP251))*BS251)</f>
      </c>
      <c r="BU251" s="72">
        <f>IF(B251="","",IF(Metodo_Prorrateo="KG",IF(SUMIFS($G$6:$G$305,$D$6:$D$305,D251)=0,0,G251/SUMIFS($G$6:$G$305,$D$6:$D$305,D251)),IF(G251&gt;0,1/COUNTIFS($D$6:$D$305,D251,$G$6:$G$305,"&gt;0"),0)))</f>
      </c>
      <c r="BV251" s="37">
        <f>IF(B251="","",IF(BP251=0,0,INDEX(COSTOS_FIJOS!$G$39:$AD$39,BP251))*BU251)</f>
      </c>
      <c r="BW251" s="72">
        <f>IF(B251="","",IF(Metodo_Prorrateo="KG",IF(SUMIFS($H$6:$H$305,$D$6:$D$305,D251)=0,0,H251/SUMIFS($H$6:$H$305,$D$6:$D$305,D251)),IF(H251&gt;0,1/COUNTIFS($D$6:$D$305,D251,$H$6:$H$305,"&gt;0"),0)))</f>
      </c>
      <c r="BX251" s="37">
        <f>IF(B251="","",IF(BP251=0,0,INDEX(COSTOS_FIJOS!$G$40:$AD$40,BP251))*BW251)</f>
      </c>
      <c r="BY251" s="72">
        <f>IF(B251="","",IF(Metodo_Prorrateo="KG",IF(SUMIFS($I$6:$I$305,$D$6:$D$305,D251)=0,0,I251/SUMIFS($I$6:$I$305,$D$6:$D$305,D251)),IF(I251&gt;0,1/COUNTIFS($D$6:$D$305,D251,$I$6:$I$305,"&gt;0"),0)))</f>
      </c>
      <c r="BZ251" s="37">
        <f>IF(B251="","",IF(BP251=0,0,INDEX(COSTOS_FIJOS!$G$41:$AD$41,BP251))*BY251)</f>
      </c>
      <c r="CA251" s="70">
        <f>IF(B251="","",BT251+BV251+BX251+BZ251)</f>
      </c>
      <c r="CB251" s="37">
        <f>IF(B251="","",Q251*Imp_Ventas_Serv)</f>
      </c>
      <c r="CC251" s="37">
        <f>IF(B251="","",Q251*Contrib_Territorial)</f>
      </c>
      <c r="CD251" s="70">
        <f>IF(B251="","",BM251-CA251-CB251-CC251)</f>
      </c>
      <c r="CE251" s="37">
        <f>IF(B251="","",MAX(0,CD251)*Imp_Utilidades)</f>
      </c>
      <c r="CF251" s="70">
        <f>IF(B251="","",CD251-CE251)</f>
      </c>
      <c r="CG251" s="72">
        <f>IF(B251="","",IF(Q251=0,0,CF251/Q251))</f>
      </c>
      <c r="CH251" s="73">
        <f>IF(B251="","",IF(J251=0,0,(BL251+CA251+CB251+CC251)/J251))</f>
      </c>
      <c r="CI251" s="73">
        <f>IF(B251="","",IF(J251=0,0,Q251/J251))</f>
      </c>
      <c r="CJ251" s="73">
        <f>IF(B251="","",IF(J251=0,0,CD251/J251))</f>
      </c>
      <c r="CK251" s="37">
        <f>IF(B251="","",Y251+AE251+BK251+BT251)</f>
      </c>
      <c r="CL251" s="37">
        <f>IF(B251="","",IF(J251=0,0,(M251+P251*G251/J251)*(1-Pct_Reclamaciones-Pct_Banco-Imp_Ventas_Serv-Contrib_Territorial)-AI251-BE251-BV251-CK251*G251/J251))</f>
      </c>
      <c r="CM251" s="37">
        <f>IF(B251="","",IF(J251=0,0,(N251+P251*H251/J251)*(1-Pct_Reclamaciones-Pct_Banco-Imp_Ventas_Serv-Contrib_Territorial)-AS251-BF251-BX251-CK251*H251/J251))</f>
      </c>
      <c r="CN251" s="37">
        <f>IF(B251="","",IF(J251=0,0,(O251+P251*I251/J251)*(1-Pct_Reclamaciones-Pct_Banco-Imp_Ventas_Serv-Contrib_Territorial)-BC251-BG251-BZ251-CK251*I251/J251))</f>
      </c>
      <c r="CO251" s="37">
        <f>IF(B251="","",IF(J251=0,0,ROUND(CD251-CL251-CM251-CN251,4)))</f>
      </c>
      <c r="CP251" s="71">
        <f>IF(B251="","",T251+AG251+AK251+AM251+AU251+AW251)</f>
      </c>
      <c r="CQ251" s="71">
        <f>IF(B251="","",U251+AH251+AL251+AN251+AV251+AX251)</f>
      </c>
      <c r="CR251" s="72">
        <f>IF(B251="","",IF(CP251=0,0,CQ251/CP251-1))</f>
      </c>
      <c r="CS251" s="60">
        <f>IF(B251="","",IF(ENTRADA!$Y251="","",ENTRADA!$Y251-C251))</f>
      </c>
      <c r="CT251" s="66">
        <f>IF(B251="","",IF(ENTRADA!$C251="","Falta fecha. ","")&amp;IF(BP251=0,"Mes fuera del rango de COSTOS_FIJOS. ","")&amp;IF(J251=0,"Sin kg. ","")&amp;IF(E251="","Falta transitaria. ","")&amp;IF(AND(T251&gt;0,U251/T251-1&gt;Tolerancia_Comb),"Combustible al puerto "&amp;TEXT(U251/T251-1,"+0%")&amp;" sobre norma. ","")&amp;IF(AND(AG251&gt;0,AH251/AG251-1&gt;Tolerancia_Comb),"Combustible distribución Occidente "&amp;TEXT(AH251/AG251-1,"+0%")&amp;" sobre norma. ","")&amp;IF(AND(AK251&gt;0,AL251/AK251-1&gt;Tolerancia_Comb),"Combustible traslado Centro "&amp;TEXT(AL251/AK251-1,"+0%")&amp;" sobre norma. ","")&amp;IF(AND(AM251&gt;0,AN251/AM251-1&gt;Tolerancia_Comb),"Combustible distribución Centro "&amp;TEXT(AN251/AM251-1,"+0%")&amp;" sobre norma. ","")&amp;IF(AND(AU251&gt;0,AV251/AU251-1&gt;Tolerancia_Comb),"Combustible traslado Oriente "&amp;TEXT(AV251/AU251-1,"+0%")&amp;" sobre norma. ","")&amp;IF(AND(AW251&gt;0,AX251/AW251-1&gt;Tolerancia_Comb),"Combustible distribución Oriente "&amp;TEXT(AX251/AW251-1,"+0%")&amp;" sobre norma. ","")&amp;IF(AND(ENTRADA!$C251&lt;&gt;"",C251&lt;PRECIOS!$A$6),"Fecha anterior a la 1ª vigencia de precios. ","")&amp;IF(CD251&lt;0,"Contenedor con pérdida. ",""))</f>
      </c>
    </row>
    <row r="252">
      <c r="A252" s="60">
        <f>IF(B252="","",ROW()-5)</f>
      </c>
      <c r="B252" s="63">
        <f>IF(ENTRADA!$B252="","",ENTRADA!$B252)</f>
      </c>
      <c r="C252" s="64">
        <f>IF(B252="","",ENTRADA!$C252)</f>
      </c>
      <c r="D252" s="65">
        <f>IF(B252="","",DATE(YEAR(C252),MONTH(C252),1))</f>
      </c>
      <c r="E252" s="66">
        <f>IF(B252="","",ENTRADA!$D252&amp;"")</f>
      </c>
      <c r="F252" s="66">
        <f>IF(B252="","",ENTRADA!$Z252&amp;"")</f>
      </c>
      <c r="G252" s="67">
        <f>IF(B252="","",N(ENTRADA!$G252))</f>
      </c>
      <c r="H252" s="67">
        <f>IF(B252="","",N(ENTRADA!$H252))</f>
      </c>
      <c r="I252" s="67">
        <f>IF(B252="","",N(ENTRADA!$I252))</f>
      </c>
      <c r="J252" s="68">
        <f>IF(B252="","",G252+H252+I252)</f>
      </c>
      <c r="K252" s="60">
        <f>IF(B252="","",IFERROR(MATCH(SUMPRODUCT(MAX((PRECIOS!$A$6:$A$55&lt;=C252)*PRECIOS!$A$6:$A$55)),PRECIOS!$A$6:$A$55,0),1))</f>
      </c>
      <c r="L252" s="69">
        <f>IF(B252="","",INDEX(PRECIOS!$A$6:$A$55,K252))</f>
      </c>
      <c r="M252" s="37">
        <f>IF(B252="","",G252*INDEX(PRECIOS!$B$6:$B$55,K252))</f>
      </c>
      <c r="N252" s="37">
        <f>IF(B252="","",H252*INDEX(PRECIOS!$C$6:$C$55,K252))</f>
      </c>
      <c r="O252" s="37">
        <f>IF(B252="","",I252*INDEX(PRECIOS!$D$6:$D$55,K252))</f>
      </c>
      <c r="P252" s="37">
        <f>IF(B252="","",N(ENTRADA!$X252))</f>
      </c>
      <c r="Q252" s="70">
        <f>IF(B252="","",M252+N252+O252+P252)</f>
      </c>
      <c r="R252" s="71">
        <f>IF(B252="","",IF(ENTRADA!$J252="",Std_Viajes_Puerto,ENTRADA!$J252))</f>
      </c>
      <c r="S252" s="37">
        <f>IF(B252="","",R252*INDEX(PRECIOS!$F$6:$F$55,K252))</f>
      </c>
      <c r="T252" s="71">
        <f>IF(B252="","",R252*Litros_Puerto_Viaje)</f>
      </c>
      <c r="U252" s="71">
        <f>IF(B252="","",IF(ENTRADA!$K252="",T252,ENTRADA!$K252))</f>
      </c>
      <c r="V252" s="37">
        <f>IF(B252="","",U252*INDEX(PRECIOS!$E$6:$E$55,K252))</f>
      </c>
      <c r="W252" s="37">
        <f>IF(B252="","",IF(ENTRADA!$L252="",R252*INDEX(PRECIOS!$G$6:$G$55,K252),ENTRADA!$L252))</f>
      </c>
      <c r="X252" s="37">
        <f>IF(B252="","",R252*Km_Puerto_Viaje*INDEX(PRECIOS!$N$6:$N$55,K252))</f>
      </c>
      <c r="Y252" s="70">
        <f>IF(B252="","",S252+V252+W252+X252)</f>
      </c>
      <c r="Z252" s="71">
        <f>IF(B252="","",IF(J252=0,0,ROUNDUP(J252/Rend_Desagrupe,0)))</f>
      </c>
      <c r="AA252" s="71">
        <f>IF(B252="","",IF(ENTRADA!$M252="",Z252,ENTRADA!$M252))</f>
      </c>
      <c r="AB252" s="37">
        <f>IF(B252="","",AA252*INDEX(PRECIOS!$H$6:$H$55,K252))</f>
      </c>
      <c r="AC252" s="37">
        <f>IF(B252="","",IF(E252="ENCI",INDEX(PRECIOS!$J$6:$J$55,K252),IF(E252="A.V",INDEX(PRECIOS!$K$6:$K$55,K252),0)))</f>
      </c>
      <c r="AD252" s="37">
        <f>IF(B252="","",N(ENTRADA!$N252))</f>
      </c>
      <c r="AE252" s="70">
        <f>IF(B252="","",AB252+AC252+AD252)</f>
      </c>
      <c r="AF252" s="71">
        <f>IF(B252="","",IF(G252=0,0,ROUNDUP(G252/Cap_Camion_OCC,0)))</f>
      </c>
      <c r="AG252" s="71">
        <f>IF(B252="","",AF252*L_Dist_OCC)</f>
      </c>
      <c r="AH252" s="71">
        <f>IF(B252="","",IF(ENTRADA!$O252="",AG252,ENTRADA!$O252))</f>
      </c>
      <c r="AI252" s="37">
        <f>IF(B252="","",AH252*INDEX(PRECIOS!$E$6:$E$55,K252))</f>
      </c>
      <c r="AJ252" s="71">
        <f>IF(B252="","",IF(H252=0,0,ROUNDUP(H252/Cap_Camion_CEN,0)))</f>
      </c>
      <c r="AK252" s="71">
        <f>IF(B252="","",AJ252*L_Tras_CEN)</f>
      </c>
      <c r="AL252" s="71">
        <f>IF(B252="","",IF(ENTRADA!$P252="",AK252,ENTRADA!$P252))</f>
      </c>
      <c r="AM252" s="71">
        <f>IF(B252="","",AJ252*L_Dist_CEN)</f>
      </c>
      <c r="AN252" s="71">
        <f>IF(B252="","",IF(ENTRADA!$Q252="",AM252,ENTRADA!$Q252))</f>
      </c>
      <c r="AO252" s="37">
        <f>IF(B252="","",(AL252+AN252)*INDEX(PRECIOS!$E$6:$E$55,K252))</f>
      </c>
      <c r="AP252" s="71">
        <f>IF(B252="","",IF(H252=0,0,ROUNDUP(H252/Rend_Desagrupe_CT,0)))</f>
      </c>
      <c r="AQ252" s="71">
        <f>IF(B252="","",IF(ENTRADA!$R252="",AP252,ENTRADA!$R252))</f>
      </c>
      <c r="AR252" s="37">
        <f>IF(B252="","",AQ252*INDEX(PRECIOS!$I$6:$I$55,K252))</f>
      </c>
      <c r="AS252" s="37">
        <f>IF(B252="","",AO252+AR252)</f>
      </c>
      <c r="AT252" s="71">
        <f>IF(B252="","",IF(I252=0,0,ROUNDUP(I252/Cap_Camion_ORI,0)))</f>
      </c>
      <c r="AU252" s="71">
        <f>IF(B252="","",AT252*L_Tras_ORI)</f>
      </c>
      <c r="AV252" s="71">
        <f>IF(B252="","",IF(ENTRADA!$S252="",AU252,ENTRADA!$S252))</f>
      </c>
      <c r="AW252" s="71">
        <f>IF(B252="","",AT252*L_Dist_ORI)</f>
      </c>
      <c r="AX252" s="71">
        <f>IF(B252="","",IF(ENTRADA!$T252="",AW252,ENTRADA!$T252))</f>
      </c>
      <c r="AY252" s="37">
        <f>IF(B252="","",(AV252+AX252)*INDEX(PRECIOS!$E$6:$E$55,K252))</f>
      </c>
      <c r="AZ252" s="71">
        <f>IF(B252="","",IF(I252=0,0,ROUNDUP(I252/Rend_Desagrupe_CT,0)))</f>
      </c>
      <c r="BA252" s="71">
        <f>IF(B252="","",IF(ENTRADA!$U252="",AZ252,ENTRADA!$U252))</f>
      </c>
      <c r="BB252" s="37">
        <f>IF(B252="","",BA252*INDEX(PRECIOS!$I$6:$I$55,K252))</f>
      </c>
      <c r="BC252" s="37">
        <f>IF(B252="","",AY252+BB252)</f>
      </c>
      <c r="BD252" s="70">
        <f>IF(B252="","",AI252+AS252+BC252)</f>
      </c>
      <c r="BE252" s="37">
        <f>IF(B252="","",IF(Base_Comision="% DEL INGRESO",M252*INDEX(PRECIOS!$L$6:$L$55,K252),G252*INDEX(PRECIOS!$M$6:$M$55,K252)))</f>
      </c>
      <c r="BF252" s="37">
        <f>IF(B252="","",IF(Base_Comision="% DEL INGRESO",N252*INDEX(PRECIOS!$L$6:$L$55,K252),H252*INDEX(PRECIOS!$M$6:$M$55,K252)))</f>
      </c>
      <c r="BG252" s="37">
        <f>IF(B252="","",IF(Base_Comision="% DEL INGRESO",O252*INDEX(PRECIOS!$L$6:$L$55,K252),I252*INDEX(PRECIOS!$M$6:$M$55,K252)))</f>
      </c>
      <c r="BH252" s="70">
        <f>IF(B252="","",BE252+BF252+BG252)</f>
      </c>
      <c r="BI252" s="37">
        <f>IF(B252="","",Q252*Pct_Reclamaciones)</f>
      </c>
      <c r="BJ252" s="37">
        <f>IF(B252="","",Q252*Pct_Banco)</f>
      </c>
      <c r="BK252" s="37">
        <f>IF(B252="","",N(ENTRADA!$V252))</f>
      </c>
      <c r="BL252" s="70">
        <f>IF(B252="","",Y252+AE252+BD252+BH252+BI252+BJ252+BK252)</f>
      </c>
      <c r="BM252" s="70">
        <f>IF(B252="","",Q252-BL252)</f>
      </c>
      <c r="BN252" s="72">
        <f>IF(B252="","",IF(Q252=0,0,BM252/Q252))</f>
      </c>
      <c r="BO252" s="73">
        <f>IF(B252="","",IF(J252=0,0,BM252/J252))</f>
      </c>
      <c r="BP252" s="60">
        <f>IF(B252="","",IFERROR(MATCH(D252,COSTOS_FIJOS!$G$5:$AD$5,0),0))</f>
      </c>
      <c r="BQ252" s="60">
        <f>IF(B252="","",COUNTIFS($D$6:$D$305,D252))</f>
      </c>
      <c r="BR252" s="67">
        <f>IF(B252="","",SUMIFS($J$6:$J$305,$D$6:$D$305,D252))</f>
      </c>
      <c r="BS252" s="72">
        <f>IF(B252="","",IF(Metodo_Prorrateo="KG",IF(BR252=0,0,J252/BR252),1/BQ252))</f>
      </c>
      <c r="BT252" s="37">
        <f>IF(B252="","",IF(BP252=0,0,INDEX(COSTOS_FIJOS!$G$38:$AD$38,BP252))*BS252)</f>
      </c>
      <c r="BU252" s="72">
        <f>IF(B252="","",IF(Metodo_Prorrateo="KG",IF(SUMIFS($G$6:$G$305,$D$6:$D$305,D252)=0,0,G252/SUMIFS($G$6:$G$305,$D$6:$D$305,D252)),IF(G252&gt;0,1/COUNTIFS($D$6:$D$305,D252,$G$6:$G$305,"&gt;0"),0)))</f>
      </c>
      <c r="BV252" s="37">
        <f>IF(B252="","",IF(BP252=0,0,INDEX(COSTOS_FIJOS!$G$39:$AD$39,BP252))*BU252)</f>
      </c>
      <c r="BW252" s="72">
        <f>IF(B252="","",IF(Metodo_Prorrateo="KG",IF(SUMIFS($H$6:$H$305,$D$6:$D$305,D252)=0,0,H252/SUMIFS($H$6:$H$305,$D$6:$D$305,D252)),IF(H252&gt;0,1/COUNTIFS($D$6:$D$305,D252,$H$6:$H$305,"&gt;0"),0)))</f>
      </c>
      <c r="BX252" s="37">
        <f>IF(B252="","",IF(BP252=0,0,INDEX(COSTOS_FIJOS!$G$40:$AD$40,BP252))*BW252)</f>
      </c>
      <c r="BY252" s="72">
        <f>IF(B252="","",IF(Metodo_Prorrateo="KG",IF(SUMIFS($I$6:$I$305,$D$6:$D$305,D252)=0,0,I252/SUMIFS($I$6:$I$305,$D$6:$D$305,D252)),IF(I252&gt;0,1/COUNTIFS($D$6:$D$305,D252,$I$6:$I$305,"&gt;0"),0)))</f>
      </c>
      <c r="BZ252" s="37">
        <f>IF(B252="","",IF(BP252=0,0,INDEX(COSTOS_FIJOS!$G$41:$AD$41,BP252))*BY252)</f>
      </c>
      <c r="CA252" s="70">
        <f>IF(B252="","",BT252+BV252+BX252+BZ252)</f>
      </c>
      <c r="CB252" s="37">
        <f>IF(B252="","",Q252*Imp_Ventas_Serv)</f>
      </c>
      <c r="CC252" s="37">
        <f>IF(B252="","",Q252*Contrib_Territorial)</f>
      </c>
      <c r="CD252" s="70">
        <f>IF(B252="","",BM252-CA252-CB252-CC252)</f>
      </c>
      <c r="CE252" s="37">
        <f>IF(B252="","",MAX(0,CD252)*Imp_Utilidades)</f>
      </c>
      <c r="CF252" s="70">
        <f>IF(B252="","",CD252-CE252)</f>
      </c>
      <c r="CG252" s="72">
        <f>IF(B252="","",IF(Q252=0,0,CF252/Q252))</f>
      </c>
      <c r="CH252" s="73">
        <f>IF(B252="","",IF(J252=0,0,(BL252+CA252+CB252+CC252)/J252))</f>
      </c>
      <c r="CI252" s="73">
        <f>IF(B252="","",IF(J252=0,0,Q252/J252))</f>
      </c>
      <c r="CJ252" s="73">
        <f>IF(B252="","",IF(J252=0,0,CD252/J252))</f>
      </c>
      <c r="CK252" s="37">
        <f>IF(B252="","",Y252+AE252+BK252+BT252)</f>
      </c>
      <c r="CL252" s="37">
        <f>IF(B252="","",IF(J252=0,0,(M252+P252*G252/J252)*(1-Pct_Reclamaciones-Pct_Banco-Imp_Ventas_Serv-Contrib_Territorial)-AI252-BE252-BV252-CK252*G252/J252))</f>
      </c>
      <c r="CM252" s="37">
        <f>IF(B252="","",IF(J252=0,0,(N252+P252*H252/J252)*(1-Pct_Reclamaciones-Pct_Banco-Imp_Ventas_Serv-Contrib_Territorial)-AS252-BF252-BX252-CK252*H252/J252))</f>
      </c>
      <c r="CN252" s="37">
        <f>IF(B252="","",IF(J252=0,0,(O252+P252*I252/J252)*(1-Pct_Reclamaciones-Pct_Banco-Imp_Ventas_Serv-Contrib_Territorial)-BC252-BG252-BZ252-CK252*I252/J252))</f>
      </c>
      <c r="CO252" s="37">
        <f>IF(B252="","",IF(J252=0,0,ROUND(CD252-CL252-CM252-CN252,4)))</f>
      </c>
      <c r="CP252" s="71">
        <f>IF(B252="","",T252+AG252+AK252+AM252+AU252+AW252)</f>
      </c>
      <c r="CQ252" s="71">
        <f>IF(B252="","",U252+AH252+AL252+AN252+AV252+AX252)</f>
      </c>
      <c r="CR252" s="72">
        <f>IF(B252="","",IF(CP252=0,0,CQ252/CP252-1))</f>
      </c>
      <c r="CS252" s="60">
        <f>IF(B252="","",IF(ENTRADA!$Y252="","",ENTRADA!$Y252-C252))</f>
      </c>
      <c r="CT252" s="66">
        <f>IF(B252="","",IF(ENTRADA!$C252="","Falta fecha. ","")&amp;IF(BP252=0,"Mes fuera del rango de COSTOS_FIJOS. ","")&amp;IF(J252=0,"Sin kg. ","")&amp;IF(E252="","Falta transitaria. ","")&amp;IF(AND(T252&gt;0,U252/T252-1&gt;Tolerancia_Comb),"Combustible al puerto "&amp;TEXT(U252/T252-1,"+0%")&amp;" sobre norma. ","")&amp;IF(AND(AG252&gt;0,AH252/AG252-1&gt;Tolerancia_Comb),"Combustible distribución Occidente "&amp;TEXT(AH252/AG252-1,"+0%")&amp;" sobre norma. ","")&amp;IF(AND(AK252&gt;0,AL252/AK252-1&gt;Tolerancia_Comb),"Combustible traslado Centro "&amp;TEXT(AL252/AK252-1,"+0%")&amp;" sobre norma. ","")&amp;IF(AND(AM252&gt;0,AN252/AM252-1&gt;Tolerancia_Comb),"Combustible distribución Centro "&amp;TEXT(AN252/AM252-1,"+0%")&amp;" sobre norma. ","")&amp;IF(AND(AU252&gt;0,AV252/AU252-1&gt;Tolerancia_Comb),"Combustible traslado Oriente "&amp;TEXT(AV252/AU252-1,"+0%")&amp;" sobre norma. ","")&amp;IF(AND(AW252&gt;0,AX252/AW252-1&gt;Tolerancia_Comb),"Combustible distribución Oriente "&amp;TEXT(AX252/AW252-1,"+0%")&amp;" sobre norma. ","")&amp;IF(AND(ENTRADA!$C252&lt;&gt;"",C252&lt;PRECIOS!$A$6),"Fecha anterior a la 1ª vigencia de precios. ","")&amp;IF(CD252&lt;0,"Contenedor con pérdida. ",""))</f>
      </c>
    </row>
    <row r="253">
      <c r="A253" s="60">
        <f>IF(B253="","",ROW()-5)</f>
      </c>
      <c r="B253" s="63">
        <f>IF(ENTRADA!$B253="","",ENTRADA!$B253)</f>
      </c>
      <c r="C253" s="64">
        <f>IF(B253="","",ENTRADA!$C253)</f>
      </c>
      <c r="D253" s="65">
        <f>IF(B253="","",DATE(YEAR(C253),MONTH(C253),1))</f>
      </c>
      <c r="E253" s="66">
        <f>IF(B253="","",ENTRADA!$D253&amp;"")</f>
      </c>
      <c r="F253" s="66">
        <f>IF(B253="","",ENTRADA!$Z253&amp;"")</f>
      </c>
      <c r="G253" s="67">
        <f>IF(B253="","",N(ENTRADA!$G253))</f>
      </c>
      <c r="H253" s="67">
        <f>IF(B253="","",N(ENTRADA!$H253))</f>
      </c>
      <c r="I253" s="67">
        <f>IF(B253="","",N(ENTRADA!$I253))</f>
      </c>
      <c r="J253" s="68">
        <f>IF(B253="","",G253+H253+I253)</f>
      </c>
      <c r="K253" s="60">
        <f>IF(B253="","",IFERROR(MATCH(SUMPRODUCT(MAX((PRECIOS!$A$6:$A$55&lt;=C253)*PRECIOS!$A$6:$A$55)),PRECIOS!$A$6:$A$55,0),1))</f>
      </c>
      <c r="L253" s="69">
        <f>IF(B253="","",INDEX(PRECIOS!$A$6:$A$55,K253))</f>
      </c>
      <c r="M253" s="37">
        <f>IF(B253="","",G253*INDEX(PRECIOS!$B$6:$B$55,K253))</f>
      </c>
      <c r="N253" s="37">
        <f>IF(B253="","",H253*INDEX(PRECIOS!$C$6:$C$55,K253))</f>
      </c>
      <c r="O253" s="37">
        <f>IF(B253="","",I253*INDEX(PRECIOS!$D$6:$D$55,K253))</f>
      </c>
      <c r="P253" s="37">
        <f>IF(B253="","",N(ENTRADA!$X253))</f>
      </c>
      <c r="Q253" s="70">
        <f>IF(B253="","",M253+N253+O253+P253)</f>
      </c>
      <c r="R253" s="71">
        <f>IF(B253="","",IF(ENTRADA!$J253="",Std_Viajes_Puerto,ENTRADA!$J253))</f>
      </c>
      <c r="S253" s="37">
        <f>IF(B253="","",R253*INDEX(PRECIOS!$F$6:$F$55,K253))</f>
      </c>
      <c r="T253" s="71">
        <f>IF(B253="","",R253*Litros_Puerto_Viaje)</f>
      </c>
      <c r="U253" s="71">
        <f>IF(B253="","",IF(ENTRADA!$K253="",T253,ENTRADA!$K253))</f>
      </c>
      <c r="V253" s="37">
        <f>IF(B253="","",U253*INDEX(PRECIOS!$E$6:$E$55,K253))</f>
      </c>
      <c r="W253" s="37">
        <f>IF(B253="","",IF(ENTRADA!$L253="",R253*INDEX(PRECIOS!$G$6:$G$55,K253),ENTRADA!$L253))</f>
      </c>
      <c r="X253" s="37">
        <f>IF(B253="","",R253*Km_Puerto_Viaje*INDEX(PRECIOS!$N$6:$N$55,K253))</f>
      </c>
      <c r="Y253" s="70">
        <f>IF(B253="","",S253+V253+W253+X253)</f>
      </c>
      <c r="Z253" s="71">
        <f>IF(B253="","",IF(J253=0,0,ROUNDUP(J253/Rend_Desagrupe,0)))</f>
      </c>
      <c r="AA253" s="71">
        <f>IF(B253="","",IF(ENTRADA!$M253="",Z253,ENTRADA!$M253))</f>
      </c>
      <c r="AB253" s="37">
        <f>IF(B253="","",AA253*INDEX(PRECIOS!$H$6:$H$55,K253))</f>
      </c>
      <c r="AC253" s="37">
        <f>IF(B253="","",IF(E253="ENCI",INDEX(PRECIOS!$J$6:$J$55,K253),IF(E253="A.V",INDEX(PRECIOS!$K$6:$K$55,K253),0)))</f>
      </c>
      <c r="AD253" s="37">
        <f>IF(B253="","",N(ENTRADA!$N253))</f>
      </c>
      <c r="AE253" s="70">
        <f>IF(B253="","",AB253+AC253+AD253)</f>
      </c>
      <c r="AF253" s="71">
        <f>IF(B253="","",IF(G253=0,0,ROUNDUP(G253/Cap_Camion_OCC,0)))</f>
      </c>
      <c r="AG253" s="71">
        <f>IF(B253="","",AF253*L_Dist_OCC)</f>
      </c>
      <c r="AH253" s="71">
        <f>IF(B253="","",IF(ENTRADA!$O253="",AG253,ENTRADA!$O253))</f>
      </c>
      <c r="AI253" s="37">
        <f>IF(B253="","",AH253*INDEX(PRECIOS!$E$6:$E$55,K253))</f>
      </c>
      <c r="AJ253" s="71">
        <f>IF(B253="","",IF(H253=0,0,ROUNDUP(H253/Cap_Camion_CEN,0)))</f>
      </c>
      <c r="AK253" s="71">
        <f>IF(B253="","",AJ253*L_Tras_CEN)</f>
      </c>
      <c r="AL253" s="71">
        <f>IF(B253="","",IF(ENTRADA!$P253="",AK253,ENTRADA!$P253))</f>
      </c>
      <c r="AM253" s="71">
        <f>IF(B253="","",AJ253*L_Dist_CEN)</f>
      </c>
      <c r="AN253" s="71">
        <f>IF(B253="","",IF(ENTRADA!$Q253="",AM253,ENTRADA!$Q253))</f>
      </c>
      <c r="AO253" s="37">
        <f>IF(B253="","",(AL253+AN253)*INDEX(PRECIOS!$E$6:$E$55,K253))</f>
      </c>
      <c r="AP253" s="71">
        <f>IF(B253="","",IF(H253=0,0,ROUNDUP(H253/Rend_Desagrupe_CT,0)))</f>
      </c>
      <c r="AQ253" s="71">
        <f>IF(B253="","",IF(ENTRADA!$R253="",AP253,ENTRADA!$R253))</f>
      </c>
      <c r="AR253" s="37">
        <f>IF(B253="","",AQ253*INDEX(PRECIOS!$I$6:$I$55,K253))</f>
      </c>
      <c r="AS253" s="37">
        <f>IF(B253="","",AO253+AR253)</f>
      </c>
      <c r="AT253" s="71">
        <f>IF(B253="","",IF(I253=0,0,ROUNDUP(I253/Cap_Camion_ORI,0)))</f>
      </c>
      <c r="AU253" s="71">
        <f>IF(B253="","",AT253*L_Tras_ORI)</f>
      </c>
      <c r="AV253" s="71">
        <f>IF(B253="","",IF(ENTRADA!$S253="",AU253,ENTRADA!$S253))</f>
      </c>
      <c r="AW253" s="71">
        <f>IF(B253="","",AT253*L_Dist_ORI)</f>
      </c>
      <c r="AX253" s="71">
        <f>IF(B253="","",IF(ENTRADA!$T253="",AW253,ENTRADA!$T253))</f>
      </c>
      <c r="AY253" s="37">
        <f>IF(B253="","",(AV253+AX253)*INDEX(PRECIOS!$E$6:$E$55,K253))</f>
      </c>
      <c r="AZ253" s="71">
        <f>IF(B253="","",IF(I253=0,0,ROUNDUP(I253/Rend_Desagrupe_CT,0)))</f>
      </c>
      <c r="BA253" s="71">
        <f>IF(B253="","",IF(ENTRADA!$U253="",AZ253,ENTRADA!$U253))</f>
      </c>
      <c r="BB253" s="37">
        <f>IF(B253="","",BA253*INDEX(PRECIOS!$I$6:$I$55,K253))</f>
      </c>
      <c r="BC253" s="37">
        <f>IF(B253="","",AY253+BB253)</f>
      </c>
      <c r="BD253" s="70">
        <f>IF(B253="","",AI253+AS253+BC253)</f>
      </c>
      <c r="BE253" s="37">
        <f>IF(B253="","",IF(Base_Comision="% DEL INGRESO",M253*INDEX(PRECIOS!$L$6:$L$55,K253),G253*INDEX(PRECIOS!$M$6:$M$55,K253)))</f>
      </c>
      <c r="BF253" s="37">
        <f>IF(B253="","",IF(Base_Comision="% DEL INGRESO",N253*INDEX(PRECIOS!$L$6:$L$55,K253),H253*INDEX(PRECIOS!$M$6:$M$55,K253)))</f>
      </c>
      <c r="BG253" s="37">
        <f>IF(B253="","",IF(Base_Comision="% DEL INGRESO",O253*INDEX(PRECIOS!$L$6:$L$55,K253),I253*INDEX(PRECIOS!$M$6:$M$55,K253)))</f>
      </c>
      <c r="BH253" s="70">
        <f>IF(B253="","",BE253+BF253+BG253)</f>
      </c>
      <c r="BI253" s="37">
        <f>IF(B253="","",Q253*Pct_Reclamaciones)</f>
      </c>
      <c r="BJ253" s="37">
        <f>IF(B253="","",Q253*Pct_Banco)</f>
      </c>
      <c r="BK253" s="37">
        <f>IF(B253="","",N(ENTRADA!$V253))</f>
      </c>
      <c r="BL253" s="70">
        <f>IF(B253="","",Y253+AE253+BD253+BH253+BI253+BJ253+BK253)</f>
      </c>
      <c r="BM253" s="70">
        <f>IF(B253="","",Q253-BL253)</f>
      </c>
      <c r="BN253" s="72">
        <f>IF(B253="","",IF(Q253=0,0,BM253/Q253))</f>
      </c>
      <c r="BO253" s="73">
        <f>IF(B253="","",IF(J253=0,0,BM253/J253))</f>
      </c>
      <c r="BP253" s="60">
        <f>IF(B253="","",IFERROR(MATCH(D253,COSTOS_FIJOS!$G$5:$AD$5,0),0))</f>
      </c>
      <c r="BQ253" s="60">
        <f>IF(B253="","",COUNTIFS($D$6:$D$305,D253))</f>
      </c>
      <c r="BR253" s="67">
        <f>IF(B253="","",SUMIFS($J$6:$J$305,$D$6:$D$305,D253))</f>
      </c>
      <c r="BS253" s="72">
        <f>IF(B253="","",IF(Metodo_Prorrateo="KG",IF(BR253=0,0,J253/BR253),1/BQ253))</f>
      </c>
      <c r="BT253" s="37">
        <f>IF(B253="","",IF(BP253=0,0,INDEX(COSTOS_FIJOS!$G$38:$AD$38,BP253))*BS253)</f>
      </c>
      <c r="BU253" s="72">
        <f>IF(B253="","",IF(Metodo_Prorrateo="KG",IF(SUMIFS($G$6:$G$305,$D$6:$D$305,D253)=0,0,G253/SUMIFS($G$6:$G$305,$D$6:$D$305,D253)),IF(G253&gt;0,1/COUNTIFS($D$6:$D$305,D253,$G$6:$G$305,"&gt;0"),0)))</f>
      </c>
      <c r="BV253" s="37">
        <f>IF(B253="","",IF(BP253=0,0,INDEX(COSTOS_FIJOS!$G$39:$AD$39,BP253))*BU253)</f>
      </c>
      <c r="BW253" s="72">
        <f>IF(B253="","",IF(Metodo_Prorrateo="KG",IF(SUMIFS($H$6:$H$305,$D$6:$D$305,D253)=0,0,H253/SUMIFS($H$6:$H$305,$D$6:$D$305,D253)),IF(H253&gt;0,1/COUNTIFS($D$6:$D$305,D253,$H$6:$H$305,"&gt;0"),0)))</f>
      </c>
      <c r="BX253" s="37">
        <f>IF(B253="","",IF(BP253=0,0,INDEX(COSTOS_FIJOS!$G$40:$AD$40,BP253))*BW253)</f>
      </c>
      <c r="BY253" s="72">
        <f>IF(B253="","",IF(Metodo_Prorrateo="KG",IF(SUMIFS($I$6:$I$305,$D$6:$D$305,D253)=0,0,I253/SUMIFS($I$6:$I$305,$D$6:$D$305,D253)),IF(I253&gt;0,1/COUNTIFS($D$6:$D$305,D253,$I$6:$I$305,"&gt;0"),0)))</f>
      </c>
      <c r="BZ253" s="37">
        <f>IF(B253="","",IF(BP253=0,0,INDEX(COSTOS_FIJOS!$G$41:$AD$41,BP253))*BY253)</f>
      </c>
      <c r="CA253" s="70">
        <f>IF(B253="","",BT253+BV253+BX253+BZ253)</f>
      </c>
      <c r="CB253" s="37">
        <f>IF(B253="","",Q253*Imp_Ventas_Serv)</f>
      </c>
      <c r="CC253" s="37">
        <f>IF(B253="","",Q253*Contrib_Territorial)</f>
      </c>
      <c r="CD253" s="70">
        <f>IF(B253="","",BM253-CA253-CB253-CC253)</f>
      </c>
      <c r="CE253" s="37">
        <f>IF(B253="","",MAX(0,CD253)*Imp_Utilidades)</f>
      </c>
      <c r="CF253" s="70">
        <f>IF(B253="","",CD253-CE253)</f>
      </c>
      <c r="CG253" s="72">
        <f>IF(B253="","",IF(Q253=0,0,CF253/Q253))</f>
      </c>
      <c r="CH253" s="73">
        <f>IF(B253="","",IF(J253=0,0,(BL253+CA253+CB253+CC253)/J253))</f>
      </c>
      <c r="CI253" s="73">
        <f>IF(B253="","",IF(J253=0,0,Q253/J253))</f>
      </c>
      <c r="CJ253" s="73">
        <f>IF(B253="","",IF(J253=0,0,CD253/J253))</f>
      </c>
      <c r="CK253" s="37">
        <f>IF(B253="","",Y253+AE253+BK253+BT253)</f>
      </c>
      <c r="CL253" s="37">
        <f>IF(B253="","",IF(J253=0,0,(M253+P253*G253/J253)*(1-Pct_Reclamaciones-Pct_Banco-Imp_Ventas_Serv-Contrib_Territorial)-AI253-BE253-BV253-CK253*G253/J253))</f>
      </c>
      <c r="CM253" s="37">
        <f>IF(B253="","",IF(J253=0,0,(N253+P253*H253/J253)*(1-Pct_Reclamaciones-Pct_Banco-Imp_Ventas_Serv-Contrib_Territorial)-AS253-BF253-BX253-CK253*H253/J253))</f>
      </c>
      <c r="CN253" s="37">
        <f>IF(B253="","",IF(J253=0,0,(O253+P253*I253/J253)*(1-Pct_Reclamaciones-Pct_Banco-Imp_Ventas_Serv-Contrib_Territorial)-BC253-BG253-BZ253-CK253*I253/J253))</f>
      </c>
      <c r="CO253" s="37">
        <f>IF(B253="","",IF(J253=0,0,ROUND(CD253-CL253-CM253-CN253,4)))</f>
      </c>
      <c r="CP253" s="71">
        <f>IF(B253="","",T253+AG253+AK253+AM253+AU253+AW253)</f>
      </c>
      <c r="CQ253" s="71">
        <f>IF(B253="","",U253+AH253+AL253+AN253+AV253+AX253)</f>
      </c>
      <c r="CR253" s="72">
        <f>IF(B253="","",IF(CP253=0,0,CQ253/CP253-1))</f>
      </c>
      <c r="CS253" s="60">
        <f>IF(B253="","",IF(ENTRADA!$Y253="","",ENTRADA!$Y253-C253))</f>
      </c>
      <c r="CT253" s="66">
        <f>IF(B253="","",IF(ENTRADA!$C253="","Falta fecha. ","")&amp;IF(BP253=0,"Mes fuera del rango de COSTOS_FIJOS. ","")&amp;IF(J253=0,"Sin kg. ","")&amp;IF(E253="","Falta transitaria. ","")&amp;IF(AND(T253&gt;0,U253/T253-1&gt;Tolerancia_Comb),"Combustible al puerto "&amp;TEXT(U253/T253-1,"+0%")&amp;" sobre norma. ","")&amp;IF(AND(AG253&gt;0,AH253/AG253-1&gt;Tolerancia_Comb),"Combustible distribución Occidente "&amp;TEXT(AH253/AG253-1,"+0%")&amp;" sobre norma. ","")&amp;IF(AND(AK253&gt;0,AL253/AK253-1&gt;Tolerancia_Comb),"Combustible traslado Centro "&amp;TEXT(AL253/AK253-1,"+0%")&amp;" sobre norma. ","")&amp;IF(AND(AM253&gt;0,AN253/AM253-1&gt;Tolerancia_Comb),"Combustible distribución Centro "&amp;TEXT(AN253/AM253-1,"+0%")&amp;" sobre norma. ","")&amp;IF(AND(AU253&gt;0,AV253/AU253-1&gt;Tolerancia_Comb),"Combustible traslado Oriente "&amp;TEXT(AV253/AU253-1,"+0%")&amp;" sobre norma. ","")&amp;IF(AND(AW253&gt;0,AX253/AW253-1&gt;Tolerancia_Comb),"Combustible distribución Oriente "&amp;TEXT(AX253/AW253-1,"+0%")&amp;" sobre norma. ","")&amp;IF(AND(ENTRADA!$C253&lt;&gt;"",C253&lt;PRECIOS!$A$6),"Fecha anterior a la 1ª vigencia de precios. ","")&amp;IF(CD253&lt;0,"Contenedor con pérdida. ",""))</f>
      </c>
    </row>
    <row r="254">
      <c r="A254" s="60">
        <f>IF(B254="","",ROW()-5)</f>
      </c>
      <c r="B254" s="63">
        <f>IF(ENTRADA!$B254="","",ENTRADA!$B254)</f>
      </c>
      <c r="C254" s="64">
        <f>IF(B254="","",ENTRADA!$C254)</f>
      </c>
      <c r="D254" s="65">
        <f>IF(B254="","",DATE(YEAR(C254),MONTH(C254),1))</f>
      </c>
      <c r="E254" s="66">
        <f>IF(B254="","",ENTRADA!$D254&amp;"")</f>
      </c>
      <c r="F254" s="66">
        <f>IF(B254="","",ENTRADA!$Z254&amp;"")</f>
      </c>
      <c r="G254" s="67">
        <f>IF(B254="","",N(ENTRADA!$G254))</f>
      </c>
      <c r="H254" s="67">
        <f>IF(B254="","",N(ENTRADA!$H254))</f>
      </c>
      <c r="I254" s="67">
        <f>IF(B254="","",N(ENTRADA!$I254))</f>
      </c>
      <c r="J254" s="68">
        <f>IF(B254="","",G254+H254+I254)</f>
      </c>
      <c r="K254" s="60">
        <f>IF(B254="","",IFERROR(MATCH(SUMPRODUCT(MAX((PRECIOS!$A$6:$A$55&lt;=C254)*PRECIOS!$A$6:$A$55)),PRECIOS!$A$6:$A$55,0),1))</f>
      </c>
      <c r="L254" s="69">
        <f>IF(B254="","",INDEX(PRECIOS!$A$6:$A$55,K254))</f>
      </c>
      <c r="M254" s="37">
        <f>IF(B254="","",G254*INDEX(PRECIOS!$B$6:$B$55,K254))</f>
      </c>
      <c r="N254" s="37">
        <f>IF(B254="","",H254*INDEX(PRECIOS!$C$6:$C$55,K254))</f>
      </c>
      <c r="O254" s="37">
        <f>IF(B254="","",I254*INDEX(PRECIOS!$D$6:$D$55,K254))</f>
      </c>
      <c r="P254" s="37">
        <f>IF(B254="","",N(ENTRADA!$X254))</f>
      </c>
      <c r="Q254" s="70">
        <f>IF(B254="","",M254+N254+O254+P254)</f>
      </c>
      <c r="R254" s="71">
        <f>IF(B254="","",IF(ENTRADA!$J254="",Std_Viajes_Puerto,ENTRADA!$J254))</f>
      </c>
      <c r="S254" s="37">
        <f>IF(B254="","",R254*INDEX(PRECIOS!$F$6:$F$55,K254))</f>
      </c>
      <c r="T254" s="71">
        <f>IF(B254="","",R254*Litros_Puerto_Viaje)</f>
      </c>
      <c r="U254" s="71">
        <f>IF(B254="","",IF(ENTRADA!$K254="",T254,ENTRADA!$K254))</f>
      </c>
      <c r="V254" s="37">
        <f>IF(B254="","",U254*INDEX(PRECIOS!$E$6:$E$55,K254))</f>
      </c>
      <c r="W254" s="37">
        <f>IF(B254="","",IF(ENTRADA!$L254="",R254*INDEX(PRECIOS!$G$6:$G$55,K254),ENTRADA!$L254))</f>
      </c>
      <c r="X254" s="37">
        <f>IF(B254="","",R254*Km_Puerto_Viaje*INDEX(PRECIOS!$N$6:$N$55,K254))</f>
      </c>
      <c r="Y254" s="70">
        <f>IF(B254="","",S254+V254+W254+X254)</f>
      </c>
      <c r="Z254" s="71">
        <f>IF(B254="","",IF(J254=0,0,ROUNDUP(J254/Rend_Desagrupe,0)))</f>
      </c>
      <c r="AA254" s="71">
        <f>IF(B254="","",IF(ENTRADA!$M254="",Z254,ENTRADA!$M254))</f>
      </c>
      <c r="AB254" s="37">
        <f>IF(B254="","",AA254*INDEX(PRECIOS!$H$6:$H$55,K254))</f>
      </c>
      <c r="AC254" s="37">
        <f>IF(B254="","",IF(E254="ENCI",INDEX(PRECIOS!$J$6:$J$55,K254),IF(E254="A.V",INDEX(PRECIOS!$K$6:$K$55,K254),0)))</f>
      </c>
      <c r="AD254" s="37">
        <f>IF(B254="","",N(ENTRADA!$N254))</f>
      </c>
      <c r="AE254" s="70">
        <f>IF(B254="","",AB254+AC254+AD254)</f>
      </c>
      <c r="AF254" s="71">
        <f>IF(B254="","",IF(G254=0,0,ROUNDUP(G254/Cap_Camion_OCC,0)))</f>
      </c>
      <c r="AG254" s="71">
        <f>IF(B254="","",AF254*L_Dist_OCC)</f>
      </c>
      <c r="AH254" s="71">
        <f>IF(B254="","",IF(ENTRADA!$O254="",AG254,ENTRADA!$O254))</f>
      </c>
      <c r="AI254" s="37">
        <f>IF(B254="","",AH254*INDEX(PRECIOS!$E$6:$E$55,K254))</f>
      </c>
      <c r="AJ254" s="71">
        <f>IF(B254="","",IF(H254=0,0,ROUNDUP(H254/Cap_Camion_CEN,0)))</f>
      </c>
      <c r="AK254" s="71">
        <f>IF(B254="","",AJ254*L_Tras_CEN)</f>
      </c>
      <c r="AL254" s="71">
        <f>IF(B254="","",IF(ENTRADA!$P254="",AK254,ENTRADA!$P254))</f>
      </c>
      <c r="AM254" s="71">
        <f>IF(B254="","",AJ254*L_Dist_CEN)</f>
      </c>
      <c r="AN254" s="71">
        <f>IF(B254="","",IF(ENTRADA!$Q254="",AM254,ENTRADA!$Q254))</f>
      </c>
      <c r="AO254" s="37">
        <f>IF(B254="","",(AL254+AN254)*INDEX(PRECIOS!$E$6:$E$55,K254))</f>
      </c>
      <c r="AP254" s="71">
        <f>IF(B254="","",IF(H254=0,0,ROUNDUP(H254/Rend_Desagrupe_CT,0)))</f>
      </c>
      <c r="AQ254" s="71">
        <f>IF(B254="","",IF(ENTRADA!$R254="",AP254,ENTRADA!$R254))</f>
      </c>
      <c r="AR254" s="37">
        <f>IF(B254="","",AQ254*INDEX(PRECIOS!$I$6:$I$55,K254))</f>
      </c>
      <c r="AS254" s="37">
        <f>IF(B254="","",AO254+AR254)</f>
      </c>
      <c r="AT254" s="71">
        <f>IF(B254="","",IF(I254=0,0,ROUNDUP(I254/Cap_Camion_ORI,0)))</f>
      </c>
      <c r="AU254" s="71">
        <f>IF(B254="","",AT254*L_Tras_ORI)</f>
      </c>
      <c r="AV254" s="71">
        <f>IF(B254="","",IF(ENTRADA!$S254="",AU254,ENTRADA!$S254))</f>
      </c>
      <c r="AW254" s="71">
        <f>IF(B254="","",AT254*L_Dist_ORI)</f>
      </c>
      <c r="AX254" s="71">
        <f>IF(B254="","",IF(ENTRADA!$T254="",AW254,ENTRADA!$T254))</f>
      </c>
      <c r="AY254" s="37">
        <f>IF(B254="","",(AV254+AX254)*INDEX(PRECIOS!$E$6:$E$55,K254))</f>
      </c>
      <c r="AZ254" s="71">
        <f>IF(B254="","",IF(I254=0,0,ROUNDUP(I254/Rend_Desagrupe_CT,0)))</f>
      </c>
      <c r="BA254" s="71">
        <f>IF(B254="","",IF(ENTRADA!$U254="",AZ254,ENTRADA!$U254))</f>
      </c>
      <c r="BB254" s="37">
        <f>IF(B254="","",BA254*INDEX(PRECIOS!$I$6:$I$55,K254))</f>
      </c>
      <c r="BC254" s="37">
        <f>IF(B254="","",AY254+BB254)</f>
      </c>
      <c r="BD254" s="70">
        <f>IF(B254="","",AI254+AS254+BC254)</f>
      </c>
      <c r="BE254" s="37">
        <f>IF(B254="","",IF(Base_Comision="% DEL INGRESO",M254*INDEX(PRECIOS!$L$6:$L$55,K254),G254*INDEX(PRECIOS!$M$6:$M$55,K254)))</f>
      </c>
      <c r="BF254" s="37">
        <f>IF(B254="","",IF(Base_Comision="% DEL INGRESO",N254*INDEX(PRECIOS!$L$6:$L$55,K254),H254*INDEX(PRECIOS!$M$6:$M$55,K254)))</f>
      </c>
      <c r="BG254" s="37">
        <f>IF(B254="","",IF(Base_Comision="% DEL INGRESO",O254*INDEX(PRECIOS!$L$6:$L$55,K254),I254*INDEX(PRECIOS!$M$6:$M$55,K254)))</f>
      </c>
      <c r="BH254" s="70">
        <f>IF(B254="","",BE254+BF254+BG254)</f>
      </c>
      <c r="BI254" s="37">
        <f>IF(B254="","",Q254*Pct_Reclamaciones)</f>
      </c>
      <c r="BJ254" s="37">
        <f>IF(B254="","",Q254*Pct_Banco)</f>
      </c>
      <c r="BK254" s="37">
        <f>IF(B254="","",N(ENTRADA!$V254))</f>
      </c>
      <c r="BL254" s="70">
        <f>IF(B254="","",Y254+AE254+BD254+BH254+BI254+BJ254+BK254)</f>
      </c>
      <c r="BM254" s="70">
        <f>IF(B254="","",Q254-BL254)</f>
      </c>
      <c r="BN254" s="72">
        <f>IF(B254="","",IF(Q254=0,0,BM254/Q254))</f>
      </c>
      <c r="BO254" s="73">
        <f>IF(B254="","",IF(J254=0,0,BM254/J254))</f>
      </c>
      <c r="BP254" s="60">
        <f>IF(B254="","",IFERROR(MATCH(D254,COSTOS_FIJOS!$G$5:$AD$5,0),0))</f>
      </c>
      <c r="BQ254" s="60">
        <f>IF(B254="","",COUNTIFS($D$6:$D$305,D254))</f>
      </c>
      <c r="BR254" s="67">
        <f>IF(B254="","",SUMIFS($J$6:$J$305,$D$6:$D$305,D254))</f>
      </c>
      <c r="BS254" s="72">
        <f>IF(B254="","",IF(Metodo_Prorrateo="KG",IF(BR254=0,0,J254/BR254),1/BQ254))</f>
      </c>
      <c r="BT254" s="37">
        <f>IF(B254="","",IF(BP254=0,0,INDEX(COSTOS_FIJOS!$G$38:$AD$38,BP254))*BS254)</f>
      </c>
      <c r="BU254" s="72">
        <f>IF(B254="","",IF(Metodo_Prorrateo="KG",IF(SUMIFS($G$6:$G$305,$D$6:$D$305,D254)=0,0,G254/SUMIFS($G$6:$G$305,$D$6:$D$305,D254)),IF(G254&gt;0,1/COUNTIFS($D$6:$D$305,D254,$G$6:$G$305,"&gt;0"),0)))</f>
      </c>
      <c r="BV254" s="37">
        <f>IF(B254="","",IF(BP254=0,0,INDEX(COSTOS_FIJOS!$G$39:$AD$39,BP254))*BU254)</f>
      </c>
      <c r="BW254" s="72">
        <f>IF(B254="","",IF(Metodo_Prorrateo="KG",IF(SUMIFS($H$6:$H$305,$D$6:$D$305,D254)=0,0,H254/SUMIFS($H$6:$H$305,$D$6:$D$305,D254)),IF(H254&gt;0,1/COUNTIFS($D$6:$D$305,D254,$H$6:$H$305,"&gt;0"),0)))</f>
      </c>
      <c r="BX254" s="37">
        <f>IF(B254="","",IF(BP254=0,0,INDEX(COSTOS_FIJOS!$G$40:$AD$40,BP254))*BW254)</f>
      </c>
      <c r="BY254" s="72">
        <f>IF(B254="","",IF(Metodo_Prorrateo="KG",IF(SUMIFS($I$6:$I$305,$D$6:$D$305,D254)=0,0,I254/SUMIFS($I$6:$I$305,$D$6:$D$305,D254)),IF(I254&gt;0,1/COUNTIFS($D$6:$D$305,D254,$I$6:$I$305,"&gt;0"),0)))</f>
      </c>
      <c r="BZ254" s="37">
        <f>IF(B254="","",IF(BP254=0,0,INDEX(COSTOS_FIJOS!$G$41:$AD$41,BP254))*BY254)</f>
      </c>
      <c r="CA254" s="70">
        <f>IF(B254="","",BT254+BV254+BX254+BZ254)</f>
      </c>
      <c r="CB254" s="37">
        <f>IF(B254="","",Q254*Imp_Ventas_Serv)</f>
      </c>
      <c r="CC254" s="37">
        <f>IF(B254="","",Q254*Contrib_Territorial)</f>
      </c>
      <c r="CD254" s="70">
        <f>IF(B254="","",BM254-CA254-CB254-CC254)</f>
      </c>
      <c r="CE254" s="37">
        <f>IF(B254="","",MAX(0,CD254)*Imp_Utilidades)</f>
      </c>
      <c r="CF254" s="70">
        <f>IF(B254="","",CD254-CE254)</f>
      </c>
      <c r="CG254" s="72">
        <f>IF(B254="","",IF(Q254=0,0,CF254/Q254))</f>
      </c>
      <c r="CH254" s="73">
        <f>IF(B254="","",IF(J254=0,0,(BL254+CA254+CB254+CC254)/J254))</f>
      </c>
      <c r="CI254" s="73">
        <f>IF(B254="","",IF(J254=0,0,Q254/J254))</f>
      </c>
      <c r="CJ254" s="73">
        <f>IF(B254="","",IF(J254=0,0,CD254/J254))</f>
      </c>
      <c r="CK254" s="37">
        <f>IF(B254="","",Y254+AE254+BK254+BT254)</f>
      </c>
      <c r="CL254" s="37">
        <f>IF(B254="","",IF(J254=0,0,(M254+P254*G254/J254)*(1-Pct_Reclamaciones-Pct_Banco-Imp_Ventas_Serv-Contrib_Territorial)-AI254-BE254-BV254-CK254*G254/J254))</f>
      </c>
      <c r="CM254" s="37">
        <f>IF(B254="","",IF(J254=0,0,(N254+P254*H254/J254)*(1-Pct_Reclamaciones-Pct_Banco-Imp_Ventas_Serv-Contrib_Territorial)-AS254-BF254-BX254-CK254*H254/J254))</f>
      </c>
      <c r="CN254" s="37">
        <f>IF(B254="","",IF(J254=0,0,(O254+P254*I254/J254)*(1-Pct_Reclamaciones-Pct_Banco-Imp_Ventas_Serv-Contrib_Territorial)-BC254-BG254-BZ254-CK254*I254/J254))</f>
      </c>
      <c r="CO254" s="37">
        <f>IF(B254="","",IF(J254=0,0,ROUND(CD254-CL254-CM254-CN254,4)))</f>
      </c>
      <c r="CP254" s="71">
        <f>IF(B254="","",T254+AG254+AK254+AM254+AU254+AW254)</f>
      </c>
      <c r="CQ254" s="71">
        <f>IF(B254="","",U254+AH254+AL254+AN254+AV254+AX254)</f>
      </c>
      <c r="CR254" s="72">
        <f>IF(B254="","",IF(CP254=0,0,CQ254/CP254-1))</f>
      </c>
      <c r="CS254" s="60">
        <f>IF(B254="","",IF(ENTRADA!$Y254="","",ENTRADA!$Y254-C254))</f>
      </c>
      <c r="CT254" s="66">
        <f>IF(B254="","",IF(ENTRADA!$C254="","Falta fecha. ","")&amp;IF(BP254=0,"Mes fuera del rango de COSTOS_FIJOS. ","")&amp;IF(J254=0,"Sin kg. ","")&amp;IF(E254="","Falta transitaria. ","")&amp;IF(AND(T254&gt;0,U254/T254-1&gt;Tolerancia_Comb),"Combustible al puerto "&amp;TEXT(U254/T254-1,"+0%")&amp;" sobre norma. ","")&amp;IF(AND(AG254&gt;0,AH254/AG254-1&gt;Tolerancia_Comb),"Combustible distribución Occidente "&amp;TEXT(AH254/AG254-1,"+0%")&amp;" sobre norma. ","")&amp;IF(AND(AK254&gt;0,AL254/AK254-1&gt;Tolerancia_Comb),"Combustible traslado Centro "&amp;TEXT(AL254/AK254-1,"+0%")&amp;" sobre norma. ","")&amp;IF(AND(AM254&gt;0,AN254/AM254-1&gt;Tolerancia_Comb),"Combustible distribución Centro "&amp;TEXT(AN254/AM254-1,"+0%")&amp;" sobre norma. ","")&amp;IF(AND(AU254&gt;0,AV254/AU254-1&gt;Tolerancia_Comb),"Combustible traslado Oriente "&amp;TEXT(AV254/AU254-1,"+0%")&amp;" sobre norma. ","")&amp;IF(AND(AW254&gt;0,AX254/AW254-1&gt;Tolerancia_Comb),"Combustible distribución Oriente "&amp;TEXT(AX254/AW254-1,"+0%")&amp;" sobre norma. ","")&amp;IF(AND(ENTRADA!$C254&lt;&gt;"",C254&lt;PRECIOS!$A$6),"Fecha anterior a la 1ª vigencia de precios. ","")&amp;IF(CD254&lt;0,"Contenedor con pérdida. ",""))</f>
      </c>
    </row>
    <row r="255">
      <c r="A255" s="60">
        <f>IF(B255="","",ROW()-5)</f>
      </c>
      <c r="B255" s="63">
        <f>IF(ENTRADA!$B255="","",ENTRADA!$B255)</f>
      </c>
      <c r="C255" s="64">
        <f>IF(B255="","",ENTRADA!$C255)</f>
      </c>
      <c r="D255" s="65">
        <f>IF(B255="","",DATE(YEAR(C255),MONTH(C255),1))</f>
      </c>
      <c r="E255" s="66">
        <f>IF(B255="","",ENTRADA!$D255&amp;"")</f>
      </c>
      <c r="F255" s="66">
        <f>IF(B255="","",ENTRADA!$Z255&amp;"")</f>
      </c>
      <c r="G255" s="67">
        <f>IF(B255="","",N(ENTRADA!$G255))</f>
      </c>
      <c r="H255" s="67">
        <f>IF(B255="","",N(ENTRADA!$H255))</f>
      </c>
      <c r="I255" s="67">
        <f>IF(B255="","",N(ENTRADA!$I255))</f>
      </c>
      <c r="J255" s="68">
        <f>IF(B255="","",G255+H255+I255)</f>
      </c>
      <c r="K255" s="60">
        <f>IF(B255="","",IFERROR(MATCH(SUMPRODUCT(MAX((PRECIOS!$A$6:$A$55&lt;=C255)*PRECIOS!$A$6:$A$55)),PRECIOS!$A$6:$A$55,0),1))</f>
      </c>
      <c r="L255" s="69">
        <f>IF(B255="","",INDEX(PRECIOS!$A$6:$A$55,K255))</f>
      </c>
      <c r="M255" s="37">
        <f>IF(B255="","",G255*INDEX(PRECIOS!$B$6:$B$55,K255))</f>
      </c>
      <c r="N255" s="37">
        <f>IF(B255="","",H255*INDEX(PRECIOS!$C$6:$C$55,K255))</f>
      </c>
      <c r="O255" s="37">
        <f>IF(B255="","",I255*INDEX(PRECIOS!$D$6:$D$55,K255))</f>
      </c>
      <c r="P255" s="37">
        <f>IF(B255="","",N(ENTRADA!$X255))</f>
      </c>
      <c r="Q255" s="70">
        <f>IF(B255="","",M255+N255+O255+P255)</f>
      </c>
      <c r="R255" s="71">
        <f>IF(B255="","",IF(ENTRADA!$J255="",Std_Viajes_Puerto,ENTRADA!$J255))</f>
      </c>
      <c r="S255" s="37">
        <f>IF(B255="","",R255*INDEX(PRECIOS!$F$6:$F$55,K255))</f>
      </c>
      <c r="T255" s="71">
        <f>IF(B255="","",R255*Litros_Puerto_Viaje)</f>
      </c>
      <c r="U255" s="71">
        <f>IF(B255="","",IF(ENTRADA!$K255="",T255,ENTRADA!$K255))</f>
      </c>
      <c r="V255" s="37">
        <f>IF(B255="","",U255*INDEX(PRECIOS!$E$6:$E$55,K255))</f>
      </c>
      <c r="W255" s="37">
        <f>IF(B255="","",IF(ENTRADA!$L255="",R255*INDEX(PRECIOS!$G$6:$G$55,K255),ENTRADA!$L255))</f>
      </c>
      <c r="X255" s="37">
        <f>IF(B255="","",R255*Km_Puerto_Viaje*INDEX(PRECIOS!$N$6:$N$55,K255))</f>
      </c>
      <c r="Y255" s="70">
        <f>IF(B255="","",S255+V255+W255+X255)</f>
      </c>
      <c r="Z255" s="71">
        <f>IF(B255="","",IF(J255=0,0,ROUNDUP(J255/Rend_Desagrupe,0)))</f>
      </c>
      <c r="AA255" s="71">
        <f>IF(B255="","",IF(ENTRADA!$M255="",Z255,ENTRADA!$M255))</f>
      </c>
      <c r="AB255" s="37">
        <f>IF(B255="","",AA255*INDEX(PRECIOS!$H$6:$H$55,K255))</f>
      </c>
      <c r="AC255" s="37">
        <f>IF(B255="","",IF(E255="ENCI",INDEX(PRECIOS!$J$6:$J$55,K255),IF(E255="A.V",INDEX(PRECIOS!$K$6:$K$55,K255),0)))</f>
      </c>
      <c r="AD255" s="37">
        <f>IF(B255="","",N(ENTRADA!$N255))</f>
      </c>
      <c r="AE255" s="70">
        <f>IF(B255="","",AB255+AC255+AD255)</f>
      </c>
      <c r="AF255" s="71">
        <f>IF(B255="","",IF(G255=0,0,ROUNDUP(G255/Cap_Camion_OCC,0)))</f>
      </c>
      <c r="AG255" s="71">
        <f>IF(B255="","",AF255*L_Dist_OCC)</f>
      </c>
      <c r="AH255" s="71">
        <f>IF(B255="","",IF(ENTRADA!$O255="",AG255,ENTRADA!$O255))</f>
      </c>
      <c r="AI255" s="37">
        <f>IF(B255="","",AH255*INDEX(PRECIOS!$E$6:$E$55,K255))</f>
      </c>
      <c r="AJ255" s="71">
        <f>IF(B255="","",IF(H255=0,0,ROUNDUP(H255/Cap_Camion_CEN,0)))</f>
      </c>
      <c r="AK255" s="71">
        <f>IF(B255="","",AJ255*L_Tras_CEN)</f>
      </c>
      <c r="AL255" s="71">
        <f>IF(B255="","",IF(ENTRADA!$P255="",AK255,ENTRADA!$P255))</f>
      </c>
      <c r="AM255" s="71">
        <f>IF(B255="","",AJ255*L_Dist_CEN)</f>
      </c>
      <c r="AN255" s="71">
        <f>IF(B255="","",IF(ENTRADA!$Q255="",AM255,ENTRADA!$Q255))</f>
      </c>
      <c r="AO255" s="37">
        <f>IF(B255="","",(AL255+AN255)*INDEX(PRECIOS!$E$6:$E$55,K255))</f>
      </c>
      <c r="AP255" s="71">
        <f>IF(B255="","",IF(H255=0,0,ROUNDUP(H255/Rend_Desagrupe_CT,0)))</f>
      </c>
      <c r="AQ255" s="71">
        <f>IF(B255="","",IF(ENTRADA!$R255="",AP255,ENTRADA!$R255))</f>
      </c>
      <c r="AR255" s="37">
        <f>IF(B255="","",AQ255*INDEX(PRECIOS!$I$6:$I$55,K255))</f>
      </c>
      <c r="AS255" s="37">
        <f>IF(B255="","",AO255+AR255)</f>
      </c>
      <c r="AT255" s="71">
        <f>IF(B255="","",IF(I255=0,0,ROUNDUP(I255/Cap_Camion_ORI,0)))</f>
      </c>
      <c r="AU255" s="71">
        <f>IF(B255="","",AT255*L_Tras_ORI)</f>
      </c>
      <c r="AV255" s="71">
        <f>IF(B255="","",IF(ENTRADA!$S255="",AU255,ENTRADA!$S255))</f>
      </c>
      <c r="AW255" s="71">
        <f>IF(B255="","",AT255*L_Dist_ORI)</f>
      </c>
      <c r="AX255" s="71">
        <f>IF(B255="","",IF(ENTRADA!$T255="",AW255,ENTRADA!$T255))</f>
      </c>
      <c r="AY255" s="37">
        <f>IF(B255="","",(AV255+AX255)*INDEX(PRECIOS!$E$6:$E$55,K255))</f>
      </c>
      <c r="AZ255" s="71">
        <f>IF(B255="","",IF(I255=0,0,ROUNDUP(I255/Rend_Desagrupe_CT,0)))</f>
      </c>
      <c r="BA255" s="71">
        <f>IF(B255="","",IF(ENTRADA!$U255="",AZ255,ENTRADA!$U255))</f>
      </c>
      <c r="BB255" s="37">
        <f>IF(B255="","",BA255*INDEX(PRECIOS!$I$6:$I$55,K255))</f>
      </c>
      <c r="BC255" s="37">
        <f>IF(B255="","",AY255+BB255)</f>
      </c>
      <c r="BD255" s="70">
        <f>IF(B255="","",AI255+AS255+BC255)</f>
      </c>
      <c r="BE255" s="37">
        <f>IF(B255="","",IF(Base_Comision="% DEL INGRESO",M255*INDEX(PRECIOS!$L$6:$L$55,K255),G255*INDEX(PRECIOS!$M$6:$M$55,K255)))</f>
      </c>
      <c r="BF255" s="37">
        <f>IF(B255="","",IF(Base_Comision="% DEL INGRESO",N255*INDEX(PRECIOS!$L$6:$L$55,K255),H255*INDEX(PRECIOS!$M$6:$M$55,K255)))</f>
      </c>
      <c r="BG255" s="37">
        <f>IF(B255="","",IF(Base_Comision="% DEL INGRESO",O255*INDEX(PRECIOS!$L$6:$L$55,K255),I255*INDEX(PRECIOS!$M$6:$M$55,K255)))</f>
      </c>
      <c r="BH255" s="70">
        <f>IF(B255="","",BE255+BF255+BG255)</f>
      </c>
      <c r="BI255" s="37">
        <f>IF(B255="","",Q255*Pct_Reclamaciones)</f>
      </c>
      <c r="BJ255" s="37">
        <f>IF(B255="","",Q255*Pct_Banco)</f>
      </c>
      <c r="BK255" s="37">
        <f>IF(B255="","",N(ENTRADA!$V255))</f>
      </c>
      <c r="BL255" s="70">
        <f>IF(B255="","",Y255+AE255+BD255+BH255+BI255+BJ255+BK255)</f>
      </c>
      <c r="BM255" s="70">
        <f>IF(B255="","",Q255-BL255)</f>
      </c>
      <c r="BN255" s="72">
        <f>IF(B255="","",IF(Q255=0,0,BM255/Q255))</f>
      </c>
      <c r="BO255" s="73">
        <f>IF(B255="","",IF(J255=0,0,BM255/J255))</f>
      </c>
      <c r="BP255" s="60">
        <f>IF(B255="","",IFERROR(MATCH(D255,COSTOS_FIJOS!$G$5:$AD$5,0),0))</f>
      </c>
      <c r="BQ255" s="60">
        <f>IF(B255="","",COUNTIFS($D$6:$D$305,D255))</f>
      </c>
      <c r="BR255" s="67">
        <f>IF(B255="","",SUMIFS($J$6:$J$305,$D$6:$D$305,D255))</f>
      </c>
      <c r="BS255" s="72">
        <f>IF(B255="","",IF(Metodo_Prorrateo="KG",IF(BR255=0,0,J255/BR255),1/BQ255))</f>
      </c>
      <c r="BT255" s="37">
        <f>IF(B255="","",IF(BP255=0,0,INDEX(COSTOS_FIJOS!$G$38:$AD$38,BP255))*BS255)</f>
      </c>
      <c r="BU255" s="72">
        <f>IF(B255="","",IF(Metodo_Prorrateo="KG",IF(SUMIFS($G$6:$G$305,$D$6:$D$305,D255)=0,0,G255/SUMIFS($G$6:$G$305,$D$6:$D$305,D255)),IF(G255&gt;0,1/COUNTIFS($D$6:$D$305,D255,$G$6:$G$305,"&gt;0"),0)))</f>
      </c>
      <c r="BV255" s="37">
        <f>IF(B255="","",IF(BP255=0,0,INDEX(COSTOS_FIJOS!$G$39:$AD$39,BP255))*BU255)</f>
      </c>
      <c r="BW255" s="72">
        <f>IF(B255="","",IF(Metodo_Prorrateo="KG",IF(SUMIFS($H$6:$H$305,$D$6:$D$305,D255)=0,0,H255/SUMIFS($H$6:$H$305,$D$6:$D$305,D255)),IF(H255&gt;0,1/COUNTIFS($D$6:$D$305,D255,$H$6:$H$305,"&gt;0"),0)))</f>
      </c>
      <c r="BX255" s="37">
        <f>IF(B255="","",IF(BP255=0,0,INDEX(COSTOS_FIJOS!$G$40:$AD$40,BP255))*BW255)</f>
      </c>
      <c r="BY255" s="72">
        <f>IF(B255="","",IF(Metodo_Prorrateo="KG",IF(SUMIFS($I$6:$I$305,$D$6:$D$305,D255)=0,0,I255/SUMIFS($I$6:$I$305,$D$6:$D$305,D255)),IF(I255&gt;0,1/COUNTIFS($D$6:$D$305,D255,$I$6:$I$305,"&gt;0"),0)))</f>
      </c>
      <c r="BZ255" s="37">
        <f>IF(B255="","",IF(BP255=0,0,INDEX(COSTOS_FIJOS!$G$41:$AD$41,BP255))*BY255)</f>
      </c>
      <c r="CA255" s="70">
        <f>IF(B255="","",BT255+BV255+BX255+BZ255)</f>
      </c>
      <c r="CB255" s="37">
        <f>IF(B255="","",Q255*Imp_Ventas_Serv)</f>
      </c>
      <c r="CC255" s="37">
        <f>IF(B255="","",Q255*Contrib_Territorial)</f>
      </c>
      <c r="CD255" s="70">
        <f>IF(B255="","",BM255-CA255-CB255-CC255)</f>
      </c>
      <c r="CE255" s="37">
        <f>IF(B255="","",MAX(0,CD255)*Imp_Utilidades)</f>
      </c>
      <c r="CF255" s="70">
        <f>IF(B255="","",CD255-CE255)</f>
      </c>
      <c r="CG255" s="72">
        <f>IF(B255="","",IF(Q255=0,0,CF255/Q255))</f>
      </c>
      <c r="CH255" s="73">
        <f>IF(B255="","",IF(J255=0,0,(BL255+CA255+CB255+CC255)/J255))</f>
      </c>
      <c r="CI255" s="73">
        <f>IF(B255="","",IF(J255=0,0,Q255/J255))</f>
      </c>
      <c r="CJ255" s="73">
        <f>IF(B255="","",IF(J255=0,0,CD255/J255))</f>
      </c>
      <c r="CK255" s="37">
        <f>IF(B255="","",Y255+AE255+BK255+BT255)</f>
      </c>
      <c r="CL255" s="37">
        <f>IF(B255="","",IF(J255=0,0,(M255+P255*G255/J255)*(1-Pct_Reclamaciones-Pct_Banco-Imp_Ventas_Serv-Contrib_Territorial)-AI255-BE255-BV255-CK255*G255/J255))</f>
      </c>
      <c r="CM255" s="37">
        <f>IF(B255="","",IF(J255=0,0,(N255+P255*H255/J255)*(1-Pct_Reclamaciones-Pct_Banco-Imp_Ventas_Serv-Contrib_Territorial)-AS255-BF255-BX255-CK255*H255/J255))</f>
      </c>
      <c r="CN255" s="37">
        <f>IF(B255="","",IF(J255=0,0,(O255+P255*I255/J255)*(1-Pct_Reclamaciones-Pct_Banco-Imp_Ventas_Serv-Contrib_Territorial)-BC255-BG255-BZ255-CK255*I255/J255))</f>
      </c>
      <c r="CO255" s="37">
        <f>IF(B255="","",IF(J255=0,0,ROUND(CD255-CL255-CM255-CN255,4)))</f>
      </c>
      <c r="CP255" s="71">
        <f>IF(B255="","",T255+AG255+AK255+AM255+AU255+AW255)</f>
      </c>
      <c r="CQ255" s="71">
        <f>IF(B255="","",U255+AH255+AL255+AN255+AV255+AX255)</f>
      </c>
      <c r="CR255" s="72">
        <f>IF(B255="","",IF(CP255=0,0,CQ255/CP255-1))</f>
      </c>
      <c r="CS255" s="60">
        <f>IF(B255="","",IF(ENTRADA!$Y255="","",ENTRADA!$Y255-C255))</f>
      </c>
      <c r="CT255" s="66">
        <f>IF(B255="","",IF(ENTRADA!$C255="","Falta fecha. ","")&amp;IF(BP255=0,"Mes fuera del rango de COSTOS_FIJOS. ","")&amp;IF(J255=0,"Sin kg. ","")&amp;IF(E255="","Falta transitaria. ","")&amp;IF(AND(T255&gt;0,U255/T255-1&gt;Tolerancia_Comb),"Combustible al puerto "&amp;TEXT(U255/T255-1,"+0%")&amp;" sobre norma. ","")&amp;IF(AND(AG255&gt;0,AH255/AG255-1&gt;Tolerancia_Comb),"Combustible distribución Occidente "&amp;TEXT(AH255/AG255-1,"+0%")&amp;" sobre norma. ","")&amp;IF(AND(AK255&gt;0,AL255/AK255-1&gt;Tolerancia_Comb),"Combustible traslado Centro "&amp;TEXT(AL255/AK255-1,"+0%")&amp;" sobre norma. ","")&amp;IF(AND(AM255&gt;0,AN255/AM255-1&gt;Tolerancia_Comb),"Combustible distribución Centro "&amp;TEXT(AN255/AM255-1,"+0%")&amp;" sobre norma. ","")&amp;IF(AND(AU255&gt;0,AV255/AU255-1&gt;Tolerancia_Comb),"Combustible traslado Oriente "&amp;TEXT(AV255/AU255-1,"+0%")&amp;" sobre norma. ","")&amp;IF(AND(AW255&gt;0,AX255/AW255-1&gt;Tolerancia_Comb),"Combustible distribución Oriente "&amp;TEXT(AX255/AW255-1,"+0%")&amp;" sobre norma. ","")&amp;IF(AND(ENTRADA!$C255&lt;&gt;"",C255&lt;PRECIOS!$A$6),"Fecha anterior a la 1ª vigencia de precios. ","")&amp;IF(CD255&lt;0,"Contenedor con pérdida. ",""))</f>
      </c>
    </row>
    <row r="256">
      <c r="A256" s="60">
        <f>IF(B256="","",ROW()-5)</f>
      </c>
      <c r="B256" s="63">
        <f>IF(ENTRADA!$B256="","",ENTRADA!$B256)</f>
      </c>
      <c r="C256" s="64">
        <f>IF(B256="","",ENTRADA!$C256)</f>
      </c>
      <c r="D256" s="65">
        <f>IF(B256="","",DATE(YEAR(C256),MONTH(C256),1))</f>
      </c>
      <c r="E256" s="66">
        <f>IF(B256="","",ENTRADA!$D256&amp;"")</f>
      </c>
      <c r="F256" s="66">
        <f>IF(B256="","",ENTRADA!$Z256&amp;"")</f>
      </c>
      <c r="G256" s="67">
        <f>IF(B256="","",N(ENTRADA!$G256))</f>
      </c>
      <c r="H256" s="67">
        <f>IF(B256="","",N(ENTRADA!$H256))</f>
      </c>
      <c r="I256" s="67">
        <f>IF(B256="","",N(ENTRADA!$I256))</f>
      </c>
      <c r="J256" s="68">
        <f>IF(B256="","",G256+H256+I256)</f>
      </c>
      <c r="K256" s="60">
        <f>IF(B256="","",IFERROR(MATCH(SUMPRODUCT(MAX((PRECIOS!$A$6:$A$55&lt;=C256)*PRECIOS!$A$6:$A$55)),PRECIOS!$A$6:$A$55,0),1))</f>
      </c>
      <c r="L256" s="69">
        <f>IF(B256="","",INDEX(PRECIOS!$A$6:$A$55,K256))</f>
      </c>
      <c r="M256" s="37">
        <f>IF(B256="","",G256*INDEX(PRECIOS!$B$6:$B$55,K256))</f>
      </c>
      <c r="N256" s="37">
        <f>IF(B256="","",H256*INDEX(PRECIOS!$C$6:$C$55,K256))</f>
      </c>
      <c r="O256" s="37">
        <f>IF(B256="","",I256*INDEX(PRECIOS!$D$6:$D$55,K256))</f>
      </c>
      <c r="P256" s="37">
        <f>IF(B256="","",N(ENTRADA!$X256))</f>
      </c>
      <c r="Q256" s="70">
        <f>IF(B256="","",M256+N256+O256+P256)</f>
      </c>
      <c r="R256" s="71">
        <f>IF(B256="","",IF(ENTRADA!$J256="",Std_Viajes_Puerto,ENTRADA!$J256))</f>
      </c>
      <c r="S256" s="37">
        <f>IF(B256="","",R256*INDEX(PRECIOS!$F$6:$F$55,K256))</f>
      </c>
      <c r="T256" s="71">
        <f>IF(B256="","",R256*Litros_Puerto_Viaje)</f>
      </c>
      <c r="U256" s="71">
        <f>IF(B256="","",IF(ENTRADA!$K256="",T256,ENTRADA!$K256))</f>
      </c>
      <c r="V256" s="37">
        <f>IF(B256="","",U256*INDEX(PRECIOS!$E$6:$E$55,K256))</f>
      </c>
      <c r="W256" s="37">
        <f>IF(B256="","",IF(ENTRADA!$L256="",R256*INDEX(PRECIOS!$G$6:$G$55,K256),ENTRADA!$L256))</f>
      </c>
      <c r="X256" s="37">
        <f>IF(B256="","",R256*Km_Puerto_Viaje*INDEX(PRECIOS!$N$6:$N$55,K256))</f>
      </c>
      <c r="Y256" s="70">
        <f>IF(B256="","",S256+V256+W256+X256)</f>
      </c>
      <c r="Z256" s="71">
        <f>IF(B256="","",IF(J256=0,0,ROUNDUP(J256/Rend_Desagrupe,0)))</f>
      </c>
      <c r="AA256" s="71">
        <f>IF(B256="","",IF(ENTRADA!$M256="",Z256,ENTRADA!$M256))</f>
      </c>
      <c r="AB256" s="37">
        <f>IF(B256="","",AA256*INDEX(PRECIOS!$H$6:$H$55,K256))</f>
      </c>
      <c r="AC256" s="37">
        <f>IF(B256="","",IF(E256="ENCI",INDEX(PRECIOS!$J$6:$J$55,K256),IF(E256="A.V",INDEX(PRECIOS!$K$6:$K$55,K256),0)))</f>
      </c>
      <c r="AD256" s="37">
        <f>IF(B256="","",N(ENTRADA!$N256))</f>
      </c>
      <c r="AE256" s="70">
        <f>IF(B256="","",AB256+AC256+AD256)</f>
      </c>
      <c r="AF256" s="71">
        <f>IF(B256="","",IF(G256=0,0,ROUNDUP(G256/Cap_Camion_OCC,0)))</f>
      </c>
      <c r="AG256" s="71">
        <f>IF(B256="","",AF256*L_Dist_OCC)</f>
      </c>
      <c r="AH256" s="71">
        <f>IF(B256="","",IF(ENTRADA!$O256="",AG256,ENTRADA!$O256))</f>
      </c>
      <c r="AI256" s="37">
        <f>IF(B256="","",AH256*INDEX(PRECIOS!$E$6:$E$55,K256))</f>
      </c>
      <c r="AJ256" s="71">
        <f>IF(B256="","",IF(H256=0,0,ROUNDUP(H256/Cap_Camion_CEN,0)))</f>
      </c>
      <c r="AK256" s="71">
        <f>IF(B256="","",AJ256*L_Tras_CEN)</f>
      </c>
      <c r="AL256" s="71">
        <f>IF(B256="","",IF(ENTRADA!$P256="",AK256,ENTRADA!$P256))</f>
      </c>
      <c r="AM256" s="71">
        <f>IF(B256="","",AJ256*L_Dist_CEN)</f>
      </c>
      <c r="AN256" s="71">
        <f>IF(B256="","",IF(ENTRADA!$Q256="",AM256,ENTRADA!$Q256))</f>
      </c>
      <c r="AO256" s="37">
        <f>IF(B256="","",(AL256+AN256)*INDEX(PRECIOS!$E$6:$E$55,K256))</f>
      </c>
      <c r="AP256" s="71">
        <f>IF(B256="","",IF(H256=0,0,ROUNDUP(H256/Rend_Desagrupe_CT,0)))</f>
      </c>
      <c r="AQ256" s="71">
        <f>IF(B256="","",IF(ENTRADA!$R256="",AP256,ENTRADA!$R256))</f>
      </c>
      <c r="AR256" s="37">
        <f>IF(B256="","",AQ256*INDEX(PRECIOS!$I$6:$I$55,K256))</f>
      </c>
      <c r="AS256" s="37">
        <f>IF(B256="","",AO256+AR256)</f>
      </c>
      <c r="AT256" s="71">
        <f>IF(B256="","",IF(I256=0,0,ROUNDUP(I256/Cap_Camion_ORI,0)))</f>
      </c>
      <c r="AU256" s="71">
        <f>IF(B256="","",AT256*L_Tras_ORI)</f>
      </c>
      <c r="AV256" s="71">
        <f>IF(B256="","",IF(ENTRADA!$S256="",AU256,ENTRADA!$S256))</f>
      </c>
      <c r="AW256" s="71">
        <f>IF(B256="","",AT256*L_Dist_ORI)</f>
      </c>
      <c r="AX256" s="71">
        <f>IF(B256="","",IF(ENTRADA!$T256="",AW256,ENTRADA!$T256))</f>
      </c>
      <c r="AY256" s="37">
        <f>IF(B256="","",(AV256+AX256)*INDEX(PRECIOS!$E$6:$E$55,K256))</f>
      </c>
      <c r="AZ256" s="71">
        <f>IF(B256="","",IF(I256=0,0,ROUNDUP(I256/Rend_Desagrupe_CT,0)))</f>
      </c>
      <c r="BA256" s="71">
        <f>IF(B256="","",IF(ENTRADA!$U256="",AZ256,ENTRADA!$U256))</f>
      </c>
      <c r="BB256" s="37">
        <f>IF(B256="","",BA256*INDEX(PRECIOS!$I$6:$I$55,K256))</f>
      </c>
      <c r="BC256" s="37">
        <f>IF(B256="","",AY256+BB256)</f>
      </c>
      <c r="BD256" s="70">
        <f>IF(B256="","",AI256+AS256+BC256)</f>
      </c>
      <c r="BE256" s="37">
        <f>IF(B256="","",IF(Base_Comision="% DEL INGRESO",M256*INDEX(PRECIOS!$L$6:$L$55,K256),G256*INDEX(PRECIOS!$M$6:$M$55,K256)))</f>
      </c>
      <c r="BF256" s="37">
        <f>IF(B256="","",IF(Base_Comision="% DEL INGRESO",N256*INDEX(PRECIOS!$L$6:$L$55,K256),H256*INDEX(PRECIOS!$M$6:$M$55,K256)))</f>
      </c>
      <c r="BG256" s="37">
        <f>IF(B256="","",IF(Base_Comision="% DEL INGRESO",O256*INDEX(PRECIOS!$L$6:$L$55,K256),I256*INDEX(PRECIOS!$M$6:$M$55,K256)))</f>
      </c>
      <c r="BH256" s="70">
        <f>IF(B256="","",BE256+BF256+BG256)</f>
      </c>
      <c r="BI256" s="37">
        <f>IF(B256="","",Q256*Pct_Reclamaciones)</f>
      </c>
      <c r="BJ256" s="37">
        <f>IF(B256="","",Q256*Pct_Banco)</f>
      </c>
      <c r="BK256" s="37">
        <f>IF(B256="","",N(ENTRADA!$V256))</f>
      </c>
      <c r="BL256" s="70">
        <f>IF(B256="","",Y256+AE256+BD256+BH256+BI256+BJ256+BK256)</f>
      </c>
      <c r="BM256" s="70">
        <f>IF(B256="","",Q256-BL256)</f>
      </c>
      <c r="BN256" s="72">
        <f>IF(B256="","",IF(Q256=0,0,BM256/Q256))</f>
      </c>
      <c r="BO256" s="73">
        <f>IF(B256="","",IF(J256=0,0,BM256/J256))</f>
      </c>
      <c r="BP256" s="60">
        <f>IF(B256="","",IFERROR(MATCH(D256,COSTOS_FIJOS!$G$5:$AD$5,0),0))</f>
      </c>
      <c r="BQ256" s="60">
        <f>IF(B256="","",COUNTIFS($D$6:$D$305,D256))</f>
      </c>
      <c r="BR256" s="67">
        <f>IF(B256="","",SUMIFS($J$6:$J$305,$D$6:$D$305,D256))</f>
      </c>
      <c r="BS256" s="72">
        <f>IF(B256="","",IF(Metodo_Prorrateo="KG",IF(BR256=0,0,J256/BR256),1/BQ256))</f>
      </c>
      <c r="BT256" s="37">
        <f>IF(B256="","",IF(BP256=0,0,INDEX(COSTOS_FIJOS!$G$38:$AD$38,BP256))*BS256)</f>
      </c>
      <c r="BU256" s="72">
        <f>IF(B256="","",IF(Metodo_Prorrateo="KG",IF(SUMIFS($G$6:$G$305,$D$6:$D$305,D256)=0,0,G256/SUMIFS($G$6:$G$305,$D$6:$D$305,D256)),IF(G256&gt;0,1/COUNTIFS($D$6:$D$305,D256,$G$6:$G$305,"&gt;0"),0)))</f>
      </c>
      <c r="BV256" s="37">
        <f>IF(B256="","",IF(BP256=0,0,INDEX(COSTOS_FIJOS!$G$39:$AD$39,BP256))*BU256)</f>
      </c>
      <c r="BW256" s="72">
        <f>IF(B256="","",IF(Metodo_Prorrateo="KG",IF(SUMIFS($H$6:$H$305,$D$6:$D$305,D256)=0,0,H256/SUMIFS($H$6:$H$305,$D$6:$D$305,D256)),IF(H256&gt;0,1/COUNTIFS($D$6:$D$305,D256,$H$6:$H$305,"&gt;0"),0)))</f>
      </c>
      <c r="BX256" s="37">
        <f>IF(B256="","",IF(BP256=0,0,INDEX(COSTOS_FIJOS!$G$40:$AD$40,BP256))*BW256)</f>
      </c>
      <c r="BY256" s="72">
        <f>IF(B256="","",IF(Metodo_Prorrateo="KG",IF(SUMIFS($I$6:$I$305,$D$6:$D$305,D256)=0,0,I256/SUMIFS($I$6:$I$305,$D$6:$D$305,D256)),IF(I256&gt;0,1/COUNTIFS($D$6:$D$305,D256,$I$6:$I$305,"&gt;0"),0)))</f>
      </c>
      <c r="BZ256" s="37">
        <f>IF(B256="","",IF(BP256=0,0,INDEX(COSTOS_FIJOS!$G$41:$AD$41,BP256))*BY256)</f>
      </c>
      <c r="CA256" s="70">
        <f>IF(B256="","",BT256+BV256+BX256+BZ256)</f>
      </c>
      <c r="CB256" s="37">
        <f>IF(B256="","",Q256*Imp_Ventas_Serv)</f>
      </c>
      <c r="CC256" s="37">
        <f>IF(B256="","",Q256*Contrib_Territorial)</f>
      </c>
      <c r="CD256" s="70">
        <f>IF(B256="","",BM256-CA256-CB256-CC256)</f>
      </c>
      <c r="CE256" s="37">
        <f>IF(B256="","",MAX(0,CD256)*Imp_Utilidades)</f>
      </c>
      <c r="CF256" s="70">
        <f>IF(B256="","",CD256-CE256)</f>
      </c>
      <c r="CG256" s="72">
        <f>IF(B256="","",IF(Q256=0,0,CF256/Q256))</f>
      </c>
      <c r="CH256" s="73">
        <f>IF(B256="","",IF(J256=0,0,(BL256+CA256+CB256+CC256)/J256))</f>
      </c>
      <c r="CI256" s="73">
        <f>IF(B256="","",IF(J256=0,0,Q256/J256))</f>
      </c>
      <c r="CJ256" s="73">
        <f>IF(B256="","",IF(J256=0,0,CD256/J256))</f>
      </c>
      <c r="CK256" s="37">
        <f>IF(B256="","",Y256+AE256+BK256+BT256)</f>
      </c>
      <c r="CL256" s="37">
        <f>IF(B256="","",IF(J256=0,0,(M256+P256*G256/J256)*(1-Pct_Reclamaciones-Pct_Banco-Imp_Ventas_Serv-Contrib_Territorial)-AI256-BE256-BV256-CK256*G256/J256))</f>
      </c>
      <c r="CM256" s="37">
        <f>IF(B256="","",IF(J256=0,0,(N256+P256*H256/J256)*(1-Pct_Reclamaciones-Pct_Banco-Imp_Ventas_Serv-Contrib_Territorial)-AS256-BF256-BX256-CK256*H256/J256))</f>
      </c>
      <c r="CN256" s="37">
        <f>IF(B256="","",IF(J256=0,0,(O256+P256*I256/J256)*(1-Pct_Reclamaciones-Pct_Banco-Imp_Ventas_Serv-Contrib_Territorial)-BC256-BG256-BZ256-CK256*I256/J256))</f>
      </c>
      <c r="CO256" s="37">
        <f>IF(B256="","",IF(J256=0,0,ROUND(CD256-CL256-CM256-CN256,4)))</f>
      </c>
      <c r="CP256" s="71">
        <f>IF(B256="","",T256+AG256+AK256+AM256+AU256+AW256)</f>
      </c>
      <c r="CQ256" s="71">
        <f>IF(B256="","",U256+AH256+AL256+AN256+AV256+AX256)</f>
      </c>
      <c r="CR256" s="72">
        <f>IF(B256="","",IF(CP256=0,0,CQ256/CP256-1))</f>
      </c>
      <c r="CS256" s="60">
        <f>IF(B256="","",IF(ENTRADA!$Y256="","",ENTRADA!$Y256-C256))</f>
      </c>
      <c r="CT256" s="66">
        <f>IF(B256="","",IF(ENTRADA!$C256="","Falta fecha. ","")&amp;IF(BP256=0,"Mes fuera del rango de COSTOS_FIJOS. ","")&amp;IF(J256=0,"Sin kg. ","")&amp;IF(E256="","Falta transitaria. ","")&amp;IF(AND(T256&gt;0,U256/T256-1&gt;Tolerancia_Comb),"Combustible al puerto "&amp;TEXT(U256/T256-1,"+0%")&amp;" sobre norma. ","")&amp;IF(AND(AG256&gt;0,AH256/AG256-1&gt;Tolerancia_Comb),"Combustible distribución Occidente "&amp;TEXT(AH256/AG256-1,"+0%")&amp;" sobre norma. ","")&amp;IF(AND(AK256&gt;0,AL256/AK256-1&gt;Tolerancia_Comb),"Combustible traslado Centro "&amp;TEXT(AL256/AK256-1,"+0%")&amp;" sobre norma. ","")&amp;IF(AND(AM256&gt;0,AN256/AM256-1&gt;Tolerancia_Comb),"Combustible distribución Centro "&amp;TEXT(AN256/AM256-1,"+0%")&amp;" sobre norma. ","")&amp;IF(AND(AU256&gt;0,AV256/AU256-1&gt;Tolerancia_Comb),"Combustible traslado Oriente "&amp;TEXT(AV256/AU256-1,"+0%")&amp;" sobre norma. ","")&amp;IF(AND(AW256&gt;0,AX256/AW256-1&gt;Tolerancia_Comb),"Combustible distribución Oriente "&amp;TEXT(AX256/AW256-1,"+0%")&amp;" sobre norma. ","")&amp;IF(AND(ENTRADA!$C256&lt;&gt;"",C256&lt;PRECIOS!$A$6),"Fecha anterior a la 1ª vigencia de precios. ","")&amp;IF(CD256&lt;0,"Contenedor con pérdida. ",""))</f>
      </c>
    </row>
    <row r="257">
      <c r="A257" s="60">
        <f>IF(B257="","",ROW()-5)</f>
      </c>
      <c r="B257" s="63">
        <f>IF(ENTRADA!$B257="","",ENTRADA!$B257)</f>
      </c>
      <c r="C257" s="64">
        <f>IF(B257="","",ENTRADA!$C257)</f>
      </c>
      <c r="D257" s="65">
        <f>IF(B257="","",DATE(YEAR(C257),MONTH(C257),1))</f>
      </c>
      <c r="E257" s="66">
        <f>IF(B257="","",ENTRADA!$D257&amp;"")</f>
      </c>
      <c r="F257" s="66">
        <f>IF(B257="","",ENTRADA!$Z257&amp;"")</f>
      </c>
      <c r="G257" s="67">
        <f>IF(B257="","",N(ENTRADA!$G257))</f>
      </c>
      <c r="H257" s="67">
        <f>IF(B257="","",N(ENTRADA!$H257))</f>
      </c>
      <c r="I257" s="67">
        <f>IF(B257="","",N(ENTRADA!$I257))</f>
      </c>
      <c r="J257" s="68">
        <f>IF(B257="","",G257+H257+I257)</f>
      </c>
      <c r="K257" s="60">
        <f>IF(B257="","",IFERROR(MATCH(SUMPRODUCT(MAX((PRECIOS!$A$6:$A$55&lt;=C257)*PRECIOS!$A$6:$A$55)),PRECIOS!$A$6:$A$55,0),1))</f>
      </c>
      <c r="L257" s="69">
        <f>IF(B257="","",INDEX(PRECIOS!$A$6:$A$55,K257))</f>
      </c>
      <c r="M257" s="37">
        <f>IF(B257="","",G257*INDEX(PRECIOS!$B$6:$B$55,K257))</f>
      </c>
      <c r="N257" s="37">
        <f>IF(B257="","",H257*INDEX(PRECIOS!$C$6:$C$55,K257))</f>
      </c>
      <c r="O257" s="37">
        <f>IF(B257="","",I257*INDEX(PRECIOS!$D$6:$D$55,K257))</f>
      </c>
      <c r="P257" s="37">
        <f>IF(B257="","",N(ENTRADA!$X257))</f>
      </c>
      <c r="Q257" s="70">
        <f>IF(B257="","",M257+N257+O257+P257)</f>
      </c>
      <c r="R257" s="71">
        <f>IF(B257="","",IF(ENTRADA!$J257="",Std_Viajes_Puerto,ENTRADA!$J257))</f>
      </c>
      <c r="S257" s="37">
        <f>IF(B257="","",R257*INDEX(PRECIOS!$F$6:$F$55,K257))</f>
      </c>
      <c r="T257" s="71">
        <f>IF(B257="","",R257*Litros_Puerto_Viaje)</f>
      </c>
      <c r="U257" s="71">
        <f>IF(B257="","",IF(ENTRADA!$K257="",T257,ENTRADA!$K257))</f>
      </c>
      <c r="V257" s="37">
        <f>IF(B257="","",U257*INDEX(PRECIOS!$E$6:$E$55,K257))</f>
      </c>
      <c r="W257" s="37">
        <f>IF(B257="","",IF(ENTRADA!$L257="",R257*INDEX(PRECIOS!$G$6:$G$55,K257),ENTRADA!$L257))</f>
      </c>
      <c r="X257" s="37">
        <f>IF(B257="","",R257*Km_Puerto_Viaje*INDEX(PRECIOS!$N$6:$N$55,K257))</f>
      </c>
      <c r="Y257" s="70">
        <f>IF(B257="","",S257+V257+W257+X257)</f>
      </c>
      <c r="Z257" s="71">
        <f>IF(B257="","",IF(J257=0,0,ROUNDUP(J257/Rend_Desagrupe,0)))</f>
      </c>
      <c r="AA257" s="71">
        <f>IF(B257="","",IF(ENTRADA!$M257="",Z257,ENTRADA!$M257))</f>
      </c>
      <c r="AB257" s="37">
        <f>IF(B257="","",AA257*INDEX(PRECIOS!$H$6:$H$55,K257))</f>
      </c>
      <c r="AC257" s="37">
        <f>IF(B257="","",IF(E257="ENCI",INDEX(PRECIOS!$J$6:$J$55,K257),IF(E257="A.V",INDEX(PRECIOS!$K$6:$K$55,K257),0)))</f>
      </c>
      <c r="AD257" s="37">
        <f>IF(B257="","",N(ENTRADA!$N257))</f>
      </c>
      <c r="AE257" s="70">
        <f>IF(B257="","",AB257+AC257+AD257)</f>
      </c>
      <c r="AF257" s="71">
        <f>IF(B257="","",IF(G257=0,0,ROUNDUP(G257/Cap_Camion_OCC,0)))</f>
      </c>
      <c r="AG257" s="71">
        <f>IF(B257="","",AF257*L_Dist_OCC)</f>
      </c>
      <c r="AH257" s="71">
        <f>IF(B257="","",IF(ENTRADA!$O257="",AG257,ENTRADA!$O257))</f>
      </c>
      <c r="AI257" s="37">
        <f>IF(B257="","",AH257*INDEX(PRECIOS!$E$6:$E$55,K257))</f>
      </c>
      <c r="AJ257" s="71">
        <f>IF(B257="","",IF(H257=0,0,ROUNDUP(H257/Cap_Camion_CEN,0)))</f>
      </c>
      <c r="AK257" s="71">
        <f>IF(B257="","",AJ257*L_Tras_CEN)</f>
      </c>
      <c r="AL257" s="71">
        <f>IF(B257="","",IF(ENTRADA!$P257="",AK257,ENTRADA!$P257))</f>
      </c>
      <c r="AM257" s="71">
        <f>IF(B257="","",AJ257*L_Dist_CEN)</f>
      </c>
      <c r="AN257" s="71">
        <f>IF(B257="","",IF(ENTRADA!$Q257="",AM257,ENTRADA!$Q257))</f>
      </c>
      <c r="AO257" s="37">
        <f>IF(B257="","",(AL257+AN257)*INDEX(PRECIOS!$E$6:$E$55,K257))</f>
      </c>
      <c r="AP257" s="71">
        <f>IF(B257="","",IF(H257=0,0,ROUNDUP(H257/Rend_Desagrupe_CT,0)))</f>
      </c>
      <c r="AQ257" s="71">
        <f>IF(B257="","",IF(ENTRADA!$R257="",AP257,ENTRADA!$R257))</f>
      </c>
      <c r="AR257" s="37">
        <f>IF(B257="","",AQ257*INDEX(PRECIOS!$I$6:$I$55,K257))</f>
      </c>
      <c r="AS257" s="37">
        <f>IF(B257="","",AO257+AR257)</f>
      </c>
      <c r="AT257" s="71">
        <f>IF(B257="","",IF(I257=0,0,ROUNDUP(I257/Cap_Camion_ORI,0)))</f>
      </c>
      <c r="AU257" s="71">
        <f>IF(B257="","",AT257*L_Tras_ORI)</f>
      </c>
      <c r="AV257" s="71">
        <f>IF(B257="","",IF(ENTRADA!$S257="",AU257,ENTRADA!$S257))</f>
      </c>
      <c r="AW257" s="71">
        <f>IF(B257="","",AT257*L_Dist_ORI)</f>
      </c>
      <c r="AX257" s="71">
        <f>IF(B257="","",IF(ENTRADA!$T257="",AW257,ENTRADA!$T257))</f>
      </c>
      <c r="AY257" s="37">
        <f>IF(B257="","",(AV257+AX257)*INDEX(PRECIOS!$E$6:$E$55,K257))</f>
      </c>
      <c r="AZ257" s="71">
        <f>IF(B257="","",IF(I257=0,0,ROUNDUP(I257/Rend_Desagrupe_CT,0)))</f>
      </c>
      <c r="BA257" s="71">
        <f>IF(B257="","",IF(ENTRADA!$U257="",AZ257,ENTRADA!$U257))</f>
      </c>
      <c r="BB257" s="37">
        <f>IF(B257="","",BA257*INDEX(PRECIOS!$I$6:$I$55,K257))</f>
      </c>
      <c r="BC257" s="37">
        <f>IF(B257="","",AY257+BB257)</f>
      </c>
      <c r="BD257" s="70">
        <f>IF(B257="","",AI257+AS257+BC257)</f>
      </c>
      <c r="BE257" s="37">
        <f>IF(B257="","",IF(Base_Comision="% DEL INGRESO",M257*INDEX(PRECIOS!$L$6:$L$55,K257),G257*INDEX(PRECIOS!$M$6:$M$55,K257)))</f>
      </c>
      <c r="BF257" s="37">
        <f>IF(B257="","",IF(Base_Comision="% DEL INGRESO",N257*INDEX(PRECIOS!$L$6:$L$55,K257),H257*INDEX(PRECIOS!$M$6:$M$55,K257)))</f>
      </c>
      <c r="BG257" s="37">
        <f>IF(B257="","",IF(Base_Comision="% DEL INGRESO",O257*INDEX(PRECIOS!$L$6:$L$55,K257),I257*INDEX(PRECIOS!$M$6:$M$55,K257)))</f>
      </c>
      <c r="BH257" s="70">
        <f>IF(B257="","",BE257+BF257+BG257)</f>
      </c>
      <c r="BI257" s="37">
        <f>IF(B257="","",Q257*Pct_Reclamaciones)</f>
      </c>
      <c r="BJ257" s="37">
        <f>IF(B257="","",Q257*Pct_Banco)</f>
      </c>
      <c r="BK257" s="37">
        <f>IF(B257="","",N(ENTRADA!$V257))</f>
      </c>
      <c r="BL257" s="70">
        <f>IF(B257="","",Y257+AE257+BD257+BH257+BI257+BJ257+BK257)</f>
      </c>
      <c r="BM257" s="70">
        <f>IF(B257="","",Q257-BL257)</f>
      </c>
      <c r="BN257" s="72">
        <f>IF(B257="","",IF(Q257=0,0,BM257/Q257))</f>
      </c>
      <c r="BO257" s="73">
        <f>IF(B257="","",IF(J257=0,0,BM257/J257))</f>
      </c>
      <c r="BP257" s="60">
        <f>IF(B257="","",IFERROR(MATCH(D257,COSTOS_FIJOS!$G$5:$AD$5,0),0))</f>
      </c>
      <c r="BQ257" s="60">
        <f>IF(B257="","",COUNTIFS($D$6:$D$305,D257))</f>
      </c>
      <c r="BR257" s="67">
        <f>IF(B257="","",SUMIFS($J$6:$J$305,$D$6:$D$305,D257))</f>
      </c>
      <c r="BS257" s="72">
        <f>IF(B257="","",IF(Metodo_Prorrateo="KG",IF(BR257=0,0,J257/BR257),1/BQ257))</f>
      </c>
      <c r="BT257" s="37">
        <f>IF(B257="","",IF(BP257=0,0,INDEX(COSTOS_FIJOS!$G$38:$AD$38,BP257))*BS257)</f>
      </c>
      <c r="BU257" s="72">
        <f>IF(B257="","",IF(Metodo_Prorrateo="KG",IF(SUMIFS($G$6:$G$305,$D$6:$D$305,D257)=0,0,G257/SUMIFS($G$6:$G$305,$D$6:$D$305,D257)),IF(G257&gt;0,1/COUNTIFS($D$6:$D$305,D257,$G$6:$G$305,"&gt;0"),0)))</f>
      </c>
      <c r="BV257" s="37">
        <f>IF(B257="","",IF(BP257=0,0,INDEX(COSTOS_FIJOS!$G$39:$AD$39,BP257))*BU257)</f>
      </c>
      <c r="BW257" s="72">
        <f>IF(B257="","",IF(Metodo_Prorrateo="KG",IF(SUMIFS($H$6:$H$305,$D$6:$D$305,D257)=0,0,H257/SUMIFS($H$6:$H$305,$D$6:$D$305,D257)),IF(H257&gt;0,1/COUNTIFS($D$6:$D$305,D257,$H$6:$H$305,"&gt;0"),0)))</f>
      </c>
      <c r="BX257" s="37">
        <f>IF(B257="","",IF(BP257=0,0,INDEX(COSTOS_FIJOS!$G$40:$AD$40,BP257))*BW257)</f>
      </c>
      <c r="BY257" s="72">
        <f>IF(B257="","",IF(Metodo_Prorrateo="KG",IF(SUMIFS($I$6:$I$305,$D$6:$D$305,D257)=0,0,I257/SUMIFS($I$6:$I$305,$D$6:$D$305,D257)),IF(I257&gt;0,1/COUNTIFS($D$6:$D$305,D257,$I$6:$I$305,"&gt;0"),0)))</f>
      </c>
      <c r="BZ257" s="37">
        <f>IF(B257="","",IF(BP257=0,0,INDEX(COSTOS_FIJOS!$G$41:$AD$41,BP257))*BY257)</f>
      </c>
      <c r="CA257" s="70">
        <f>IF(B257="","",BT257+BV257+BX257+BZ257)</f>
      </c>
      <c r="CB257" s="37">
        <f>IF(B257="","",Q257*Imp_Ventas_Serv)</f>
      </c>
      <c r="CC257" s="37">
        <f>IF(B257="","",Q257*Contrib_Territorial)</f>
      </c>
      <c r="CD257" s="70">
        <f>IF(B257="","",BM257-CA257-CB257-CC257)</f>
      </c>
      <c r="CE257" s="37">
        <f>IF(B257="","",MAX(0,CD257)*Imp_Utilidades)</f>
      </c>
      <c r="CF257" s="70">
        <f>IF(B257="","",CD257-CE257)</f>
      </c>
      <c r="CG257" s="72">
        <f>IF(B257="","",IF(Q257=0,0,CF257/Q257))</f>
      </c>
      <c r="CH257" s="73">
        <f>IF(B257="","",IF(J257=0,0,(BL257+CA257+CB257+CC257)/J257))</f>
      </c>
      <c r="CI257" s="73">
        <f>IF(B257="","",IF(J257=0,0,Q257/J257))</f>
      </c>
      <c r="CJ257" s="73">
        <f>IF(B257="","",IF(J257=0,0,CD257/J257))</f>
      </c>
      <c r="CK257" s="37">
        <f>IF(B257="","",Y257+AE257+BK257+BT257)</f>
      </c>
      <c r="CL257" s="37">
        <f>IF(B257="","",IF(J257=0,0,(M257+P257*G257/J257)*(1-Pct_Reclamaciones-Pct_Banco-Imp_Ventas_Serv-Contrib_Territorial)-AI257-BE257-BV257-CK257*G257/J257))</f>
      </c>
      <c r="CM257" s="37">
        <f>IF(B257="","",IF(J257=0,0,(N257+P257*H257/J257)*(1-Pct_Reclamaciones-Pct_Banco-Imp_Ventas_Serv-Contrib_Territorial)-AS257-BF257-BX257-CK257*H257/J257))</f>
      </c>
      <c r="CN257" s="37">
        <f>IF(B257="","",IF(J257=0,0,(O257+P257*I257/J257)*(1-Pct_Reclamaciones-Pct_Banco-Imp_Ventas_Serv-Contrib_Territorial)-BC257-BG257-BZ257-CK257*I257/J257))</f>
      </c>
      <c r="CO257" s="37">
        <f>IF(B257="","",IF(J257=0,0,ROUND(CD257-CL257-CM257-CN257,4)))</f>
      </c>
      <c r="CP257" s="71">
        <f>IF(B257="","",T257+AG257+AK257+AM257+AU257+AW257)</f>
      </c>
      <c r="CQ257" s="71">
        <f>IF(B257="","",U257+AH257+AL257+AN257+AV257+AX257)</f>
      </c>
      <c r="CR257" s="72">
        <f>IF(B257="","",IF(CP257=0,0,CQ257/CP257-1))</f>
      </c>
      <c r="CS257" s="60">
        <f>IF(B257="","",IF(ENTRADA!$Y257="","",ENTRADA!$Y257-C257))</f>
      </c>
      <c r="CT257" s="66">
        <f>IF(B257="","",IF(ENTRADA!$C257="","Falta fecha. ","")&amp;IF(BP257=0,"Mes fuera del rango de COSTOS_FIJOS. ","")&amp;IF(J257=0,"Sin kg. ","")&amp;IF(E257="","Falta transitaria. ","")&amp;IF(AND(T257&gt;0,U257/T257-1&gt;Tolerancia_Comb),"Combustible al puerto "&amp;TEXT(U257/T257-1,"+0%")&amp;" sobre norma. ","")&amp;IF(AND(AG257&gt;0,AH257/AG257-1&gt;Tolerancia_Comb),"Combustible distribución Occidente "&amp;TEXT(AH257/AG257-1,"+0%")&amp;" sobre norma. ","")&amp;IF(AND(AK257&gt;0,AL257/AK257-1&gt;Tolerancia_Comb),"Combustible traslado Centro "&amp;TEXT(AL257/AK257-1,"+0%")&amp;" sobre norma. ","")&amp;IF(AND(AM257&gt;0,AN257/AM257-1&gt;Tolerancia_Comb),"Combustible distribución Centro "&amp;TEXT(AN257/AM257-1,"+0%")&amp;" sobre norma. ","")&amp;IF(AND(AU257&gt;0,AV257/AU257-1&gt;Tolerancia_Comb),"Combustible traslado Oriente "&amp;TEXT(AV257/AU257-1,"+0%")&amp;" sobre norma. ","")&amp;IF(AND(AW257&gt;0,AX257/AW257-1&gt;Tolerancia_Comb),"Combustible distribución Oriente "&amp;TEXT(AX257/AW257-1,"+0%")&amp;" sobre norma. ","")&amp;IF(AND(ENTRADA!$C257&lt;&gt;"",C257&lt;PRECIOS!$A$6),"Fecha anterior a la 1ª vigencia de precios. ","")&amp;IF(CD257&lt;0,"Contenedor con pérdida. ",""))</f>
      </c>
    </row>
    <row r="258">
      <c r="A258" s="60">
        <f>IF(B258="","",ROW()-5)</f>
      </c>
      <c r="B258" s="63">
        <f>IF(ENTRADA!$B258="","",ENTRADA!$B258)</f>
      </c>
      <c r="C258" s="64">
        <f>IF(B258="","",ENTRADA!$C258)</f>
      </c>
      <c r="D258" s="65">
        <f>IF(B258="","",DATE(YEAR(C258),MONTH(C258),1))</f>
      </c>
      <c r="E258" s="66">
        <f>IF(B258="","",ENTRADA!$D258&amp;"")</f>
      </c>
      <c r="F258" s="66">
        <f>IF(B258="","",ENTRADA!$Z258&amp;"")</f>
      </c>
      <c r="G258" s="67">
        <f>IF(B258="","",N(ENTRADA!$G258))</f>
      </c>
      <c r="H258" s="67">
        <f>IF(B258="","",N(ENTRADA!$H258))</f>
      </c>
      <c r="I258" s="67">
        <f>IF(B258="","",N(ENTRADA!$I258))</f>
      </c>
      <c r="J258" s="68">
        <f>IF(B258="","",G258+H258+I258)</f>
      </c>
      <c r="K258" s="60">
        <f>IF(B258="","",IFERROR(MATCH(SUMPRODUCT(MAX((PRECIOS!$A$6:$A$55&lt;=C258)*PRECIOS!$A$6:$A$55)),PRECIOS!$A$6:$A$55,0),1))</f>
      </c>
      <c r="L258" s="69">
        <f>IF(B258="","",INDEX(PRECIOS!$A$6:$A$55,K258))</f>
      </c>
      <c r="M258" s="37">
        <f>IF(B258="","",G258*INDEX(PRECIOS!$B$6:$B$55,K258))</f>
      </c>
      <c r="N258" s="37">
        <f>IF(B258="","",H258*INDEX(PRECIOS!$C$6:$C$55,K258))</f>
      </c>
      <c r="O258" s="37">
        <f>IF(B258="","",I258*INDEX(PRECIOS!$D$6:$D$55,K258))</f>
      </c>
      <c r="P258" s="37">
        <f>IF(B258="","",N(ENTRADA!$X258))</f>
      </c>
      <c r="Q258" s="70">
        <f>IF(B258="","",M258+N258+O258+P258)</f>
      </c>
      <c r="R258" s="71">
        <f>IF(B258="","",IF(ENTRADA!$J258="",Std_Viajes_Puerto,ENTRADA!$J258))</f>
      </c>
      <c r="S258" s="37">
        <f>IF(B258="","",R258*INDEX(PRECIOS!$F$6:$F$55,K258))</f>
      </c>
      <c r="T258" s="71">
        <f>IF(B258="","",R258*Litros_Puerto_Viaje)</f>
      </c>
      <c r="U258" s="71">
        <f>IF(B258="","",IF(ENTRADA!$K258="",T258,ENTRADA!$K258))</f>
      </c>
      <c r="V258" s="37">
        <f>IF(B258="","",U258*INDEX(PRECIOS!$E$6:$E$55,K258))</f>
      </c>
      <c r="W258" s="37">
        <f>IF(B258="","",IF(ENTRADA!$L258="",R258*INDEX(PRECIOS!$G$6:$G$55,K258),ENTRADA!$L258))</f>
      </c>
      <c r="X258" s="37">
        <f>IF(B258="","",R258*Km_Puerto_Viaje*INDEX(PRECIOS!$N$6:$N$55,K258))</f>
      </c>
      <c r="Y258" s="70">
        <f>IF(B258="","",S258+V258+W258+X258)</f>
      </c>
      <c r="Z258" s="71">
        <f>IF(B258="","",IF(J258=0,0,ROUNDUP(J258/Rend_Desagrupe,0)))</f>
      </c>
      <c r="AA258" s="71">
        <f>IF(B258="","",IF(ENTRADA!$M258="",Z258,ENTRADA!$M258))</f>
      </c>
      <c r="AB258" s="37">
        <f>IF(B258="","",AA258*INDEX(PRECIOS!$H$6:$H$55,K258))</f>
      </c>
      <c r="AC258" s="37">
        <f>IF(B258="","",IF(E258="ENCI",INDEX(PRECIOS!$J$6:$J$55,K258),IF(E258="A.V",INDEX(PRECIOS!$K$6:$K$55,K258),0)))</f>
      </c>
      <c r="AD258" s="37">
        <f>IF(B258="","",N(ENTRADA!$N258))</f>
      </c>
      <c r="AE258" s="70">
        <f>IF(B258="","",AB258+AC258+AD258)</f>
      </c>
      <c r="AF258" s="71">
        <f>IF(B258="","",IF(G258=0,0,ROUNDUP(G258/Cap_Camion_OCC,0)))</f>
      </c>
      <c r="AG258" s="71">
        <f>IF(B258="","",AF258*L_Dist_OCC)</f>
      </c>
      <c r="AH258" s="71">
        <f>IF(B258="","",IF(ENTRADA!$O258="",AG258,ENTRADA!$O258))</f>
      </c>
      <c r="AI258" s="37">
        <f>IF(B258="","",AH258*INDEX(PRECIOS!$E$6:$E$55,K258))</f>
      </c>
      <c r="AJ258" s="71">
        <f>IF(B258="","",IF(H258=0,0,ROUNDUP(H258/Cap_Camion_CEN,0)))</f>
      </c>
      <c r="AK258" s="71">
        <f>IF(B258="","",AJ258*L_Tras_CEN)</f>
      </c>
      <c r="AL258" s="71">
        <f>IF(B258="","",IF(ENTRADA!$P258="",AK258,ENTRADA!$P258))</f>
      </c>
      <c r="AM258" s="71">
        <f>IF(B258="","",AJ258*L_Dist_CEN)</f>
      </c>
      <c r="AN258" s="71">
        <f>IF(B258="","",IF(ENTRADA!$Q258="",AM258,ENTRADA!$Q258))</f>
      </c>
      <c r="AO258" s="37">
        <f>IF(B258="","",(AL258+AN258)*INDEX(PRECIOS!$E$6:$E$55,K258))</f>
      </c>
      <c r="AP258" s="71">
        <f>IF(B258="","",IF(H258=0,0,ROUNDUP(H258/Rend_Desagrupe_CT,0)))</f>
      </c>
      <c r="AQ258" s="71">
        <f>IF(B258="","",IF(ENTRADA!$R258="",AP258,ENTRADA!$R258))</f>
      </c>
      <c r="AR258" s="37">
        <f>IF(B258="","",AQ258*INDEX(PRECIOS!$I$6:$I$55,K258))</f>
      </c>
      <c r="AS258" s="37">
        <f>IF(B258="","",AO258+AR258)</f>
      </c>
      <c r="AT258" s="71">
        <f>IF(B258="","",IF(I258=0,0,ROUNDUP(I258/Cap_Camion_ORI,0)))</f>
      </c>
      <c r="AU258" s="71">
        <f>IF(B258="","",AT258*L_Tras_ORI)</f>
      </c>
      <c r="AV258" s="71">
        <f>IF(B258="","",IF(ENTRADA!$S258="",AU258,ENTRADA!$S258))</f>
      </c>
      <c r="AW258" s="71">
        <f>IF(B258="","",AT258*L_Dist_ORI)</f>
      </c>
      <c r="AX258" s="71">
        <f>IF(B258="","",IF(ENTRADA!$T258="",AW258,ENTRADA!$T258))</f>
      </c>
      <c r="AY258" s="37">
        <f>IF(B258="","",(AV258+AX258)*INDEX(PRECIOS!$E$6:$E$55,K258))</f>
      </c>
      <c r="AZ258" s="71">
        <f>IF(B258="","",IF(I258=0,0,ROUNDUP(I258/Rend_Desagrupe_CT,0)))</f>
      </c>
      <c r="BA258" s="71">
        <f>IF(B258="","",IF(ENTRADA!$U258="",AZ258,ENTRADA!$U258))</f>
      </c>
      <c r="BB258" s="37">
        <f>IF(B258="","",BA258*INDEX(PRECIOS!$I$6:$I$55,K258))</f>
      </c>
      <c r="BC258" s="37">
        <f>IF(B258="","",AY258+BB258)</f>
      </c>
      <c r="BD258" s="70">
        <f>IF(B258="","",AI258+AS258+BC258)</f>
      </c>
      <c r="BE258" s="37">
        <f>IF(B258="","",IF(Base_Comision="% DEL INGRESO",M258*INDEX(PRECIOS!$L$6:$L$55,K258),G258*INDEX(PRECIOS!$M$6:$M$55,K258)))</f>
      </c>
      <c r="BF258" s="37">
        <f>IF(B258="","",IF(Base_Comision="% DEL INGRESO",N258*INDEX(PRECIOS!$L$6:$L$55,K258),H258*INDEX(PRECIOS!$M$6:$M$55,K258)))</f>
      </c>
      <c r="BG258" s="37">
        <f>IF(B258="","",IF(Base_Comision="% DEL INGRESO",O258*INDEX(PRECIOS!$L$6:$L$55,K258),I258*INDEX(PRECIOS!$M$6:$M$55,K258)))</f>
      </c>
      <c r="BH258" s="70">
        <f>IF(B258="","",BE258+BF258+BG258)</f>
      </c>
      <c r="BI258" s="37">
        <f>IF(B258="","",Q258*Pct_Reclamaciones)</f>
      </c>
      <c r="BJ258" s="37">
        <f>IF(B258="","",Q258*Pct_Banco)</f>
      </c>
      <c r="BK258" s="37">
        <f>IF(B258="","",N(ENTRADA!$V258))</f>
      </c>
      <c r="BL258" s="70">
        <f>IF(B258="","",Y258+AE258+BD258+BH258+BI258+BJ258+BK258)</f>
      </c>
      <c r="BM258" s="70">
        <f>IF(B258="","",Q258-BL258)</f>
      </c>
      <c r="BN258" s="72">
        <f>IF(B258="","",IF(Q258=0,0,BM258/Q258))</f>
      </c>
      <c r="BO258" s="73">
        <f>IF(B258="","",IF(J258=0,0,BM258/J258))</f>
      </c>
      <c r="BP258" s="60">
        <f>IF(B258="","",IFERROR(MATCH(D258,COSTOS_FIJOS!$G$5:$AD$5,0),0))</f>
      </c>
      <c r="BQ258" s="60">
        <f>IF(B258="","",COUNTIFS($D$6:$D$305,D258))</f>
      </c>
      <c r="BR258" s="67">
        <f>IF(B258="","",SUMIFS($J$6:$J$305,$D$6:$D$305,D258))</f>
      </c>
      <c r="BS258" s="72">
        <f>IF(B258="","",IF(Metodo_Prorrateo="KG",IF(BR258=0,0,J258/BR258),1/BQ258))</f>
      </c>
      <c r="BT258" s="37">
        <f>IF(B258="","",IF(BP258=0,0,INDEX(COSTOS_FIJOS!$G$38:$AD$38,BP258))*BS258)</f>
      </c>
      <c r="BU258" s="72">
        <f>IF(B258="","",IF(Metodo_Prorrateo="KG",IF(SUMIFS($G$6:$G$305,$D$6:$D$305,D258)=0,0,G258/SUMIFS($G$6:$G$305,$D$6:$D$305,D258)),IF(G258&gt;0,1/COUNTIFS($D$6:$D$305,D258,$G$6:$G$305,"&gt;0"),0)))</f>
      </c>
      <c r="BV258" s="37">
        <f>IF(B258="","",IF(BP258=0,0,INDEX(COSTOS_FIJOS!$G$39:$AD$39,BP258))*BU258)</f>
      </c>
      <c r="BW258" s="72">
        <f>IF(B258="","",IF(Metodo_Prorrateo="KG",IF(SUMIFS($H$6:$H$305,$D$6:$D$305,D258)=0,0,H258/SUMIFS($H$6:$H$305,$D$6:$D$305,D258)),IF(H258&gt;0,1/COUNTIFS($D$6:$D$305,D258,$H$6:$H$305,"&gt;0"),0)))</f>
      </c>
      <c r="BX258" s="37">
        <f>IF(B258="","",IF(BP258=0,0,INDEX(COSTOS_FIJOS!$G$40:$AD$40,BP258))*BW258)</f>
      </c>
      <c r="BY258" s="72">
        <f>IF(B258="","",IF(Metodo_Prorrateo="KG",IF(SUMIFS($I$6:$I$305,$D$6:$D$305,D258)=0,0,I258/SUMIFS($I$6:$I$305,$D$6:$D$305,D258)),IF(I258&gt;0,1/COUNTIFS($D$6:$D$305,D258,$I$6:$I$305,"&gt;0"),0)))</f>
      </c>
      <c r="BZ258" s="37">
        <f>IF(B258="","",IF(BP258=0,0,INDEX(COSTOS_FIJOS!$G$41:$AD$41,BP258))*BY258)</f>
      </c>
      <c r="CA258" s="70">
        <f>IF(B258="","",BT258+BV258+BX258+BZ258)</f>
      </c>
      <c r="CB258" s="37">
        <f>IF(B258="","",Q258*Imp_Ventas_Serv)</f>
      </c>
      <c r="CC258" s="37">
        <f>IF(B258="","",Q258*Contrib_Territorial)</f>
      </c>
      <c r="CD258" s="70">
        <f>IF(B258="","",BM258-CA258-CB258-CC258)</f>
      </c>
      <c r="CE258" s="37">
        <f>IF(B258="","",MAX(0,CD258)*Imp_Utilidades)</f>
      </c>
      <c r="CF258" s="70">
        <f>IF(B258="","",CD258-CE258)</f>
      </c>
      <c r="CG258" s="72">
        <f>IF(B258="","",IF(Q258=0,0,CF258/Q258))</f>
      </c>
      <c r="CH258" s="73">
        <f>IF(B258="","",IF(J258=0,0,(BL258+CA258+CB258+CC258)/J258))</f>
      </c>
      <c r="CI258" s="73">
        <f>IF(B258="","",IF(J258=0,0,Q258/J258))</f>
      </c>
      <c r="CJ258" s="73">
        <f>IF(B258="","",IF(J258=0,0,CD258/J258))</f>
      </c>
      <c r="CK258" s="37">
        <f>IF(B258="","",Y258+AE258+BK258+BT258)</f>
      </c>
      <c r="CL258" s="37">
        <f>IF(B258="","",IF(J258=0,0,(M258+P258*G258/J258)*(1-Pct_Reclamaciones-Pct_Banco-Imp_Ventas_Serv-Contrib_Territorial)-AI258-BE258-BV258-CK258*G258/J258))</f>
      </c>
      <c r="CM258" s="37">
        <f>IF(B258="","",IF(J258=0,0,(N258+P258*H258/J258)*(1-Pct_Reclamaciones-Pct_Banco-Imp_Ventas_Serv-Contrib_Territorial)-AS258-BF258-BX258-CK258*H258/J258))</f>
      </c>
      <c r="CN258" s="37">
        <f>IF(B258="","",IF(J258=0,0,(O258+P258*I258/J258)*(1-Pct_Reclamaciones-Pct_Banco-Imp_Ventas_Serv-Contrib_Territorial)-BC258-BG258-BZ258-CK258*I258/J258))</f>
      </c>
      <c r="CO258" s="37">
        <f>IF(B258="","",IF(J258=0,0,ROUND(CD258-CL258-CM258-CN258,4)))</f>
      </c>
      <c r="CP258" s="71">
        <f>IF(B258="","",T258+AG258+AK258+AM258+AU258+AW258)</f>
      </c>
      <c r="CQ258" s="71">
        <f>IF(B258="","",U258+AH258+AL258+AN258+AV258+AX258)</f>
      </c>
      <c r="CR258" s="72">
        <f>IF(B258="","",IF(CP258=0,0,CQ258/CP258-1))</f>
      </c>
      <c r="CS258" s="60">
        <f>IF(B258="","",IF(ENTRADA!$Y258="","",ENTRADA!$Y258-C258))</f>
      </c>
      <c r="CT258" s="66">
        <f>IF(B258="","",IF(ENTRADA!$C258="","Falta fecha. ","")&amp;IF(BP258=0,"Mes fuera del rango de COSTOS_FIJOS. ","")&amp;IF(J258=0,"Sin kg. ","")&amp;IF(E258="","Falta transitaria. ","")&amp;IF(AND(T258&gt;0,U258/T258-1&gt;Tolerancia_Comb),"Combustible al puerto "&amp;TEXT(U258/T258-1,"+0%")&amp;" sobre norma. ","")&amp;IF(AND(AG258&gt;0,AH258/AG258-1&gt;Tolerancia_Comb),"Combustible distribución Occidente "&amp;TEXT(AH258/AG258-1,"+0%")&amp;" sobre norma. ","")&amp;IF(AND(AK258&gt;0,AL258/AK258-1&gt;Tolerancia_Comb),"Combustible traslado Centro "&amp;TEXT(AL258/AK258-1,"+0%")&amp;" sobre norma. ","")&amp;IF(AND(AM258&gt;0,AN258/AM258-1&gt;Tolerancia_Comb),"Combustible distribución Centro "&amp;TEXT(AN258/AM258-1,"+0%")&amp;" sobre norma. ","")&amp;IF(AND(AU258&gt;0,AV258/AU258-1&gt;Tolerancia_Comb),"Combustible traslado Oriente "&amp;TEXT(AV258/AU258-1,"+0%")&amp;" sobre norma. ","")&amp;IF(AND(AW258&gt;0,AX258/AW258-1&gt;Tolerancia_Comb),"Combustible distribución Oriente "&amp;TEXT(AX258/AW258-1,"+0%")&amp;" sobre norma. ","")&amp;IF(AND(ENTRADA!$C258&lt;&gt;"",C258&lt;PRECIOS!$A$6),"Fecha anterior a la 1ª vigencia de precios. ","")&amp;IF(CD258&lt;0,"Contenedor con pérdida. ",""))</f>
      </c>
    </row>
    <row r="259">
      <c r="A259" s="60">
        <f>IF(B259="","",ROW()-5)</f>
      </c>
      <c r="B259" s="63">
        <f>IF(ENTRADA!$B259="","",ENTRADA!$B259)</f>
      </c>
      <c r="C259" s="64">
        <f>IF(B259="","",ENTRADA!$C259)</f>
      </c>
      <c r="D259" s="65">
        <f>IF(B259="","",DATE(YEAR(C259),MONTH(C259),1))</f>
      </c>
      <c r="E259" s="66">
        <f>IF(B259="","",ENTRADA!$D259&amp;"")</f>
      </c>
      <c r="F259" s="66">
        <f>IF(B259="","",ENTRADA!$Z259&amp;"")</f>
      </c>
      <c r="G259" s="67">
        <f>IF(B259="","",N(ENTRADA!$G259))</f>
      </c>
      <c r="H259" s="67">
        <f>IF(B259="","",N(ENTRADA!$H259))</f>
      </c>
      <c r="I259" s="67">
        <f>IF(B259="","",N(ENTRADA!$I259))</f>
      </c>
      <c r="J259" s="68">
        <f>IF(B259="","",G259+H259+I259)</f>
      </c>
      <c r="K259" s="60">
        <f>IF(B259="","",IFERROR(MATCH(SUMPRODUCT(MAX((PRECIOS!$A$6:$A$55&lt;=C259)*PRECIOS!$A$6:$A$55)),PRECIOS!$A$6:$A$55,0),1))</f>
      </c>
      <c r="L259" s="69">
        <f>IF(B259="","",INDEX(PRECIOS!$A$6:$A$55,K259))</f>
      </c>
      <c r="M259" s="37">
        <f>IF(B259="","",G259*INDEX(PRECIOS!$B$6:$B$55,K259))</f>
      </c>
      <c r="N259" s="37">
        <f>IF(B259="","",H259*INDEX(PRECIOS!$C$6:$C$55,K259))</f>
      </c>
      <c r="O259" s="37">
        <f>IF(B259="","",I259*INDEX(PRECIOS!$D$6:$D$55,K259))</f>
      </c>
      <c r="P259" s="37">
        <f>IF(B259="","",N(ENTRADA!$X259))</f>
      </c>
      <c r="Q259" s="70">
        <f>IF(B259="","",M259+N259+O259+P259)</f>
      </c>
      <c r="R259" s="71">
        <f>IF(B259="","",IF(ENTRADA!$J259="",Std_Viajes_Puerto,ENTRADA!$J259))</f>
      </c>
      <c r="S259" s="37">
        <f>IF(B259="","",R259*INDEX(PRECIOS!$F$6:$F$55,K259))</f>
      </c>
      <c r="T259" s="71">
        <f>IF(B259="","",R259*Litros_Puerto_Viaje)</f>
      </c>
      <c r="U259" s="71">
        <f>IF(B259="","",IF(ENTRADA!$K259="",T259,ENTRADA!$K259))</f>
      </c>
      <c r="V259" s="37">
        <f>IF(B259="","",U259*INDEX(PRECIOS!$E$6:$E$55,K259))</f>
      </c>
      <c r="W259" s="37">
        <f>IF(B259="","",IF(ENTRADA!$L259="",R259*INDEX(PRECIOS!$G$6:$G$55,K259),ENTRADA!$L259))</f>
      </c>
      <c r="X259" s="37">
        <f>IF(B259="","",R259*Km_Puerto_Viaje*INDEX(PRECIOS!$N$6:$N$55,K259))</f>
      </c>
      <c r="Y259" s="70">
        <f>IF(B259="","",S259+V259+W259+X259)</f>
      </c>
      <c r="Z259" s="71">
        <f>IF(B259="","",IF(J259=0,0,ROUNDUP(J259/Rend_Desagrupe,0)))</f>
      </c>
      <c r="AA259" s="71">
        <f>IF(B259="","",IF(ENTRADA!$M259="",Z259,ENTRADA!$M259))</f>
      </c>
      <c r="AB259" s="37">
        <f>IF(B259="","",AA259*INDEX(PRECIOS!$H$6:$H$55,K259))</f>
      </c>
      <c r="AC259" s="37">
        <f>IF(B259="","",IF(E259="ENCI",INDEX(PRECIOS!$J$6:$J$55,K259),IF(E259="A.V",INDEX(PRECIOS!$K$6:$K$55,K259),0)))</f>
      </c>
      <c r="AD259" s="37">
        <f>IF(B259="","",N(ENTRADA!$N259))</f>
      </c>
      <c r="AE259" s="70">
        <f>IF(B259="","",AB259+AC259+AD259)</f>
      </c>
      <c r="AF259" s="71">
        <f>IF(B259="","",IF(G259=0,0,ROUNDUP(G259/Cap_Camion_OCC,0)))</f>
      </c>
      <c r="AG259" s="71">
        <f>IF(B259="","",AF259*L_Dist_OCC)</f>
      </c>
      <c r="AH259" s="71">
        <f>IF(B259="","",IF(ENTRADA!$O259="",AG259,ENTRADA!$O259))</f>
      </c>
      <c r="AI259" s="37">
        <f>IF(B259="","",AH259*INDEX(PRECIOS!$E$6:$E$55,K259))</f>
      </c>
      <c r="AJ259" s="71">
        <f>IF(B259="","",IF(H259=0,0,ROUNDUP(H259/Cap_Camion_CEN,0)))</f>
      </c>
      <c r="AK259" s="71">
        <f>IF(B259="","",AJ259*L_Tras_CEN)</f>
      </c>
      <c r="AL259" s="71">
        <f>IF(B259="","",IF(ENTRADA!$P259="",AK259,ENTRADA!$P259))</f>
      </c>
      <c r="AM259" s="71">
        <f>IF(B259="","",AJ259*L_Dist_CEN)</f>
      </c>
      <c r="AN259" s="71">
        <f>IF(B259="","",IF(ENTRADA!$Q259="",AM259,ENTRADA!$Q259))</f>
      </c>
      <c r="AO259" s="37">
        <f>IF(B259="","",(AL259+AN259)*INDEX(PRECIOS!$E$6:$E$55,K259))</f>
      </c>
      <c r="AP259" s="71">
        <f>IF(B259="","",IF(H259=0,0,ROUNDUP(H259/Rend_Desagrupe_CT,0)))</f>
      </c>
      <c r="AQ259" s="71">
        <f>IF(B259="","",IF(ENTRADA!$R259="",AP259,ENTRADA!$R259))</f>
      </c>
      <c r="AR259" s="37">
        <f>IF(B259="","",AQ259*INDEX(PRECIOS!$I$6:$I$55,K259))</f>
      </c>
      <c r="AS259" s="37">
        <f>IF(B259="","",AO259+AR259)</f>
      </c>
      <c r="AT259" s="71">
        <f>IF(B259="","",IF(I259=0,0,ROUNDUP(I259/Cap_Camion_ORI,0)))</f>
      </c>
      <c r="AU259" s="71">
        <f>IF(B259="","",AT259*L_Tras_ORI)</f>
      </c>
      <c r="AV259" s="71">
        <f>IF(B259="","",IF(ENTRADA!$S259="",AU259,ENTRADA!$S259))</f>
      </c>
      <c r="AW259" s="71">
        <f>IF(B259="","",AT259*L_Dist_ORI)</f>
      </c>
      <c r="AX259" s="71">
        <f>IF(B259="","",IF(ENTRADA!$T259="",AW259,ENTRADA!$T259))</f>
      </c>
      <c r="AY259" s="37">
        <f>IF(B259="","",(AV259+AX259)*INDEX(PRECIOS!$E$6:$E$55,K259))</f>
      </c>
      <c r="AZ259" s="71">
        <f>IF(B259="","",IF(I259=0,0,ROUNDUP(I259/Rend_Desagrupe_CT,0)))</f>
      </c>
      <c r="BA259" s="71">
        <f>IF(B259="","",IF(ENTRADA!$U259="",AZ259,ENTRADA!$U259))</f>
      </c>
      <c r="BB259" s="37">
        <f>IF(B259="","",BA259*INDEX(PRECIOS!$I$6:$I$55,K259))</f>
      </c>
      <c r="BC259" s="37">
        <f>IF(B259="","",AY259+BB259)</f>
      </c>
      <c r="BD259" s="70">
        <f>IF(B259="","",AI259+AS259+BC259)</f>
      </c>
      <c r="BE259" s="37">
        <f>IF(B259="","",IF(Base_Comision="% DEL INGRESO",M259*INDEX(PRECIOS!$L$6:$L$55,K259),G259*INDEX(PRECIOS!$M$6:$M$55,K259)))</f>
      </c>
      <c r="BF259" s="37">
        <f>IF(B259="","",IF(Base_Comision="% DEL INGRESO",N259*INDEX(PRECIOS!$L$6:$L$55,K259),H259*INDEX(PRECIOS!$M$6:$M$55,K259)))</f>
      </c>
      <c r="BG259" s="37">
        <f>IF(B259="","",IF(Base_Comision="% DEL INGRESO",O259*INDEX(PRECIOS!$L$6:$L$55,K259),I259*INDEX(PRECIOS!$M$6:$M$55,K259)))</f>
      </c>
      <c r="BH259" s="70">
        <f>IF(B259="","",BE259+BF259+BG259)</f>
      </c>
      <c r="BI259" s="37">
        <f>IF(B259="","",Q259*Pct_Reclamaciones)</f>
      </c>
      <c r="BJ259" s="37">
        <f>IF(B259="","",Q259*Pct_Banco)</f>
      </c>
      <c r="BK259" s="37">
        <f>IF(B259="","",N(ENTRADA!$V259))</f>
      </c>
      <c r="BL259" s="70">
        <f>IF(B259="","",Y259+AE259+BD259+BH259+BI259+BJ259+BK259)</f>
      </c>
      <c r="BM259" s="70">
        <f>IF(B259="","",Q259-BL259)</f>
      </c>
      <c r="BN259" s="72">
        <f>IF(B259="","",IF(Q259=0,0,BM259/Q259))</f>
      </c>
      <c r="BO259" s="73">
        <f>IF(B259="","",IF(J259=0,0,BM259/J259))</f>
      </c>
      <c r="BP259" s="60">
        <f>IF(B259="","",IFERROR(MATCH(D259,COSTOS_FIJOS!$G$5:$AD$5,0),0))</f>
      </c>
      <c r="BQ259" s="60">
        <f>IF(B259="","",COUNTIFS($D$6:$D$305,D259))</f>
      </c>
      <c r="BR259" s="67">
        <f>IF(B259="","",SUMIFS($J$6:$J$305,$D$6:$D$305,D259))</f>
      </c>
      <c r="BS259" s="72">
        <f>IF(B259="","",IF(Metodo_Prorrateo="KG",IF(BR259=0,0,J259/BR259),1/BQ259))</f>
      </c>
      <c r="BT259" s="37">
        <f>IF(B259="","",IF(BP259=0,0,INDEX(COSTOS_FIJOS!$G$38:$AD$38,BP259))*BS259)</f>
      </c>
      <c r="BU259" s="72">
        <f>IF(B259="","",IF(Metodo_Prorrateo="KG",IF(SUMIFS($G$6:$G$305,$D$6:$D$305,D259)=0,0,G259/SUMIFS($G$6:$G$305,$D$6:$D$305,D259)),IF(G259&gt;0,1/COUNTIFS($D$6:$D$305,D259,$G$6:$G$305,"&gt;0"),0)))</f>
      </c>
      <c r="BV259" s="37">
        <f>IF(B259="","",IF(BP259=0,0,INDEX(COSTOS_FIJOS!$G$39:$AD$39,BP259))*BU259)</f>
      </c>
      <c r="BW259" s="72">
        <f>IF(B259="","",IF(Metodo_Prorrateo="KG",IF(SUMIFS($H$6:$H$305,$D$6:$D$305,D259)=0,0,H259/SUMIFS($H$6:$H$305,$D$6:$D$305,D259)),IF(H259&gt;0,1/COUNTIFS($D$6:$D$305,D259,$H$6:$H$305,"&gt;0"),0)))</f>
      </c>
      <c r="BX259" s="37">
        <f>IF(B259="","",IF(BP259=0,0,INDEX(COSTOS_FIJOS!$G$40:$AD$40,BP259))*BW259)</f>
      </c>
      <c r="BY259" s="72">
        <f>IF(B259="","",IF(Metodo_Prorrateo="KG",IF(SUMIFS($I$6:$I$305,$D$6:$D$305,D259)=0,0,I259/SUMIFS($I$6:$I$305,$D$6:$D$305,D259)),IF(I259&gt;0,1/COUNTIFS($D$6:$D$305,D259,$I$6:$I$305,"&gt;0"),0)))</f>
      </c>
      <c r="BZ259" s="37">
        <f>IF(B259="","",IF(BP259=0,0,INDEX(COSTOS_FIJOS!$G$41:$AD$41,BP259))*BY259)</f>
      </c>
      <c r="CA259" s="70">
        <f>IF(B259="","",BT259+BV259+BX259+BZ259)</f>
      </c>
      <c r="CB259" s="37">
        <f>IF(B259="","",Q259*Imp_Ventas_Serv)</f>
      </c>
      <c r="CC259" s="37">
        <f>IF(B259="","",Q259*Contrib_Territorial)</f>
      </c>
      <c r="CD259" s="70">
        <f>IF(B259="","",BM259-CA259-CB259-CC259)</f>
      </c>
      <c r="CE259" s="37">
        <f>IF(B259="","",MAX(0,CD259)*Imp_Utilidades)</f>
      </c>
      <c r="CF259" s="70">
        <f>IF(B259="","",CD259-CE259)</f>
      </c>
      <c r="CG259" s="72">
        <f>IF(B259="","",IF(Q259=0,0,CF259/Q259))</f>
      </c>
      <c r="CH259" s="73">
        <f>IF(B259="","",IF(J259=0,0,(BL259+CA259+CB259+CC259)/J259))</f>
      </c>
      <c r="CI259" s="73">
        <f>IF(B259="","",IF(J259=0,0,Q259/J259))</f>
      </c>
      <c r="CJ259" s="73">
        <f>IF(B259="","",IF(J259=0,0,CD259/J259))</f>
      </c>
      <c r="CK259" s="37">
        <f>IF(B259="","",Y259+AE259+BK259+BT259)</f>
      </c>
      <c r="CL259" s="37">
        <f>IF(B259="","",IF(J259=0,0,(M259+P259*G259/J259)*(1-Pct_Reclamaciones-Pct_Banco-Imp_Ventas_Serv-Contrib_Territorial)-AI259-BE259-BV259-CK259*G259/J259))</f>
      </c>
      <c r="CM259" s="37">
        <f>IF(B259="","",IF(J259=0,0,(N259+P259*H259/J259)*(1-Pct_Reclamaciones-Pct_Banco-Imp_Ventas_Serv-Contrib_Territorial)-AS259-BF259-BX259-CK259*H259/J259))</f>
      </c>
      <c r="CN259" s="37">
        <f>IF(B259="","",IF(J259=0,0,(O259+P259*I259/J259)*(1-Pct_Reclamaciones-Pct_Banco-Imp_Ventas_Serv-Contrib_Territorial)-BC259-BG259-BZ259-CK259*I259/J259))</f>
      </c>
      <c r="CO259" s="37">
        <f>IF(B259="","",IF(J259=0,0,ROUND(CD259-CL259-CM259-CN259,4)))</f>
      </c>
      <c r="CP259" s="71">
        <f>IF(B259="","",T259+AG259+AK259+AM259+AU259+AW259)</f>
      </c>
      <c r="CQ259" s="71">
        <f>IF(B259="","",U259+AH259+AL259+AN259+AV259+AX259)</f>
      </c>
      <c r="CR259" s="72">
        <f>IF(B259="","",IF(CP259=0,0,CQ259/CP259-1))</f>
      </c>
      <c r="CS259" s="60">
        <f>IF(B259="","",IF(ENTRADA!$Y259="","",ENTRADA!$Y259-C259))</f>
      </c>
      <c r="CT259" s="66">
        <f>IF(B259="","",IF(ENTRADA!$C259="","Falta fecha. ","")&amp;IF(BP259=0,"Mes fuera del rango de COSTOS_FIJOS. ","")&amp;IF(J259=0,"Sin kg. ","")&amp;IF(E259="","Falta transitaria. ","")&amp;IF(AND(T259&gt;0,U259/T259-1&gt;Tolerancia_Comb),"Combustible al puerto "&amp;TEXT(U259/T259-1,"+0%")&amp;" sobre norma. ","")&amp;IF(AND(AG259&gt;0,AH259/AG259-1&gt;Tolerancia_Comb),"Combustible distribución Occidente "&amp;TEXT(AH259/AG259-1,"+0%")&amp;" sobre norma. ","")&amp;IF(AND(AK259&gt;0,AL259/AK259-1&gt;Tolerancia_Comb),"Combustible traslado Centro "&amp;TEXT(AL259/AK259-1,"+0%")&amp;" sobre norma. ","")&amp;IF(AND(AM259&gt;0,AN259/AM259-1&gt;Tolerancia_Comb),"Combustible distribución Centro "&amp;TEXT(AN259/AM259-1,"+0%")&amp;" sobre norma. ","")&amp;IF(AND(AU259&gt;0,AV259/AU259-1&gt;Tolerancia_Comb),"Combustible traslado Oriente "&amp;TEXT(AV259/AU259-1,"+0%")&amp;" sobre norma. ","")&amp;IF(AND(AW259&gt;0,AX259/AW259-1&gt;Tolerancia_Comb),"Combustible distribución Oriente "&amp;TEXT(AX259/AW259-1,"+0%")&amp;" sobre norma. ","")&amp;IF(AND(ENTRADA!$C259&lt;&gt;"",C259&lt;PRECIOS!$A$6),"Fecha anterior a la 1ª vigencia de precios. ","")&amp;IF(CD259&lt;0,"Contenedor con pérdida. ",""))</f>
      </c>
    </row>
    <row r="260">
      <c r="A260" s="60">
        <f>IF(B260="","",ROW()-5)</f>
      </c>
      <c r="B260" s="63">
        <f>IF(ENTRADA!$B260="","",ENTRADA!$B260)</f>
      </c>
      <c r="C260" s="64">
        <f>IF(B260="","",ENTRADA!$C260)</f>
      </c>
      <c r="D260" s="65">
        <f>IF(B260="","",DATE(YEAR(C260),MONTH(C260),1))</f>
      </c>
      <c r="E260" s="66">
        <f>IF(B260="","",ENTRADA!$D260&amp;"")</f>
      </c>
      <c r="F260" s="66">
        <f>IF(B260="","",ENTRADA!$Z260&amp;"")</f>
      </c>
      <c r="G260" s="67">
        <f>IF(B260="","",N(ENTRADA!$G260))</f>
      </c>
      <c r="H260" s="67">
        <f>IF(B260="","",N(ENTRADA!$H260))</f>
      </c>
      <c r="I260" s="67">
        <f>IF(B260="","",N(ENTRADA!$I260))</f>
      </c>
      <c r="J260" s="68">
        <f>IF(B260="","",G260+H260+I260)</f>
      </c>
      <c r="K260" s="60">
        <f>IF(B260="","",IFERROR(MATCH(SUMPRODUCT(MAX((PRECIOS!$A$6:$A$55&lt;=C260)*PRECIOS!$A$6:$A$55)),PRECIOS!$A$6:$A$55,0),1))</f>
      </c>
      <c r="L260" s="69">
        <f>IF(B260="","",INDEX(PRECIOS!$A$6:$A$55,K260))</f>
      </c>
      <c r="M260" s="37">
        <f>IF(B260="","",G260*INDEX(PRECIOS!$B$6:$B$55,K260))</f>
      </c>
      <c r="N260" s="37">
        <f>IF(B260="","",H260*INDEX(PRECIOS!$C$6:$C$55,K260))</f>
      </c>
      <c r="O260" s="37">
        <f>IF(B260="","",I260*INDEX(PRECIOS!$D$6:$D$55,K260))</f>
      </c>
      <c r="P260" s="37">
        <f>IF(B260="","",N(ENTRADA!$X260))</f>
      </c>
      <c r="Q260" s="70">
        <f>IF(B260="","",M260+N260+O260+P260)</f>
      </c>
      <c r="R260" s="71">
        <f>IF(B260="","",IF(ENTRADA!$J260="",Std_Viajes_Puerto,ENTRADA!$J260))</f>
      </c>
      <c r="S260" s="37">
        <f>IF(B260="","",R260*INDEX(PRECIOS!$F$6:$F$55,K260))</f>
      </c>
      <c r="T260" s="71">
        <f>IF(B260="","",R260*Litros_Puerto_Viaje)</f>
      </c>
      <c r="U260" s="71">
        <f>IF(B260="","",IF(ENTRADA!$K260="",T260,ENTRADA!$K260))</f>
      </c>
      <c r="V260" s="37">
        <f>IF(B260="","",U260*INDEX(PRECIOS!$E$6:$E$55,K260))</f>
      </c>
      <c r="W260" s="37">
        <f>IF(B260="","",IF(ENTRADA!$L260="",R260*INDEX(PRECIOS!$G$6:$G$55,K260),ENTRADA!$L260))</f>
      </c>
      <c r="X260" s="37">
        <f>IF(B260="","",R260*Km_Puerto_Viaje*INDEX(PRECIOS!$N$6:$N$55,K260))</f>
      </c>
      <c r="Y260" s="70">
        <f>IF(B260="","",S260+V260+W260+X260)</f>
      </c>
      <c r="Z260" s="71">
        <f>IF(B260="","",IF(J260=0,0,ROUNDUP(J260/Rend_Desagrupe,0)))</f>
      </c>
      <c r="AA260" s="71">
        <f>IF(B260="","",IF(ENTRADA!$M260="",Z260,ENTRADA!$M260))</f>
      </c>
      <c r="AB260" s="37">
        <f>IF(B260="","",AA260*INDEX(PRECIOS!$H$6:$H$55,K260))</f>
      </c>
      <c r="AC260" s="37">
        <f>IF(B260="","",IF(E260="ENCI",INDEX(PRECIOS!$J$6:$J$55,K260),IF(E260="A.V",INDEX(PRECIOS!$K$6:$K$55,K260),0)))</f>
      </c>
      <c r="AD260" s="37">
        <f>IF(B260="","",N(ENTRADA!$N260))</f>
      </c>
      <c r="AE260" s="70">
        <f>IF(B260="","",AB260+AC260+AD260)</f>
      </c>
      <c r="AF260" s="71">
        <f>IF(B260="","",IF(G260=0,0,ROUNDUP(G260/Cap_Camion_OCC,0)))</f>
      </c>
      <c r="AG260" s="71">
        <f>IF(B260="","",AF260*L_Dist_OCC)</f>
      </c>
      <c r="AH260" s="71">
        <f>IF(B260="","",IF(ENTRADA!$O260="",AG260,ENTRADA!$O260))</f>
      </c>
      <c r="AI260" s="37">
        <f>IF(B260="","",AH260*INDEX(PRECIOS!$E$6:$E$55,K260))</f>
      </c>
      <c r="AJ260" s="71">
        <f>IF(B260="","",IF(H260=0,0,ROUNDUP(H260/Cap_Camion_CEN,0)))</f>
      </c>
      <c r="AK260" s="71">
        <f>IF(B260="","",AJ260*L_Tras_CEN)</f>
      </c>
      <c r="AL260" s="71">
        <f>IF(B260="","",IF(ENTRADA!$P260="",AK260,ENTRADA!$P260))</f>
      </c>
      <c r="AM260" s="71">
        <f>IF(B260="","",AJ260*L_Dist_CEN)</f>
      </c>
      <c r="AN260" s="71">
        <f>IF(B260="","",IF(ENTRADA!$Q260="",AM260,ENTRADA!$Q260))</f>
      </c>
      <c r="AO260" s="37">
        <f>IF(B260="","",(AL260+AN260)*INDEX(PRECIOS!$E$6:$E$55,K260))</f>
      </c>
      <c r="AP260" s="71">
        <f>IF(B260="","",IF(H260=0,0,ROUNDUP(H260/Rend_Desagrupe_CT,0)))</f>
      </c>
      <c r="AQ260" s="71">
        <f>IF(B260="","",IF(ENTRADA!$R260="",AP260,ENTRADA!$R260))</f>
      </c>
      <c r="AR260" s="37">
        <f>IF(B260="","",AQ260*INDEX(PRECIOS!$I$6:$I$55,K260))</f>
      </c>
      <c r="AS260" s="37">
        <f>IF(B260="","",AO260+AR260)</f>
      </c>
      <c r="AT260" s="71">
        <f>IF(B260="","",IF(I260=0,0,ROUNDUP(I260/Cap_Camion_ORI,0)))</f>
      </c>
      <c r="AU260" s="71">
        <f>IF(B260="","",AT260*L_Tras_ORI)</f>
      </c>
      <c r="AV260" s="71">
        <f>IF(B260="","",IF(ENTRADA!$S260="",AU260,ENTRADA!$S260))</f>
      </c>
      <c r="AW260" s="71">
        <f>IF(B260="","",AT260*L_Dist_ORI)</f>
      </c>
      <c r="AX260" s="71">
        <f>IF(B260="","",IF(ENTRADA!$T260="",AW260,ENTRADA!$T260))</f>
      </c>
      <c r="AY260" s="37">
        <f>IF(B260="","",(AV260+AX260)*INDEX(PRECIOS!$E$6:$E$55,K260))</f>
      </c>
      <c r="AZ260" s="71">
        <f>IF(B260="","",IF(I260=0,0,ROUNDUP(I260/Rend_Desagrupe_CT,0)))</f>
      </c>
      <c r="BA260" s="71">
        <f>IF(B260="","",IF(ENTRADA!$U260="",AZ260,ENTRADA!$U260))</f>
      </c>
      <c r="BB260" s="37">
        <f>IF(B260="","",BA260*INDEX(PRECIOS!$I$6:$I$55,K260))</f>
      </c>
      <c r="BC260" s="37">
        <f>IF(B260="","",AY260+BB260)</f>
      </c>
      <c r="BD260" s="70">
        <f>IF(B260="","",AI260+AS260+BC260)</f>
      </c>
      <c r="BE260" s="37">
        <f>IF(B260="","",IF(Base_Comision="% DEL INGRESO",M260*INDEX(PRECIOS!$L$6:$L$55,K260),G260*INDEX(PRECIOS!$M$6:$M$55,K260)))</f>
      </c>
      <c r="BF260" s="37">
        <f>IF(B260="","",IF(Base_Comision="% DEL INGRESO",N260*INDEX(PRECIOS!$L$6:$L$55,K260),H260*INDEX(PRECIOS!$M$6:$M$55,K260)))</f>
      </c>
      <c r="BG260" s="37">
        <f>IF(B260="","",IF(Base_Comision="% DEL INGRESO",O260*INDEX(PRECIOS!$L$6:$L$55,K260),I260*INDEX(PRECIOS!$M$6:$M$55,K260)))</f>
      </c>
      <c r="BH260" s="70">
        <f>IF(B260="","",BE260+BF260+BG260)</f>
      </c>
      <c r="BI260" s="37">
        <f>IF(B260="","",Q260*Pct_Reclamaciones)</f>
      </c>
      <c r="BJ260" s="37">
        <f>IF(B260="","",Q260*Pct_Banco)</f>
      </c>
      <c r="BK260" s="37">
        <f>IF(B260="","",N(ENTRADA!$V260))</f>
      </c>
      <c r="BL260" s="70">
        <f>IF(B260="","",Y260+AE260+BD260+BH260+BI260+BJ260+BK260)</f>
      </c>
      <c r="BM260" s="70">
        <f>IF(B260="","",Q260-BL260)</f>
      </c>
      <c r="BN260" s="72">
        <f>IF(B260="","",IF(Q260=0,0,BM260/Q260))</f>
      </c>
      <c r="BO260" s="73">
        <f>IF(B260="","",IF(J260=0,0,BM260/J260))</f>
      </c>
      <c r="BP260" s="60">
        <f>IF(B260="","",IFERROR(MATCH(D260,COSTOS_FIJOS!$G$5:$AD$5,0),0))</f>
      </c>
      <c r="BQ260" s="60">
        <f>IF(B260="","",COUNTIFS($D$6:$D$305,D260))</f>
      </c>
      <c r="BR260" s="67">
        <f>IF(B260="","",SUMIFS($J$6:$J$305,$D$6:$D$305,D260))</f>
      </c>
      <c r="BS260" s="72">
        <f>IF(B260="","",IF(Metodo_Prorrateo="KG",IF(BR260=0,0,J260/BR260),1/BQ260))</f>
      </c>
      <c r="BT260" s="37">
        <f>IF(B260="","",IF(BP260=0,0,INDEX(COSTOS_FIJOS!$G$38:$AD$38,BP260))*BS260)</f>
      </c>
      <c r="BU260" s="72">
        <f>IF(B260="","",IF(Metodo_Prorrateo="KG",IF(SUMIFS($G$6:$G$305,$D$6:$D$305,D260)=0,0,G260/SUMIFS($G$6:$G$305,$D$6:$D$305,D260)),IF(G260&gt;0,1/COUNTIFS($D$6:$D$305,D260,$G$6:$G$305,"&gt;0"),0)))</f>
      </c>
      <c r="BV260" s="37">
        <f>IF(B260="","",IF(BP260=0,0,INDEX(COSTOS_FIJOS!$G$39:$AD$39,BP260))*BU260)</f>
      </c>
      <c r="BW260" s="72">
        <f>IF(B260="","",IF(Metodo_Prorrateo="KG",IF(SUMIFS($H$6:$H$305,$D$6:$D$305,D260)=0,0,H260/SUMIFS($H$6:$H$305,$D$6:$D$305,D260)),IF(H260&gt;0,1/COUNTIFS($D$6:$D$305,D260,$H$6:$H$305,"&gt;0"),0)))</f>
      </c>
      <c r="BX260" s="37">
        <f>IF(B260="","",IF(BP260=0,0,INDEX(COSTOS_FIJOS!$G$40:$AD$40,BP260))*BW260)</f>
      </c>
      <c r="BY260" s="72">
        <f>IF(B260="","",IF(Metodo_Prorrateo="KG",IF(SUMIFS($I$6:$I$305,$D$6:$D$305,D260)=0,0,I260/SUMIFS($I$6:$I$305,$D$6:$D$305,D260)),IF(I260&gt;0,1/COUNTIFS($D$6:$D$305,D260,$I$6:$I$305,"&gt;0"),0)))</f>
      </c>
      <c r="BZ260" s="37">
        <f>IF(B260="","",IF(BP260=0,0,INDEX(COSTOS_FIJOS!$G$41:$AD$41,BP260))*BY260)</f>
      </c>
      <c r="CA260" s="70">
        <f>IF(B260="","",BT260+BV260+BX260+BZ260)</f>
      </c>
      <c r="CB260" s="37">
        <f>IF(B260="","",Q260*Imp_Ventas_Serv)</f>
      </c>
      <c r="CC260" s="37">
        <f>IF(B260="","",Q260*Contrib_Territorial)</f>
      </c>
      <c r="CD260" s="70">
        <f>IF(B260="","",BM260-CA260-CB260-CC260)</f>
      </c>
      <c r="CE260" s="37">
        <f>IF(B260="","",MAX(0,CD260)*Imp_Utilidades)</f>
      </c>
      <c r="CF260" s="70">
        <f>IF(B260="","",CD260-CE260)</f>
      </c>
      <c r="CG260" s="72">
        <f>IF(B260="","",IF(Q260=0,0,CF260/Q260))</f>
      </c>
      <c r="CH260" s="73">
        <f>IF(B260="","",IF(J260=0,0,(BL260+CA260+CB260+CC260)/J260))</f>
      </c>
      <c r="CI260" s="73">
        <f>IF(B260="","",IF(J260=0,0,Q260/J260))</f>
      </c>
      <c r="CJ260" s="73">
        <f>IF(B260="","",IF(J260=0,0,CD260/J260))</f>
      </c>
      <c r="CK260" s="37">
        <f>IF(B260="","",Y260+AE260+BK260+BT260)</f>
      </c>
      <c r="CL260" s="37">
        <f>IF(B260="","",IF(J260=0,0,(M260+P260*G260/J260)*(1-Pct_Reclamaciones-Pct_Banco-Imp_Ventas_Serv-Contrib_Territorial)-AI260-BE260-BV260-CK260*G260/J260))</f>
      </c>
      <c r="CM260" s="37">
        <f>IF(B260="","",IF(J260=0,0,(N260+P260*H260/J260)*(1-Pct_Reclamaciones-Pct_Banco-Imp_Ventas_Serv-Contrib_Territorial)-AS260-BF260-BX260-CK260*H260/J260))</f>
      </c>
      <c r="CN260" s="37">
        <f>IF(B260="","",IF(J260=0,0,(O260+P260*I260/J260)*(1-Pct_Reclamaciones-Pct_Banco-Imp_Ventas_Serv-Contrib_Territorial)-BC260-BG260-BZ260-CK260*I260/J260))</f>
      </c>
      <c r="CO260" s="37">
        <f>IF(B260="","",IF(J260=0,0,ROUND(CD260-CL260-CM260-CN260,4)))</f>
      </c>
      <c r="CP260" s="71">
        <f>IF(B260="","",T260+AG260+AK260+AM260+AU260+AW260)</f>
      </c>
      <c r="CQ260" s="71">
        <f>IF(B260="","",U260+AH260+AL260+AN260+AV260+AX260)</f>
      </c>
      <c r="CR260" s="72">
        <f>IF(B260="","",IF(CP260=0,0,CQ260/CP260-1))</f>
      </c>
      <c r="CS260" s="60">
        <f>IF(B260="","",IF(ENTRADA!$Y260="","",ENTRADA!$Y260-C260))</f>
      </c>
      <c r="CT260" s="66">
        <f>IF(B260="","",IF(ENTRADA!$C260="","Falta fecha. ","")&amp;IF(BP260=0,"Mes fuera del rango de COSTOS_FIJOS. ","")&amp;IF(J260=0,"Sin kg. ","")&amp;IF(E260="","Falta transitaria. ","")&amp;IF(AND(T260&gt;0,U260/T260-1&gt;Tolerancia_Comb),"Combustible al puerto "&amp;TEXT(U260/T260-1,"+0%")&amp;" sobre norma. ","")&amp;IF(AND(AG260&gt;0,AH260/AG260-1&gt;Tolerancia_Comb),"Combustible distribución Occidente "&amp;TEXT(AH260/AG260-1,"+0%")&amp;" sobre norma. ","")&amp;IF(AND(AK260&gt;0,AL260/AK260-1&gt;Tolerancia_Comb),"Combustible traslado Centro "&amp;TEXT(AL260/AK260-1,"+0%")&amp;" sobre norma. ","")&amp;IF(AND(AM260&gt;0,AN260/AM260-1&gt;Tolerancia_Comb),"Combustible distribución Centro "&amp;TEXT(AN260/AM260-1,"+0%")&amp;" sobre norma. ","")&amp;IF(AND(AU260&gt;0,AV260/AU260-1&gt;Tolerancia_Comb),"Combustible traslado Oriente "&amp;TEXT(AV260/AU260-1,"+0%")&amp;" sobre norma. ","")&amp;IF(AND(AW260&gt;0,AX260/AW260-1&gt;Tolerancia_Comb),"Combustible distribución Oriente "&amp;TEXT(AX260/AW260-1,"+0%")&amp;" sobre norma. ","")&amp;IF(AND(ENTRADA!$C260&lt;&gt;"",C260&lt;PRECIOS!$A$6),"Fecha anterior a la 1ª vigencia de precios. ","")&amp;IF(CD260&lt;0,"Contenedor con pérdida. ",""))</f>
      </c>
    </row>
    <row r="261">
      <c r="A261" s="60">
        <f>IF(B261="","",ROW()-5)</f>
      </c>
      <c r="B261" s="63">
        <f>IF(ENTRADA!$B261="","",ENTRADA!$B261)</f>
      </c>
      <c r="C261" s="64">
        <f>IF(B261="","",ENTRADA!$C261)</f>
      </c>
      <c r="D261" s="65">
        <f>IF(B261="","",DATE(YEAR(C261),MONTH(C261),1))</f>
      </c>
      <c r="E261" s="66">
        <f>IF(B261="","",ENTRADA!$D261&amp;"")</f>
      </c>
      <c r="F261" s="66">
        <f>IF(B261="","",ENTRADA!$Z261&amp;"")</f>
      </c>
      <c r="G261" s="67">
        <f>IF(B261="","",N(ENTRADA!$G261))</f>
      </c>
      <c r="H261" s="67">
        <f>IF(B261="","",N(ENTRADA!$H261))</f>
      </c>
      <c r="I261" s="67">
        <f>IF(B261="","",N(ENTRADA!$I261))</f>
      </c>
      <c r="J261" s="68">
        <f>IF(B261="","",G261+H261+I261)</f>
      </c>
      <c r="K261" s="60">
        <f>IF(B261="","",IFERROR(MATCH(SUMPRODUCT(MAX((PRECIOS!$A$6:$A$55&lt;=C261)*PRECIOS!$A$6:$A$55)),PRECIOS!$A$6:$A$55,0),1))</f>
      </c>
      <c r="L261" s="69">
        <f>IF(B261="","",INDEX(PRECIOS!$A$6:$A$55,K261))</f>
      </c>
      <c r="M261" s="37">
        <f>IF(B261="","",G261*INDEX(PRECIOS!$B$6:$B$55,K261))</f>
      </c>
      <c r="N261" s="37">
        <f>IF(B261="","",H261*INDEX(PRECIOS!$C$6:$C$55,K261))</f>
      </c>
      <c r="O261" s="37">
        <f>IF(B261="","",I261*INDEX(PRECIOS!$D$6:$D$55,K261))</f>
      </c>
      <c r="P261" s="37">
        <f>IF(B261="","",N(ENTRADA!$X261))</f>
      </c>
      <c r="Q261" s="70">
        <f>IF(B261="","",M261+N261+O261+P261)</f>
      </c>
      <c r="R261" s="71">
        <f>IF(B261="","",IF(ENTRADA!$J261="",Std_Viajes_Puerto,ENTRADA!$J261))</f>
      </c>
      <c r="S261" s="37">
        <f>IF(B261="","",R261*INDEX(PRECIOS!$F$6:$F$55,K261))</f>
      </c>
      <c r="T261" s="71">
        <f>IF(B261="","",R261*Litros_Puerto_Viaje)</f>
      </c>
      <c r="U261" s="71">
        <f>IF(B261="","",IF(ENTRADA!$K261="",T261,ENTRADA!$K261))</f>
      </c>
      <c r="V261" s="37">
        <f>IF(B261="","",U261*INDEX(PRECIOS!$E$6:$E$55,K261))</f>
      </c>
      <c r="W261" s="37">
        <f>IF(B261="","",IF(ENTRADA!$L261="",R261*INDEX(PRECIOS!$G$6:$G$55,K261),ENTRADA!$L261))</f>
      </c>
      <c r="X261" s="37">
        <f>IF(B261="","",R261*Km_Puerto_Viaje*INDEX(PRECIOS!$N$6:$N$55,K261))</f>
      </c>
      <c r="Y261" s="70">
        <f>IF(B261="","",S261+V261+W261+X261)</f>
      </c>
      <c r="Z261" s="71">
        <f>IF(B261="","",IF(J261=0,0,ROUNDUP(J261/Rend_Desagrupe,0)))</f>
      </c>
      <c r="AA261" s="71">
        <f>IF(B261="","",IF(ENTRADA!$M261="",Z261,ENTRADA!$M261))</f>
      </c>
      <c r="AB261" s="37">
        <f>IF(B261="","",AA261*INDEX(PRECIOS!$H$6:$H$55,K261))</f>
      </c>
      <c r="AC261" s="37">
        <f>IF(B261="","",IF(E261="ENCI",INDEX(PRECIOS!$J$6:$J$55,K261),IF(E261="A.V",INDEX(PRECIOS!$K$6:$K$55,K261),0)))</f>
      </c>
      <c r="AD261" s="37">
        <f>IF(B261="","",N(ENTRADA!$N261))</f>
      </c>
      <c r="AE261" s="70">
        <f>IF(B261="","",AB261+AC261+AD261)</f>
      </c>
      <c r="AF261" s="71">
        <f>IF(B261="","",IF(G261=0,0,ROUNDUP(G261/Cap_Camion_OCC,0)))</f>
      </c>
      <c r="AG261" s="71">
        <f>IF(B261="","",AF261*L_Dist_OCC)</f>
      </c>
      <c r="AH261" s="71">
        <f>IF(B261="","",IF(ENTRADA!$O261="",AG261,ENTRADA!$O261))</f>
      </c>
      <c r="AI261" s="37">
        <f>IF(B261="","",AH261*INDEX(PRECIOS!$E$6:$E$55,K261))</f>
      </c>
      <c r="AJ261" s="71">
        <f>IF(B261="","",IF(H261=0,0,ROUNDUP(H261/Cap_Camion_CEN,0)))</f>
      </c>
      <c r="AK261" s="71">
        <f>IF(B261="","",AJ261*L_Tras_CEN)</f>
      </c>
      <c r="AL261" s="71">
        <f>IF(B261="","",IF(ENTRADA!$P261="",AK261,ENTRADA!$P261))</f>
      </c>
      <c r="AM261" s="71">
        <f>IF(B261="","",AJ261*L_Dist_CEN)</f>
      </c>
      <c r="AN261" s="71">
        <f>IF(B261="","",IF(ENTRADA!$Q261="",AM261,ENTRADA!$Q261))</f>
      </c>
      <c r="AO261" s="37">
        <f>IF(B261="","",(AL261+AN261)*INDEX(PRECIOS!$E$6:$E$55,K261))</f>
      </c>
      <c r="AP261" s="71">
        <f>IF(B261="","",IF(H261=0,0,ROUNDUP(H261/Rend_Desagrupe_CT,0)))</f>
      </c>
      <c r="AQ261" s="71">
        <f>IF(B261="","",IF(ENTRADA!$R261="",AP261,ENTRADA!$R261))</f>
      </c>
      <c r="AR261" s="37">
        <f>IF(B261="","",AQ261*INDEX(PRECIOS!$I$6:$I$55,K261))</f>
      </c>
      <c r="AS261" s="37">
        <f>IF(B261="","",AO261+AR261)</f>
      </c>
      <c r="AT261" s="71">
        <f>IF(B261="","",IF(I261=0,0,ROUNDUP(I261/Cap_Camion_ORI,0)))</f>
      </c>
      <c r="AU261" s="71">
        <f>IF(B261="","",AT261*L_Tras_ORI)</f>
      </c>
      <c r="AV261" s="71">
        <f>IF(B261="","",IF(ENTRADA!$S261="",AU261,ENTRADA!$S261))</f>
      </c>
      <c r="AW261" s="71">
        <f>IF(B261="","",AT261*L_Dist_ORI)</f>
      </c>
      <c r="AX261" s="71">
        <f>IF(B261="","",IF(ENTRADA!$T261="",AW261,ENTRADA!$T261))</f>
      </c>
      <c r="AY261" s="37">
        <f>IF(B261="","",(AV261+AX261)*INDEX(PRECIOS!$E$6:$E$55,K261))</f>
      </c>
      <c r="AZ261" s="71">
        <f>IF(B261="","",IF(I261=0,0,ROUNDUP(I261/Rend_Desagrupe_CT,0)))</f>
      </c>
      <c r="BA261" s="71">
        <f>IF(B261="","",IF(ENTRADA!$U261="",AZ261,ENTRADA!$U261))</f>
      </c>
      <c r="BB261" s="37">
        <f>IF(B261="","",BA261*INDEX(PRECIOS!$I$6:$I$55,K261))</f>
      </c>
      <c r="BC261" s="37">
        <f>IF(B261="","",AY261+BB261)</f>
      </c>
      <c r="BD261" s="70">
        <f>IF(B261="","",AI261+AS261+BC261)</f>
      </c>
      <c r="BE261" s="37">
        <f>IF(B261="","",IF(Base_Comision="% DEL INGRESO",M261*INDEX(PRECIOS!$L$6:$L$55,K261),G261*INDEX(PRECIOS!$M$6:$M$55,K261)))</f>
      </c>
      <c r="BF261" s="37">
        <f>IF(B261="","",IF(Base_Comision="% DEL INGRESO",N261*INDEX(PRECIOS!$L$6:$L$55,K261),H261*INDEX(PRECIOS!$M$6:$M$55,K261)))</f>
      </c>
      <c r="BG261" s="37">
        <f>IF(B261="","",IF(Base_Comision="% DEL INGRESO",O261*INDEX(PRECIOS!$L$6:$L$55,K261),I261*INDEX(PRECIOS!$M$6:$M$55,K261)))</f>
      </c>
      <c r="BH261" s="70">
        <f>IF(B261="","",BE261+BF261+BG261)</f>
      </c>
      <c r="BI261" s="37">
        <f>IF(B261="","",Q261*Pct_Reclamaciones)</f>
      </c>
      <c r="BJ261" s="37">
        <f>IF(B261="","",Q261*Pct_Banco)</f>
      </c>
      <c r="BK261" s="37">
        <f>IF(B261="","",N(ENTRADA!$V261))</f>
      </c>
      <c r="BL261" s="70">
        <f>IF(B261="","",Y261+AE261+BD261+BH261+BI261+BJ261+BK261)</f>
      </c>
      <c r="BM261" s="70">
        <f>IF(B261="","",Q261-BL261)</f>
      </c>
      <c r="BN261" s="72">
        <f>IF(B261="","",IF(Q261=0,0,BM261/Q261))</f>
      </c>
      <c r="BO261" s="73">
        <f>IF(B261="","",IF(J261=0,0,BM261/J261))</f>
      </c>
      <c r="BP261" s="60">
        <f>IF(B261="","",IFERROR(MATCH(D261,COSTOS_FIJOS!$G$5:$AD$5,0),0))</f>
      </c>
      <c r="BQ261" s="60">
        <f>IF(B261="","",COUNTIFS($D$6:$D$305,D261))</f>
      </c>
      <c r="BR261" s="67">
        <f>IF(B261="","",SUMIFS($J$6:$J$305,$D$6:$D$305,D261))</f>
      </c>
      <c r="BS261" s="72">
        <f>IF(B261="","",IF(Metodo_Prorrateo="KG",IF(BR261=0,0,J261/BR261),1/BQ261))</f>
      </c>
      <c r="BT261" s="37">
        <f>IF(B261="","",IF(BP261=0,0,INDEX(COSTOS_FIJOS!$G$38:$AD$38,BP261))*BS261)</f>
      </c>
      <c r="BU261" s="72">
        <f>IF(B261="","",IF(Metodo_Prorrateo="KG",IF(SUMIFS($G$6:$G$305,$D$6:$D$305,D261)=0,0,G261/SUMIFS($G$6:$G$305,$D$6:$D$305,D261)),IF(G261&gt;0,1/COUNTIFS($D$6:$D$305,D261,$G$6:$G$305,"&gt;0"),0)))</f>
      </c>
      <c r="BV261" s="37">
        <f>IF(B261="","",IF(BP261=0,0,INDEX(COSTOS_FIJOS!$G$39:$AD$39,BP261))*BU261)</f>
      </c>
      <c r="BW261" s="72">
        <f>IF(B261="","",IF(Metodo_Prorrateo="KG",IF(SUMIFS($H$6:$H$305,$D$6:$D$305,D261)=0,0,H261/SUMIFS($H$6:$H$305,$D$6:$D$305,D261)),IF(H261&gt;0,1/COUNTIFS($D$6:$D$305,D261,$H$6:$H$305,"&gt;0"),0)))</f>
      </c>
      <c r="BX261" s="37">
        <f>IF(B261="","",IF(BP261=0,0,INDEX(COSTOS_FIJOS!$G$40:$AD$40,BP261))*BW261)</f>
      </c>
      <c r="BY261" s="72">
        <f>IF(B261="","",IF(Metodo_Prorrateo="KG",IF(SUMIFS($I$6:$I$305,$D$6:$D$305,D261)=0,0,I261/SUMIFS($I$6:$I$305,$D$6:$D$305,D261)),IF(I261&gt;0,1/COUNTIFS($D$6:$D$305,D261,$I$6:$I$305,"&gt;0"),0)))</f>
      </c>
      <c r="BZ261" s="37">
        <f>IF(B261="","",IF(BP261=0,0,INDEX(COSTOS_FIJOS!$G$41:$AD$41,BP261))*BY261)</f>
      </c>
      <c r="CA261" s="70">
        <f>IF(B261="","",BT261+BV261+BX261+BZ261)</f>
      </c>
      <c r="CB261" s="37">
        <f>IF(B261="","",Q261*Imp_Ventas_Serv)</f>
      </c>
      <c r="CC261" s="37">
        <f>IF(B261="","",Q261*Contrib_Territorial)</f>
      </c>
      <c r="CD261" s="70">
        <f>IF(B261="","",BM261-CA261-CB261-CC261)</f>
      </c>
      <c r="CE261" s="37">
        <f>IF(B261="","",MAX(0,CD261)*Imp_Utilidades)</f>
      </c>
      <c r="CF261" s="70">
        <f>IF(B261="","",CD261-CE261)</f>
      </c>
      <c r="CG261" s="72">
        <f>IF(B261="","",IF(Q261=0,0,CF261/Q261))</f>
      </c>
      <c r="CH261" s="73">
        <f>IF(B261="","",IF(J261=0,0,(BL261+CA261+CB261+CC261)/J261))</f>
      </c>
      <c r="CI261" s="73">
        <f>IF(B261="","",IF(J261=0,0,Q261/J261))</f>
      </c>
      <c r="CJ261" s="73">
        <f>IF(B261="","",IF(J261=0,0,CD261/J261))</f>
      </c>
      <c r="CK261" s="37">
        <f>IF(B261="","",Y261+AE261+BK261+BT261)</f>
      </c>
      <c r="CL261" s="37">
        <f>IF(B261="","",IF(J261=0,0,(M261+P261*G261/J261)*(1-Pct_Reclamaciones-Pct_Banco-Imp_Ventas_Serv-Contrib_Territorial)-AI261-BE261-BV261-CK261*G261/J261))</f>
      </c>
      <c r="CM261" s="37">
        <f>IF(B261="","",IF(J261=0,0,(N261+P261*H261/J261)*(1-Pct_Reclamaciones-Pct_Banco-Imp_Ventas_Serv-Contrib_Territorial)-AS261-BF261-BX261-CK261*H261/J261))</f>
      </c>
      <c r="CN261" s="37">
        <f>IF(B261="","",IF(J261=0,0,(O261+P261*I261/J261)*(1-Pct_Reclamaciones-Pct_Banco-Imp_Ventas_Serv-Contrib_Territorial)-BC261-BG261-BZ261-CK261*I261/J261))</f>
      </c>
      <c r="CO261" s="37">
        <f>IF(B261="","",IF(J261=0,0,ROUND(CD261-CL261-CM261-CN261,4)))</f>
      </c>
      <c r="CP261" s="71">
        <f>IF(B261="","",T261+AG261+AK261+AM261+AU261+AW261)</f>
      </c>
      <c r="CQ261" s="71">
        <f>IF(B261="","",U261+AH261+AL261+AN261+AV261+AX261)</f>
      </c>
      <c r="CR261" s="72">
        <f>IF(B261="","",IF(CP261=0,0,CQ261/CP261-1))</f>
      </c>
      <c r="CS261" s="60">
        <f>IF(B261="","",IF(ENTRADA!$Y261="","",ENTRADA!$Y261-C261))</f>
      </c>
      <c r="CT261" s="66">
        <f>IF(B261="","",IF(ENTRADA!$C261="","Falta fecha. ","")&amp;IF(BP261=0,"Mes fuera del rango de COSTOS_FIJOS. ","")&amp;IF(J261=0,"Sin kg. ","")&amp;IF(E261="","Falta transitaria. ","")&amp;IF(AND(T261&gt;0,U261/T261-1&gt;Tolerancia_Comb),"Combustible al puerto "&amp;TEXT(U261/T261-1,"+0%")&amp;" sobre norma. ","")&amp;IF(AND(AG261&gt;0,AH261/AG261-1&gt;Tolerancia_Comb),"Combustible distribución Occidente "&amp;TEXT(AH261/AG261-1,"+0%")&amp;" sobre norma. ","")&amp;IF(AND(AK261&gt;0,AL261/AK261-1&gt;Tolerancia_Comb),"Combustible traslado Centro "&amp;TEXT(AL261/AK261-1,"+0%")&amp;" sobre norma. ","")&amp;IF(AND(AM261&gt;0,AN261/AM261-1&gt;Tolerancia_Comb),"Combustible distribución Centro "&amp;TEXT(AN261/AM261-1,"+0%")&amp;" sobre norma. ","")&amp;IF(AND(AU261&gt;0,AV261/AU261-1&gt;Tolerancia_Comb),"Combustible traslado Oriente "&amp;TEXT(AV261/AU261-1,"+0%")&amp;" sobre norma. ","")&amp;IF(AND(AW261&gt;0,AX261/AW261-1&gt;Tolerancia_Comb),"Combustible distribución Oriente "&amp;TEXT(AX261/AW261-1,"+0%")&amp;" sobre norma. ","")&amp;IF(AND(ENTRADA!$C261&lt;&gt;"",C261&lt;PRECIOS!$A$6),"Fecha anterior a la 1ª vigencia de precios. ","")&amp;IF(CD261&lt;0,"Contenedor con pérdida. ",""))</f>
      </c>
    </row>
    <row r="262">
      <c r="A262" s="60">
        <f>IF(B262="","",ROW()-5)</f>
      </c>
      <c r="B262" s="63">
        <f>IF(ENTRADA!$B262="","",ENTRADA!$B262)</f>
      </c>
      <c r="C262" s="64">
        <f>IF(B262="","",ENTRADA!$C262)</f>
      </c>
      <c r="D262" s="65">
        <f>IF(B262="","",DATE(YEAR(C262),MONTH(C262),1))</f>
      </c>
      <c r="E262" s="66">
        <f>IF(B262="","",ENTRADA!$D262&amp;"")</f>
      </c>
      <c r="F262" s="66">
        <f>IF(B262="","",ENTRADA!$Z262&amp;"")</f>
      </c>
      <c r="G262" s="67">
        <f>IF(B262="","",N(ENTRADA!$G262))</f>
      </c>
      <c r="H262" s="67">
        <f>IF(B262="","",N(ENTRADA!$H262))</f>
      </c>
      <c r="I262" s="67">
        <f>IF(B262="","",N(ENTRADA!$I262))</f>
      </c>
      <c r="J262" s="68">
        <f>IF(B262="","",G262+H262+I262)</f>
      </c>
      <c r="K262" s="60">
        <f>IF(B262="","",IFERROR(MATCH(SUMPRODUCT(MAX((PRECIOS!$A$6:$A$55&lt;=C262)*PRECIOS!$A$6:$A$55)),PRECIOS!$A$6:$A$55,0),1))</f>
      </c>
      <c r="L262" s="69">
        <f>IF(B262="","",INDEX(PRECIOS!$A$6:$A$55,K262))</f>
      </c>
      <c r="M262" s="37">
        <f>IF(B262="","",G262*INDEX(PRECIOS!$B$6:$B$55,K262))</f>
      </c>
      <c r="N262" s="37">
        <f>IF(B262="","",H262*INDEX(PRECIOS!$C$6:$C$55,K262))</f>
      </c>
      <c r="O262" s="37">
        <f>IF(B262="","",I262*INDEX(PRECIOS!$D$6:$D$55,K262))</f>
      </c>
      <c r="P262" s="37">
        <f>IF(B262="","",N(ENTRADA!$X262))</f>
      </c>
      <c r="Q262" s="70">
        <f>IF(B262="","",M262+N262+O262+P262)</f>
      </c>
      <c r="R262" s="71">
        <f>IF(B262="","",IF(ENTRADA!$J262="",Std_Viajes_Puerto,ENTRADA!$J262))</f>
      </c>
      <c r="S262" s="37">
        <f>IF(B262="","",R262*INDEX(PRECIOS!$F$6:$F$55,K262))</f>
      </c>
      <c r="T262" s="71">
        <f>IF(B262="","",R262*Litros_Puerto_Viaje)</f>
      </c>
      <c r="U262" s="71">
        <f>IF(B262="","",IF(ENTRADA!$K262="",T262,ENTRADA!$K262))</f>
      </c>
      <c r="V262" s="37">
        <f>IF(B262="","",U262*INDEX(PRECIOS!$E$6:$E$55,K262))</f>
      </c>
      <c r="W262" s="37">
        <f>IF(B262="","",IF(ENTRADA!$L262="",R262*INDEX(PRECIOS!$G$6:$G$55,K262),ENTRADA!$L262))</f>
      </c>
      <c r="X262" s="37">
        <f>IF(B262="","",R262*Km_Puerto_Viaje*INDEX(PRECIOS!$N$6:$N$55,K262))</f>
      </c>
      <c r="Y262" s="70">
        <f>IF(B262="","",S262+V262+W262+X262)</f>
      </c>
      <c r="Z262" s="71">
        <f>IF(B262="","",IF(J262=0,0,ROUNDUP(J262/Rend_Desagrupe,0)))</f>
      </c>
      <c r="AA262" s="71">
        <f>IF(B262="","",IF(ENTRADA!$M262="",Z262,ENTRADA!$M262))</f>
      </c>
      <c r="AB262" s="37">
        <f>IF(B262="","",AA262*INDEX(PRECIOS!$H$6:$H$55,K262))</f>
      </c>
      <c r="AC262" s="37">
        <f>IF(B262="","",IF(E262="ENCI",INDEX(PRECIOS!$J$6:$J$55,K262),IF(E262="A.V",INDEX(PRECIOS!$K$6:$K$55,K262),0)))</f>
      </c>
      <c r="AD262" s="37">
        <f>IF(B262="","",N(ENTRADA!$N262))</f>
      </c>
      <c r="AE262" s="70">
        <f>IF(B262="","",AB262+AC262+AD262)</f>
      </c>
      <c r="AF262" s="71">
        <f>IF(B262="","",IF(G262=0,0,ROUNDUP(G262/Cap_Camion_OCC,0)))</f>
      </c>
      <c r="AG262" s="71">
        <f>IF(B262="","",AF262*L_Dist_OCC)</f>
      </c>
      <c r="AH262" s="71">
        <f>IF(B262="","",IF(ENTRADA!$O262="",AG262,ENTRADA!$O262))</f>
      </c>
      <c r="AI262" s="37">
        <f>IF(B262="","",AH262*INDEX(PRECIOS!$E$6:$E$55,K262))</f>
      </c>
      <c r="AJ262" s="71">
        <f>IF(B262="","",IF(H262=0,0,ROUNDUP(H262/Cap_Camion_CEN,0)))</f>
      </c>
      <c r="AK262" s="71">
        <f>IF(B262="","",AJ262*L_Tras_CEN)</f>
      </c>
      <c r="AL262" s="71">
        <f>IF(B262="","",IF(ENTRADA!$P262="",AK262,ENTRADA!$P262))</f>
      </c>
      <c r="AM262" s="71">
        <f>IF(B262="","",AJ262*L_Dist_CEN)</f>
      </c>
      <c r="AN262" s="71">
        <f>IF(B262="","",IF(ENTRADA!$Q262="",AM262,ENTRADA!$Q262))</f>
      </c>
      <c r="AO262" s="37">
        <f>IF(B262="","",(AL262+AN262)*INDEX(PRECIOS!$E$6:$E$55,K262))</f>
      </c>
      <c r="AP262" s="71">
        <f>IF(B262="","",IF(H262=0,0,ROUNDUP(H262/Rend_Desagrupe_CT,0)))</f>
      </c>
      <c r="AQ262" s="71">
        <f>IF(B262="","",IF(ENTRADA!$R262="",AP262,ENTRADA!$R262))</f>
      </c>
      <c r="AR262" s="37">
        <f>IF(B262="","",AQ262*INDEX(PRECIOS!$I$6:$I$55,K262))</f>
      </c>
      <c r="AS262" s="37">
        <f>IF(B262="","",AO262+AR262)</f>
      </c>
      <c r="AT262" s="71">
        <f>IF(B262="","",IF(I262=0,0,ROUNDUP(I262/Cap_Camion_ORI,0)))</f>
      </c>
      <c r="AU262" s="71">
        <f>IF(B262="","",AT262*L_Tras_ORI)</f>
      </c>
      <c r="AV262" s="71">
        <f>IF(B262="","",IF(ENTRADA!$S262="",AU262,ENTRADA!$S262))</f>
      </c>
      <c r="AW262" s="71">
        <f>IF(B262="","",AT262*L_Dist_ORI)</f>
      </c>
      <c r="AX262" s="71">
        <f>IF(B262="","",IF(ENTRADA!$T262="",AW262,ENTRADA!$T262))</f>
      </c>
      <c r="AY262" s="37">
        <f>IF(B262="","",(AV262+AX262)*INDEX(PRECIOS!$E$6:$E$55,K262))</f>
      </c>
      <c r="AZ262" s="71">
        <f>IF(B262="","",IF(I262=0,0,ROUNDUP(I262/Rend_Desagrupe_CT,0)))</f>
      </c>
      <c r="BA262" s="71">
        <f>IF(B262="","",IF(ENTRADA!$U262="",AZ262,ENTRADA!$U262))</f>
      </c>
      <c r="BB262" s="37">
        <f>IF(B262="","",BA262*INDEX(PRECIOS!$I$6:$I$55,K262))</f>
      </c>
      <c r="BC262" s="37">
        <f>IF(B262="","",AY262+BB262)</f>
      </c>
      <c r="BD262" s="70">
        <f>IF(B262="","",AI262+AS262+BC262)</f>
      </c>
      <c r="BE262" s="37">
        <f>IF(B262="","",IF(Base_Comision="% DEL INGRESO",M262*INDEX(PRECIOS!$L$6:$L$55,K262),G262*INDEX(PRECIOS!$M$6:$M$55,K262)))</f>
      </c>
      <c r="BF262" s="37">
        <f>IF(B262="","",IF(Base_Comision="% DEL INGRESO",N262*INDEX(PRECIOS!$L$6:$L$55,K262),H262*INDEX(PRECIOS!$M$6:$M$55,K262)))</f>
      </c>
      <c r="BG262" s="37">
        <f>IF(B262="","",IF(Base_Comision="% DEL INGRESO",O262*INDEX(PRECIOS!$L$6:$L$55,K262),I262*INDEX(PRECIOS!$M$6:$M$55,K262)))</f>
      </c>
      <c r="BH262" s="70">
        <f>IF(B262="","",BE262+BF262+BG262)</f>
      </c>
      <c r="BI262" s="37">
        <f>IF(B262="","",Q262*Pct_Reclamaciones)</f>
      </c>
      <c r="BJ262" s="37">
        <f>IF(B262="","",Q262*Pct_Banco)</f>
      </c>
      <c r="BK262" s="37">
        <f>IF(B262="","",N(ENTRADA!$V262))</f>
      </c>
      <c r="BL262" s="70">
        <f>IF(B262="","",Y262+AE262+BD262+BH262+BI262+BJ262+BK262)</f>
      </c>
      <c r="BM262" s="70">
        <f>IF(B262="","",Q262-BL262)</f>
      </c>
      <c r="BN262" s="72">
        <f>IF(B262="","",IF(Q262=0,0,BM262/Q262))</f>
      </c>
      <c r="BO262" s="73">
        <f>IF(B262="","",IF(J262=0,0,BM262/J262))</f>
      </c>
      <c r="BP262" s="60">
        <f>IF(B262="","",IFERROR(MATCH(D262,COSTOS_FIJOS!$G$5:$AD$5,0),0))</f>
      </c>
      <c r="BQ262" s="60">
        <f>IF(B262="","",COUNTIFS($D$6:$D$305,D262))</f>
      </c>
      <c r="BR262" s="67">
        <f>IF(B262="","",SUMIFS($J$6:$J$305,$D$6:$D$305,D262))</f>
      </c>
      <c r="BS262" s="72">
        <f>IF(B262="","",IF(Metodo_Prorrateo="KG",IF(BR262=0,0,J262/BR262),1/BQ262))</f>
      </c>
      <c r="BT262" s="37">
        <f>IF(B262="","",IF(BP262=0,0,INDEX(COSTOS_FIJOS!$G$38:$AD$38,BP262))*BS262)</f>
      </c>
      <c r="BU262" s="72">
        <f>IF(B262="","",IF(Metodo_Prorrateo="KG",IF(SUMIFS($G$6:$G$305,$D$6:$D$305,D262)=0,0,G262/SUMIFS($G$6:$G$305,$D$6:$D$305,D262)),IF(G262&gt;0,1/COUNTIFS($D$6:$D$305,D262,$G$6:$G$305,"&gt;0"),0)))</f>
      </c>
      <c r="BV262" s="37">
        <f>IF(B262="","",IF(BP262=0,0,INDEX(COSTOS_FIJOS!$G$39:$AD$39,BP262))*BU262)</f>
      </c>
      <c r="BW262" s="72">
        <f>IF(B262="","",IF(Metodo_Prorrateo="KG",IF(SUMIFS($H$6:$H$305,$D$6:$D$305,D262)=0,0,H262/SUMIFS($H$6:$H$305,$D$6:$D$305,D262)),IF(H262&gt;0,1/COUNTIFS($D$6:$D$305,D262,$H$6:$H$305,"&gt;0"),0)))</f>
      </c>
      <c r="BX262" s="37">
        <f>IF(B262="","",IF(BP262=0,0,INDEX(COSTOS_FIJOS!$G$40:$AD$40,BP262))*BW262)</f>
      </c>
      <c r="BY262" s="72">
        <f>IF(B262="","",IF(Metodo_Prorrateo="KG",IF(SUMIFS($I$6:$I$305,$D$6:$D$305,D262)=0,0,I262/SUMIFS($I$6:$I$305,$D$6:$D$305,D262)),IF(I262&gt;0,1/COUNTIFS($D$6:$D$305,D262,$I$6:$I$305,"&gt;0"),0)))</f>
      </c>
      <c r="BZ262" s="37">
        <f>IF(B262="","",IF(BP262=0,0,INDEX(COSTOS_FIJOS!$G$41:$AD$41,BP262))*BY262)</f>
      </c>
      <c r="CA262" s="70">
        <f>IF(B262="","",BT262+BV262+BX262+BZ262)</f>
      </c>
      <c r="CB262" s="37">
        <f>IF(B262="","",Q262*Imp_Ventas_Serv)</f>
      </c>
      <c r="CC262" s="37">
        <f>IF(B262="","",Q262*Contrib_Territorial)</f>
      </c>
      <c r="CD262" s="70">
        <f>IF(B262="","",BM262-CA262-CB262-CC262)</f>
      </c>
      <c r="CE262" s="37">
        <f>IF(B262="","",MAX(0,CD262)*Imp_Utilidades)</f>
      </c>
      <c r="CF262" s="70">
        <f>IF(B262="","",CD262-CE262)</f>
      </c>
      <c r="CG262" s="72">
        <f>IF(B262="","",IF(Q262=0,0,CF262/Q262))</f>
      </c>
      <c r="CH262" s="73">
        <f>IF(B262="","",IF(J262=0,0,(BL262+CA262+CB262+CC262)/J262))</f>
      </c>
      <c r="CI262" s="73">
        <f>IF(B262="","",IF(J262=0,0,Q262/J262))</f>
      </c>
      <c r="CJ262" s="73">
        <f>IF(B262="","",IF(J262=0,0,CD262/J262))</f>
      </c>
      <c r="CK262" s="37">
        <f>IF(B262="","",Y262+AE262+BK262+BT262)</f>
      </c>
      <c r="CL262" s="37">
        <f>IF(B262="","",IF(J262=0,0,(M262+P262*G262/J262)*(1-Pct_Reclamaciones-Pct_Banco-Imp_Ventas_Serv-Contrib_Territorial)-AI262-BE262-BV262-CK262*G262/J262))</f>
      </c>
      <c r="CM262" s="37">
        <f>IF(B262="","",IF(J262=0,0,(N262+P262*H262/J262)*(1-Pct_Reclamaciones-Pct_Banco-Imp_Ventas_Serv-Contrib_Territorial)-AS262-BF262-BX262-CK262*H262/J262))</f>
      </c>
      <c r="CN262" s="37">
        <f>IF(B262="","",IF(J262=0,0,(O262+P262*I262/J262)*(1-Pct_Reclamaciones-Pct_Banco-Imp_Ventas_Serv-Contrib_Territorial)-BC262-BG262-BZ262-CK262*I262/J262))</f>
      </c>
      <c r="CO262" s="37">
        <f>IF(B262="","",IF(J262=0,0,ROUND(CD262-CL262-CM262-CN262,4)))</f>
      </c>
      <c r="CP262" s="71">
        <f>IF(B262="","",T262+AG262+AK262+AM262+AU262+AW262)</f>
      </c>
      <c r="CQ262" s="71">
        <f>IF(B262="","",U262+AH262+AL262+AN262+AV262+AX262)</f>
      </c>
      <c r="CR262" s="72">
        <f>IF(B262="","",IF(CP262=0,0,CQ262/CP262-1))</f>
      </c>
      <c r="CS262" s="60">
        <f>IF(B262="","",IF(ENTRADA!$Y262="","",ENTRADA!$Y262-C262))</f>
      </c>
      <c r="CT262" s="66">
        <f>IF(B262="","",IF(ENTRADA!$C262="","Falta fecha. ","")&amp;IF(BP262=0,"Mes fuera del rango de COSTOS_FIJOS. ","")&amp;IF(J262=0,"Sin kg. ","")&amp;IF(E262="","Falta transitaria. ","")&amp;IF(AND(T262&gt;0,U262/T262-1&gt;Tolerancia_Comb),"Combustible al puerto "&amp;TEXT(U262/T262-1,"+0%")&amp;" sobre norma. ","")&amp;IF(AND(AG262&gt;0,AH262/AG262-1&gt;Tolerancia_Comb),"Combustible distribución Occidente "&amp;TEXT(AH262/AG262-1,"+0%")&amp;" sobre norma. ","")&amp;IF(AND(AK262&gt;0,AL262/AK262-1&gt;Tolerancia_Comb),"Combustible traslado Centro "&amp;TEXT(AL262/AK262-1,"+0%")&amp;" sobre norma. ","")&amp;IF(AND(AM262&gt;0,AN262/AM262-1&gt;Tolerancia_Comb),"Combustible distribución Centro "&amp;TEXT(AN262/AM262-1,"+0%")&amp;" sobre norma. ","")&amp;IF(AND(AU262&gt;0,AV262/AU262-1&gt;Tolerancia_Comb),"Combustible traslado Oriente "&amp;TEXT(AV262/AU262-1,"+0%")&amp;" sobre norma. ","")&amp;IF(AND(AW262&gt;0,AX262/AW262-1&gt;Tolerancia_Comb),"Combustible distribución Oriente "&amp;TEXT(AX262/AW262-1,"+0%")&amp;" sobre norma. ","")&amp;IF(AND(ENTRADA!$C262&lt;&gt;"",C262&lt;PRECIOS!$A$6),"Fecha anterior a la 1ª vigencia de precios. ","")&amp;IF(CD262&lt;0,"Contenedor con pérdida. ",""))</f>
      </c>
    </row>
    <row r="263">
      <c r="A263" s="60">
        <f>IF(B263="","",ROW()-5)</f>
      </c>
      <c r="B263" s="63">
        <f>IF(ENTRADA!$B263="","",ENTRADA!$B263)</f>
      </c>
      <c r="C263" s="64">
        <f>IF(B263="","",ENTRADA!$C263)</f>
      </c>
      <c r="D263" s="65">
        <f>IF(B263="","",DATE(YEAR(C263),MONTH(C263),1))</f>
      </c>
      <c r="E263" s="66">
        <f>IF(B263="","",ENTRADA!$D263&amp;"")</f>
      </c>
      <c r="F263" s="66">
        <f>IF(B263="","",ENTRADA!$Z263&amp;"")</f>
      </c>
      <c r="G263" s="67">
        <f>IF(B263="","",N(ENTRADA!$G263))</f>
      </c>
      <c r="H263" s="67">
        <f>IF(B263="","",N(ENTRADA!$H263))</f>
      </c>
      <c r="I263" s="67">
        <f>IF(B263="","",N(ENTRADA!$I263))</f>
      </c>
      <c r="J263" s="68">
        <f>IF(B263="","",G263+H263+I263)</f>
      </c>
      <c r="K263" s="60">
        <f>IF(B263="","",IFERROR(MATCH(SUMPRODUCT(MAX((PRECIOS!$A$6:$A$55&lt;=C263)*PRECIOS!$A$6:$A$55)),PRECIOS!$A$6:$A$55,0),1))</f>
      </c>
      <c r="L263" s="69">
        <f>IF(B263="","",INDEX(PRECIOS!$A$6:$A$55,K263))</f>
      </c>
      <c r="M263" s="37">
        <f>IF(B263="","",G263*INDEX(PRECIOS!$B$6:$B$55,K263))</f>
      </c>
      <c r="N263" s="37">
        <f>IF(B263="","",H263*INDEX(PRECIOS!$C$6:$C$55,K263))</f>
      </c>
      <c r="O263" s="37">
        <f>IF(B263="","",I263*INDEX(PRECIOS!$D$6:$D$55,K263))</f>
      </c>
      <c r="P263" s="37">
        <f>IF(B263="","",N(ENTRADA!$X263))</f>
      </c>
      <c r="Q263" s="70">
        <f>IF(B263="","",M263+N263+O263+P263)</f>
      </c>
      <c r="R263" s="71">
        <f>IF(B263="","",IF(ENTRADA!$J263="",Std_Viajes_Puerto,ENTRADA!$J263))</f>
      </c>
      <c r="S263" s="37">
        <f>IF(B263="","",R263*INDEX(PRECIOS!$F$6:$F$55,K263))</f>
      </c>
      <c r="T263" s="71">
        <f>IF(B263="","",R263*Litros_Puerto_Viaje)</f>
      </c>
      <c r="U263" s="71">
        <f>IF(B263="","",IF(ENTRADA!$K263="",T263,ENTRADA!$K263))</f>
      </c>
      <c r="V263" s="37">
        <f>IF(B263="","",U263*INDEX(PRECIOS!$E$6:$E$55,K263))</f>
      </c>
      <c r="W263" s="37">
        <f>IF(B263="","",IF(ENTRADA!$L263="",R263*INDEX(PRECIOS!$G$6:$G$55,K263),ENTRADA!$L263))</f>
      </c>
      <c r="X263" s="37">
        <f>IF(B263="","",R263*Km_Puerto_Viaje*INDEX(PRECIOS!$N$6:$N$55,K263))</f>
      </c>
      <c r="Y263" s="70">
        <f>IF(B263="","",S263+V263+W263+X263)</f>
      </c>
      <c r="Z263" s="71">
        <f>IF(B263="","",IF(J263=0,0,ROUNDUP(J263/Rend_Desagrupe,0)))</f>
      </c>
      <c r="AA263" s="71">
        <f>IF(B263="","",IF(ENTRADA!$M263="",Z263,ENTRADA!$M263))</f>
      </c>
      <c r="AB263" s="37">
        <f>IF(B263="","",AA263*INDEX(PRECIOS!$H$6:$H$55,K263))</f>
      </c>
      <c r="AC263" s="37">
        <f>IF(B263="","",IF(E263="ENCI",INDEX(PRECIOS!$J$6:$J$55,K263),IF(E263="A.V",INDEX(PRECIOS!$K$6:$K$55,K263),0)))</f>
      </c>
      <c r="AD263" s="37">
        <f>IF(B263="","",N(ENTRADA!$N263))</f>
      </c>
      <c r="AE263" s="70">
        <f>IF(B263="","",AB263+AC263+AD263)</f>
      </c>
      <c r="AF263" s="71">
        <f>IF(B263="","",IF(G263=0,0,ROUNDUP(G263/Cap_Camion_OCC,0)))</f>
      </c>
      <c r="AG263" s="71">
        <f>IF(B263="","",AF263*L_Dist_OCC)</f>
      </c>
      <c r="AH263" s="71">
        <f>IF(B263="","",IF(ENTRADA!$O263="",AG263,ENTRADA!$O263))</f>
      </c>
      <c r="AI263" s="37">
        <f>IF(B263="","",AH263*INDEX(PRECIOS!$E$6:$E$55,K263))</f>
      </c>
      <c r="AJ263" s="71">
        <f>IF(B263="","",IF(H263=0,0,ROUNDUP(H263/Cap_Camion_CEN,0)))</f>
      </c>
      <c r="AK263" s="71">
        <f>IF(B263="","",AJ263*L_Tras_CEN)</f>
      </c>
      <c r="AL263" s="71">
        <f>IF(B263="","",IF(ENTRADA!$P263="",AK263,ENTRADA!$P263))</f>
      </c>
      <c r="AM263" s="71">
        <f>IF(B263="","",AJ263*L_Dist_CEN)</f>
      </c>
      <c r="AN263" s="71">
        <f>IF(B263="","",IF(ENTRADA!$Q263="",AM263,ENTRADA!$Q263))</f>
      </c>
      <c r="AO263" s="37">
        <f>IF(B263="","",(AL263+AN263)*INDEX(PRECIOS!$E$6:$E$55,K263))</f>
      </c>
      <c r="AP263" s="71">
        <f>IF(B263="","",IF(H263=0,0,ROUNDUP(H263/Rend_Desagrupe_CT,0)))</f>
      </c>
      <c r="AQ263" s="71">
        <f>IF(B263="","",IF(ENTRADA!$R263="",AP263,ENTRADA!$R263))</f>
      </c>
      <c r="AR263" s="37">
        <f>IF(B263="","",AQ263*INDEX(PRECIOS!$I$6:$I$55,K263))</f>
      </c>
      <c r="AS263" s="37">
        <f>IF(B263="","",AO263+AR263)</f>
      </c>
      <c r="AT263" s="71">
        <f>IF(B263="","",IF(I263=0,0,ROUNDUP(I263/Cap_Camion_ORI,0)))</f>
      </c>
      <c r="AU263" s="71">
        <f>IF(B263="","",AT263*L_Tras_ORI)</f>
      </c>
      <c r="AV263" s="71">
        <f>IF(B263="","",IF(ENTRADA!$S263="",AU263,ENTRADA!$S263))</f>
      </c>
      <c r="AW263" s="71">
        <f>IF(B263="","",AT263*L_Dist_ORI)</f>
      </c>
      <c r="AX263" s="71">
        <f>IF(B263="","",IF(ENTRADA!$T263="",AW263,ENTRADA!$T263))</f>
      </c>
      <c r="AY263" s="37">
        <f>IF(B263="","",(AV263+AX263)*INDEX(PRECIOS!$E$6:$E$55,K263))</f>
      </c>
      <c r="AZ263" s="71">
        <f>IF(B263="","",IF(I263=0,0,ROUNDUP(I263/Rend_Desagrupe_CT,0)))</f>
      </c>
      <c r="BA263" s="71">
        <f>IF(B263="","",IF(ENTRADA!$U263="",AZ263,ENTRADA!$U263))</f>
      </c>
      <c r="BB263" s="37">
        <f>IF(B263="","",BA263*INDEX(PRECIOS!$I$6:$I$55,K263))</f>
      </c>
      <c r="BC263" s="37">
        <f>IF(B263="","",AY263+BB263)</f>
      </c>
      <c r="BD263" s="70">
        <f>IF(B263="","",AI263+AS263+BC263)</f>
      </c>
      <c r="BE263" s="37">
        <f>IF(B263="","",IF(Base_Comision="% DEL INGRESO",M263*INDEX(PRECIOS!$L$6:$L$55,K263),G263*INDEX(PRECIOS!$M$6:$M$55,K263)))</f>
      </c>
      <c r="BF263" s="37">
        <f>IF(B263="","",IF(Base_Comision="% DEL INGRESO",N263*INDEX(PRECIOS!$L$6:$L$55,K263),H263*INDEX(PRECIOS!$M$6:$M$55,K263)))</f>
      </c>
      <c r="BG263" s="37">
        <f>IF(B263="","",IF(Base_Comision="% DEL INGRESO",O263*INDEX(PRECIOS!$L$6:$L$55,K263),I263*INDEX(PRECIOS!$M$6:$M$55,K263)))</f>
      </c>
      <c r="BH263" s="70">
        <f>IF(B263="","",BE263+BF263+BG263)</f>
      </c>
      <c r="BI263" s="37">
        <f>IF(B263="","",Q263*Pct_Reclamaciones)</f>
      </c>
      <c r="BJ263" s="37">
        <f>IF(B263="","",Q263*Pct_Banco)</f>
      </c>
      <c r="BK263" s="37">
        <f>IF(B263="","",N(ENTRADA!$V263))</f>
      </c>
      <c r="BL263" s="70">
        <f>IF(B263="","",Y263+AE263+BD263+BH263+BI263+BJ263+BK263)</f>
      </c>
      <c r="BM263" s="70">
        <f>IF(B263="","",Q263-BL263)</f>
      </c>
      <c r="BN263" s="72">
        <f>IF(B263="","",IF(Q263=0,0,BM263/Q263))</f>
      </c>
      <c r="BO263" s="73">
        <f>IF(B263="","",IF(J263=0,0,BM263/J263))</f>
      </c>
      <c r="BP263" s="60">
        <f>IF(B263="","",IFERROR(MATCH(D263,COSTOS_FIJOS!$G$5:$AD$5,0),0))</f>
      </c>
      <c r="BQ263" s="60">
        <f>IF(B263="","",COUNTIFS($D$6:$D$305,D263))</f>
      </c>
      <c r="BR263" s="67">
        <f>IF(B263="","",SUMIFS($J$6:$J$305,$D$6:$D$305,D263))</f>
      </c>
      <c r="BS263" s="72">
        <f>IF(B263="","",IF(Metodo_Prorrateo="KG",IF(BR263=0,0,J263/BR263),1/BQ263))</f>
      </c>
      <c r="BT263" s="37">
        <f>IF(B263="","",IF(BP263=0,0,INDEX(COSTOS_FIJOS!$G$38:$AD$38,BP263))*BS263)</f>
      </c>
      <c r="BU263" s="72">
        <f>IF(B263="","",IF(Metodo_Prorrateo="KG",IF(SUMIFS($G$6:$G$305,$D$6:$D$305,D263)=0,0,G263/SUMIFS($G$6:$G$305,$D$6:$D$305,D263)),IF(G263&gt;0,1/COUNTIFS($D$6:$D$305,D263,$G$6:$G$305,"&gt;0"),0)))</f>
      </c>
      <c r="BV263" s="37">
        <f>IF(B263="","",IF(BP263=0,0,INDEX(COSTOS_FIJOS!$G$39:$AD$39,BP263))*BU263)</f>
      </c>
      <c r="BW263" s="72">
        <f>IF(B263="","",IF(Metodo_Prorrateo="KG",IF(SUMIFS($H$6:$H$305,$D$6:$D$305,D263)=0,0,H263/SUMIFS($H$6:$H$305,$D$6:$D$305,D263)),IF(H263&gt;0,1/COUNTIFS($D$6:$D$305,D263,$H$6:$H$305,"&gt;0"),0)))</f>
      </c>
      <c r="BX263" s="37">
        <f>IF(B263="","",IF(BP263=0,0,INDEX(COSTOS_FIJOS!$G$40:$AD$40,BP263))*BW263)</f>
      </c>
      <c r="BY263" s="72">
        <f>IF(B263="","",IF(Metodo_Prorrateo="KG",IF(SUMIFS($I$6:$I$305,$D$6:$D$305,D263)=0,0,I263/SUMIFS($I$6:$I$305,$D$6:$D$305,D263)),IF(I263&gt;0,1/COUNTIFS($D$6:$D$305,D263,$I$6:$I$305,"&gt;0"),0)))</f>
      </c>
      <c r="BZ263" s="37">
        <f>IF(B263="","",IF(BP263=0,0,INDEX(COSTOS_FIJOS!$G$41:$AD$41,BP263))*BY263)</f>
      </c>
      <c r="CA263" s="70">
        <f>IF(B263="","",BT263+BV263+BX263+BZ263)</f>
      </c>
      <c r="CB263" s="37">
        <f>IF(B263="","",Q263*Imp_Ventas_Serv)</f>
      </c>
      <c r="CC263" s="37">
        <f>IF(B263="","",Q263*Contrib_Territorial)</f>
      </c>
      <c r="CD263" s="70">
        <f>IF(B263="","",BM263-CA263-CB263-CC263)</f>
      </c>
      <c r="CE263" s="37">
        <f>IF(B263="","",MAX(0,CD263)*Imp_Utilidades)</f>
      </c>
      <c r="CF263" s="70">
        <f>IF(B263="","",CD263-CE263)</f>
      </c>
      <c r="CG263" s="72">
        <f>IF(B263="","",IF(Q263=0,0,CF263/Q263))</f>
      </c>
      <c r="CH263" s="73">
        <f>IF(B263="","",IF(J263=0,0,(BL263+CA263+CB263+CC263)/J263))</f>
      </c>
      <c r="CI263" s="73">
        <f>IF(B263="","",IF(J263=0,0,Q263/J263))</f>
      </c>
      <c r="CJ263" s="73">
        <f>IF(B263="","",IF(J263=0,0,CD263/J263))</f>
      </c>
      <c r="CK263" s="37">
        <f>IF(B263="","",Y263+AE263+BK263+BT263)</f>
      </c>
      <c r="CL263" s="37">
        <f>IF(B263="","",IF(J263=0,0,(M263+P263*G263/J263)*(1-Pct_Reclamaciones-Pct_Banco-Imp_Ventas_Serv-Contrib_Territorial)-AI263-BE263-BV263-CK263*G263/J263))</f>
      </c>
      <c r="CM263" s="37">
        <f>IF(B263="","",IF(J263=0,0,(N263+P263*H263/J263)*(1-Pct_Reclamaciones-Pct_Banco-Imp_Ventas_Serv-Contrib_Territorial)-AS263-BF263-BX263-CK263*H263/J263))</f>
      </c>
      <c r="CN263" s="37">
        <f>IF(B263="","",IF(J263=0,0,(O263+P263*I263/J263)*(1-Pct_Reclamaciones-Pct_Banco-Imp_Ventas_Serv-Contrib_Territorial)-BC263-BG263-BZ263-CK263*I263/J263))</f>
      </c>
      <c r="CO263" s="37">
        <f>IF(B263="","",IF(J263=0,0,ROUND(CD263-CL263-CM263-CN263,4)))</f>
      </c>
      <c r="CP263" s="71">
        <f>IF(B263="","",T263+AG263+AK263+AM263+AU263+AW263)</f>
      </c>
      <c r="CQ263" s="71">
        <f>IF(B263="","",U263+AH263+AL263+AN263+AV263+AX263)</f>
      </c>
      <c r="CR263" s="72">
        <f>IF(B263="","",IF(CP263=0,0,CQ263/CP263-1))</f>
      </c>
      <c r="CS263" s="60">
        <f>IF(B263="","",IF(ENTRADA!$Y263="","",ENTRADA!$Y263-C263))</f>
      </c>
      <c r="CT263" s="66">
        <f>IF(B263="","",IF(ENTRADA!$C263="","Falta fecha. ","")&amp;IF(BP263=0,"Mes fuera del rango de COSTOS_FIJOS. ","")&amp;IF(J263=0,"Sin kg. ","")&amp;IF(E263="","Falta transitaria. ","")&amp;IF(AND(T263&gt;0,U263/T263-1&gt;Tolerancia_Comb),"Combustible al puerto "&amp;TEXT(U263/T263-1,"+0%")&amp;" sobre norma. ","")&amp;IF(AND(AG263&gt;0,AH263/AG263-1&gt;Tolerancia_Comb),"Combustible distribución Occidente "&amp;TEXT(AH263/AG263-1,"+0%")&amp;" sobre norma. ","")&amp;IF(AND(AK263&gt;0,AL263/AK263-1&gt;Tolerancia_Comb),"Combustible traslado Centro "&amp;TEXT(AL263/AK263-1,"+0%")&amp;" sobre norma. ","")&amp;IF(AND(AM263&gt;0,AN263/AM263-1&gt;Tolerancia_Comb),"Combustible distribución Centro "&amp;TEXT(AN263/AM263-1,"+0%")&amp;" sobre norma. ","")&amp;IF(AND(AU263&gt;0,AV263/AU263-1&gt;Tolerancia_Comb),"Combustible traslado Oriente "&amp;TEXT(AV263/AU263-1,"+0%")&amp;" sobre norma. ","")&amp;IF(AND(AW263&gt;0,AX263/AW263-1&gt;Tolerancia_Comb),"Combustible distribución Oriente "&amp;TEXT(AX263/AW263-1,"+0%")&amp;" sobre norma. ","")&amp;IF(AND(ENTRADA!$C263&lt;&gt;"",C263&lt;PRECIOS!$A$6),"Fecha anterior a la 1ª vigencia de precios. ","")&amp;IF(CD263&lt;0,"Contenedor con pérdida. ",""))</f>
      </c>
    </row>
    <row r="264">
      <c r="A264" s="60">
        <f>IF(B264="","",ROW()-5)</f>
      </c>
      <c r="B264" s="63">
        <f>IF(ENTRADA!$B264="","",ENTRADA!$B264)</f>
      </c>
      <c r="C264" s="64">
        <f>IF(B264="","",ENTRADA!$C264)</f>
      </c>
      <c r="D264" s="65">
        <f>IF(B264="","",DATE(YEAR(C264),MONTH(C264),1))</f>
      </c>
      <c r="E264" s="66">
        <f>IF(B264="","",ENTRADA!$D264&amp;"")</f>
      </c>
      <c r="F264" s="66">
        <f>IF(B264="","",ENTRADA!$Z264&amp;"")</f>
      </c>
      <c r="G264" s="67">
        <f>IF(B264="","",N(ENTRADA!$G264))</f>
      </c>
      <c r="H264" s="67">
        <f>IF(B264="","",N(ENTRADA!$H264))</f>
      </c>
      <c r="I264" s="67">
        <f>IF(B264="","",N(ENTRADA!$I264))</f>
      </c>
      <c r="J264" s="68">
        <f>IF(B264="","",G264+H264+I264)</f>
      </c>
      <c r="K264" s="60">
        <f>IF(B264="","",IFERROR(MATCH(SUMPRODUCT(MAX((PRECIOS!$A$6:$A$55&lt;=C264)*PRECIOS!$A$6:$A$55)),PRECIOS!$A$6:$A$55,0),1))</f>
      </c>
      <c r="L264" s="69">
        <f>IF(B264="","",INDEX(PRECIOS!$A$6:$A$55,K264))</f>
      </c>
      <c r="M264" s="37">
        <f>IF(B264="","",G264*INDEX(PRECIOS!$B$6:$B$55,K264))</f>
      </c>
      <c r="N264" s="37">
        <f>IF(B264="","",H264*INDEX(PRECIOS!$C$6:$C$55,K264))</f>
      </c>
      <c r="O264" s="37">
        <f>IF(B264="","",I264*INDEX(PRECIOS!$D$6:$D$55,K264))</f>
      </c>
      <c r="P264" s="37">
        <f>IF(B264="","",N(ENTRADA!$X264))</f>
      </c>
      <c r="Q264" s="70">
        <f>IF(B264="","",M264+N264+O264+P264)</f>
      </c>
      <c r="R264" s="71">
        <f>IF(B264="","",IF(ENTRADA!$J264="",Std_Viajes_Puerto,ENTRADA!$J264))</f>
      </c>
      <c r="S264" s="37">
        <f>IF(B264="","",R264*INDEX(PRECIOS!$F$6:$F$55,K264))</f>
      </c>
      <c r="T264" s="71">
        <f>IF(B264="","",R264*Litros_Puerto_Viaje)</f>
      </c>
      <c r="U264" s="71">
        <f>IF(B264="","",IF(ENTRADA!$K264="",T264,ENTRADA!$K264))</f>
      </c>
      <c r="V264" s="37">
        <f>IF(B264="","",U264*INDEX(PRECIOS!$E$6:$E$55,K264))</f>
      </c>
      <c r="W264" s="37">
        <f>IF(B264="","",IF(ENTRADA!$L264="",R264*INDEX(PRECIOS!$G$6:$G$55,K264),ENTRADA!$L264))</f>
      </c>
      <c r="X264" s="37">
        <f>IF(B264="","",R264*Km_Puerto_Viaje*INDEX(PRECIOS!$N$6:$N$55,K264))</f>
      </c>
      <c r="Y264" s="70">
        <f>IF(B264="","",S264+V264+W264+X264)</f>
      </c>
      <c r="Z264" s="71">
        <f>IF(B264="","",IF(J264=0,0,ROUNDUP(J264/Rend_Desagrupe,0)))</f>
      </c>
      <c r="AA264" s="71">
        <f>IF(B264="","",IF(ENTRADA!$M264="",Z264,ENTRADA!$M264))</f>
      </c>
      <c r="AB264" s="37">
        <f>IF(B264="","",AA264*INDEX(PRECIOS!$H$6:$H$55,K264))</f>
      </c>
      <c r="AC264" s="37">
        <f>IF(B264="","",IF(E264="ENCI",INDEX(PRECIOS!$J$6:$J$55,K264),IF(E264="A.V",INDEX(PRECIOS!$K$6:$K$55,K264),0)))</f>
      </c>
      <c r="AD264" s="37">
        <f>IF(B264="","",N(ENTRADA!$N264))</f>
      </c>
      <c r="AE264" s="70">
        <f>IF(B264="","",AB264+AC264+AD264)</f>
      </c>
      <c r="AF264" s="71">
        <f>IF(B264="","",IF(G264=0,0,ROUNDUP(G264/Cap_Camion_OCC,0)))</f>
      </c>
      <c r="AG264" s="71">
        <f>IF(B264="","",AF264*L_Dist_OCC)</f>
      </c>
      <c r="AH264" s="71">
        <f>IF(B264="","",IF(ENTRADA!$O264="",AG264,ENTRADA!$O264))</f>
      </c>
      <c r="AI264" s="37">
        <f>IF(B264="","",AH264*INDEX(PRECIOS!$E$6:$E$55,K264))</f>
      </c>
      <c r="AJ264" s="71">
        <f>IF(B264="","",IF(H264=0,0,ROUNDUP(H264/Cap_Camion_CEN,0)))</f>
      </c>
      <c r="AK264" s="71">
        <f>IF(B264="","",AJ264*L_Tras_CEN)</f>
      </c>
      <c r="AL264" s="71">
        <f>IF(B264="","",IF(ENTRADA!$P264="",AK264,ENTRADA!$P264))</f>
      </c>
      <c r="AM264" s="71">
        <f>IF(B264="","",AJ264*L_Dist_CEN)</f>
      </c>
      <c r="AN264" s="71">
        <f>IF(B264="","",IF(ENTRADA!$Q264="",AM264,ENTRADA!$Q264))</f>
      </c>
      <c r="AO264" s="37">
        <f>IF(B264="","",(AL264+AN264)*INDEX(PRECIOS!$E$6:$E$55,K264))</f>
      </c>
      <c r="AP264" s="71">
        <f>IF(B264="","",IF(H264=0,0,ROUNDUP(H264/Rend_Desagrupe_CT,0)))</f>
      </c>
      <c r="AQ264" s="71">
        <f>IF(B264="","",IF(ENTRADA!$R264="",AP264,ENTRADA!$R264))</f>
      </c>
      <c r="AR264" s="37">
        <f>IF(B264="","",AQ264*INDEX(PRECIOS!$I$6:$I$55,K264))</f>
      </c>
      <c r="AS264" s="37">
        <f>IF(B264="","",AO264+AR264)</f>
      </c>
      <c r="AT264" s="71">
        <f>IF(B264="","",IF(I264=0,0,ROUNDUP(I264/Cap_Camion_ORI,0)))</f>
      </c>
      <c r="AU264" s="71">
        <f>IF(B264="","",AT264*L_Tras_ORI)</f>
      </c>
      <c r="AV264" s="71">
        <f>IF(B264="","",IF(ENTRADA!$S264="",AU264,ENTRADA!$S264))</f>
      </c>
      <c r="AW264" s="71">
        <f>IF(B264="","",AT264*L_Dist_ORI)</f>
      </c>
      <c r="AX264" s="71">
        <f>IF(B264="","",IF(ENTRADA!$T264="",AW264,ENTRADA!$T264))</f>
      </c>
      <c r="AY264" s="37">
        <f>IF(B264="","",(AV264+AX264)*INDEX(PRECIOS!$E$6:$E$55,K264))</f>
      </c>
      <c r="AZ264" s="71">
        <f>IF(B264="","",IF(I264=0,0,ROUNDUP(I264/Rend_Desagrupe_CT,0)))</f>
      </c>
      <c r="BA264" s="71">
        <f>IF(B264="","",IF(ENTRADA!$U264="",AZ264,ENTRADA!$U264))</f>
      </c>
      <c r="BB264" s="37">
        <f>IF(B264="","",BA264*INDEX(PRECIOS!$I$6:$I$55,K264))</f>
      </c>
      <c r="BC264" s="37">
        <f>IF(B264="","",AY264+BB264)</f>
      </c>
      <c r="BD264" s="70">
        <f>IF(B264="","",AI264+AS264+BC264)</f>
      </c>
      <c r="BE264" s="37">
        <f>IF(B264="","",IF(Base_Comision="% DEL INGRESO",M264*INDEX(PRECIOS!$L$6:$L$55,K264),G264*INDEX(PRECIOS!$M$6:$M$55,K264)))</f>
      </c>
      <c r="BF264" s="37">
        <f>IF(B264="","",IF(Base_Comision="% DEL INGRESO",N264*INDEX(PRECIOS!$L$6:$L$55,K264),H264*INDEX(PRECIOS!$M$6:$M$55,K264)))</f>
      </c>
      <c r="BG264" s="37">
        <f>IF(B264="","",IF(Base_Comision="% DEL INGRESO",O264*INDEX(PRECIOS!$L$6:$L$55,K264),I264*INDEX(PRECIOS!$M$6:$M$55,K264)))</f>
      </c>
      <c r="BH264" s="70">
        <f>IF(B264="","",BE264+BF264+BG264)</f>
      </c>
      <c r="BI264" s="37">
        <f>IF(B264="","",Q264*Pct_Reclamaciones)</f>
      </c>
      <c r="BJ264" s="37">
        <f>IF(B264="","",Q264*Pct_Banco)</f>
      </c>
      <c r="BK264" s="37">
        <f>IF(B264="","",N(ENTRADA!$V264))</f>
      </c>
      <c r="BL264" s="70">
        <f>IF(B264="","",Y264+AE264+BD264+BH264+BI264+BJ264+BK264)</f>
      </c>
      <c r="BM264" s="70">
        <f>IF(B264="","",Q264-BL264)</f>
      </c>
      <c r="BN264" s="72">
        <f>IF(B264="","",IF(Q264=0,0,BM264/Q264))</f>
      </c>
      <c r="BO264" s="73">
        <f>IF(B264="","",IF(J264=0,0,BM264/J264))</f>
      </c>
      <c r="BP264" s="60">
        <f>IF(B264="","",IFERROR(MATCH(D264,COSTOS_FIJOS!$G$5:$AD$5,0),0))</f>
      </c>
      <c r="BQ264" s="60">
        <f>IF(B264="","",COUNTIFS($D$6:$D$305,D264))</f>
      </c>
      <c r="BR264" s="67">
        <f>IF(B264="","",SUMIFS($J$6:$J$305,$D$6:$D$305,D264))</f>
      </c>
      <c r="BS264" s="72">
        <f>IF(B264="","",IF(Metodo_Prorrateo="KG",IF(BR264=0,0,J264/BR264),1/BQ264))</f>
      </c>
      <c r="BT264" s="37">
        <f>IF(B264="","",IF(BP264=0,0,INDEX(COSTOS_FIJOS!$G$38:$AD$38,BP264))*BS264)</f>
      </c>
      <c r="BU264" s="72">
        <f>IF(B264="","",IF(Metodo_Prorrateo="KG",IF(SUMIFS($G$6:$G$305,$D$6:$D$305,D264)=0,0,G264/SUMIFS($G$6:$G$305,$D$6:$D$305,D264)),IF(G264&gt;0,1/COUNTIFS($D$6:$D$305,D264,$G$6:$G$305,"&gt;0"),0)))</f>
      </c>
      <c r="BV264" s="37">
        <f>IF(B264="","",IF(BP264=0,0,INDEX(COSTOS_FIJOS!$G$39:$AD$39,BP264))*BU264)</f>
      </c>
      <c r="BW264" s="72">
        <f>IF(B264="","",IF(Metodo_Prorrateo="KG",IF(SUMIFS($H$6:$H$305,$D$6:$D$305,D264)=0,0,H264/SUMIFS($H$6:$H$305,$D$6:$D$305,D264)),IF(H264&gt;0,1/COUNTIFS($D$6:$D$305,D264,$H$6:$H$305,"&gt;0"),0)))</f>
      </c>
      <c r="BX264" s="37">
        <f>IF(B264="","",IF(BP264=0,0,INDEX(COSTOS_FIJOS!$G$40:$AD$40,BP264))*BW264)</f>
      </c>
      <c r="BY264" s="72">
        <f>IF(B264="","",IF(Metodo_Prorrateo="KG",IF(SUMIFS($I$6:$I$305,$D$6:$D$305,D264)=0,0,I264/SUMIFS($I$6:$I$305,$D$6:$D$305,D264)),IF(I264&gt;0,1/COUNTIFS($D$6:$D$305,D264,$I$6:$I$305,"&gt;0"),0)))</f>
      </c>
      <c r="BZ264" s="37">
        <f>IF(B264="","",IF(BP264=0,0,INDEX(COSTOS_FIJOS!$G$41:$AD$41,BP264))*BY264)</f>
      </c>
      <c r="CA264" s="70">
        <f>IF(B264="","",BT264+BV264+BX264+BZ264)</f>
      </c>
      <c r="CB264" s="37">
        <f>IF(B264="","",Q264*Imp_Ventas_Serv)</f>
      </c>
      <c r="CC264" s="37">
        <f>IF(B264="","",Q264*Contrib_Territorial)</f>
      </c>
      <c r="CD264" s="70">
        <f>IF(B264="","",BM264-CA264-CB264-CC264)</f>
      </c>
      <c r="CE264" s="37">
        <f>IF(B264="","",MAX(0,CD264)*Imp_Utilidades)</f>
      </c>
      <c r="CF264" s="70">
        <f>IF(B264="","",CD264-CE264)</f>
      </c>
      <c r="CG264" s="72">
        <f>IF(B264="","",IF(Q264=0,0,CF264/Q264))</f>
      </c>
      <c r="CH264" s="73">
        <f>IF(B264="","",IF(J264=0,0,(BL264+CA264+CB264+CC264)/J264))</f>
      </c>
      <c r="CI264" s="73">
        <f>IF(B264="","",IF(J264=0,0,Q264/J264))</f>
      </c>
      <c r="CJ264" s="73">
        <f>IF(B264="","",IF(J264=0,0,CD264/J264))</f>
      </c>
      <c r="CK264" s="37">
        <f>IF(B264="","",Y264+AE264+BK264+BT264)</f>
      </c>
      <c r="CL264" s="37">
        <f>IF(B264="","",IF(J264=0,0,(M264+P264*G264/J264)*(1-Pct_Reclamaciones-Pct_Banco-Imp_Ventas_Serv-Contrib_Territorial)-AI264-BE264-BV264-CK264*G264/J264))</f>
      </c>
      <c r="CM264" s="37">
        <f>IF(B264="","",IF(J264=0,0,(N264+P264*H264/J264)*(1-Pct_Reclamaciones-Pct_Banco-Imp_Ventas_Serv-Contrib_Territorial)-AS264-BF264-BX264-CK264*H264/J264))</f>
      </c>
      <c r="CN264" s="37">
        <f>IF(B264="","",IF(J264=0,0,(O264+P264*I264/J264)*(1-Pct_Reclamaciones-Pct_Banco-Imp_Ventas_Serv-Contrib_Territorial)-BC264-BG264-BZ264-CK264*I264/J264))</f>
      </c>
      <c r="CO264" s="37">
        <f>IF(B264="","",IF(J264=0,0,ROUND(CD264-CL264-CM264-CN264,4)))</f>
      </c>
      <c r="CP264" s="71">
        <f>IF(B264="","",T264+AG264+AK264+AM264+AU264+AW264)</f>
      </c>
      <c r="CQ264" s="71">
        <f>IF(B264="","",U264+AH264+AL264+AN264+AV264+AX264)</f>
      </c>
      <c r="CR264" s="72">
        <f>IF(B264="","",IF(CP264=0,0,CQ264/CP264-1))</f>
      </c>
      <c r="CS264" s="60">
        <f>IF(B264="","",IF(ENTRADA!$Y264="","",ENTRADA!$Y264-C264))</f>
      </c>
      <c r="CT264" s="66">
        <f>IF(B264="","",IF(ENTRADA!$C264="","Falta fecha. ","")&amp;IF(BP264=0,"Mes fuera del rango de COSTOS_FIJOS. ","")&amp;IF(J264=0,"Sin kg. ","")&amp;IF(E264="","Falta transitaria. ","")&amp;IF(AND(T264&gt;0,U264/T264-1&gt;Tolerancia_Comb),"Combustible al puerto "&amp;TEXT(U264/T264-1,"+0%")&amp;" sobre norma. ","")&amp;IF(AND(AG264&gt;0,AH264/AG264-1&gt;Tolerancia_Comb),"Combustible distribución Occidente "&amp;TEXT(AH264/AG264-1,"+0%")&amp;" sobre norma. ","")&amp;IF(AND(AK264&gt;0,AL264/AK264-1&gt;Tolerancia_Comb),"Combustible traslado Centro "&amp;TEXT(AL264/AK264-1,"+0%")&amp;" sobre norma. ","")&amp;IF(AND(AM264&gt;0,AN264/AM264-1&gt;Tolerancia_Comb),"Combustible distribución Centro "&amp;TEXT(AN264/AM264-1,"+0%")&amp;" sobre norma. ","")&amp;IF(AND(AU264&gt;0,AV264/AU264-1&gt;Tolerancia_Comb),"Combustible traslado Oriente "&amp;TEXT(AV264/AU264-1,"+0%")&amp;" sobre norma. ","")&amp;IF(AND(AW264&gt;0,AX264/AW264-1&gt;Tolerancia_Comb),"Combustible distribución Oriente "&amp;TEXT(AX264/AW264-1,"+0%")&amp;" sobre norma. ","")&amp;IF(AND(ENTRADA!$C264&lt;&gt;"",C264&lt;PRECIOS!$A$6),"Fecha anterior a la 1ª vigencia de precios. ","")&amp;IF(CD264&lt;0,"Contenedor con pérdida. ",""))</f>
      </c>
    </row>
    <row r="265">
      <c r="A265" s="60">
        <f>IF(B265="","",ROW()-5)</f>
      </c>
      <c r="B265" s="63">
        <f>IF(ENTRADA!$B265="","",ENTRADA!$B265)</f>
      </c>
      <c r="C265" s="64">
        <f>IF(B265="","",ENTRADA!$C265)</f>
      </c>
      <c r="D265" s="65">
        <f>IF(B265="","",DATE(YEAR(C265),MONTH(C265),1))</f>
      </c>
      <c r="E265" s="66">
        <f>IF(B265="","",ENTRADA!$D265&amp;"")</f>
      </c>
      <c r="F265" s="66">
        <f>IF(B265="","",ENTRADA!$Z265&amp;"")</f>
      </c>
      <c r="G265" s="67">
        <f>IF(B265="","",N(ENTRADA!$G265))</f>
      </c>
      <c r="H265" s="67">
        <f>IF(B265="","",N(ENTRADA!$H265))</f>
      </c>
      <c r="I265" s="67">
        <f>IF(B265="","",N(ENTRADA!$I265))</f>
      </c>
      <c r="J265" s="68">
        <f>IF(B265="","",G265+H265+I265)</f>
      </c>
      <c r="K265" s="60">
        <f>IF(B265="","",IFERROR(MATCH(SUMPRODUCT(MAX((PRECIOS!$A$6:$A$55&lt;=C265)*PRECIOS!$A$6:$A$55)),PRECIOS!$A$6:$A$55,0),1))</f>
      </c>
      <c r="L265" s="69">
        <f>IF(B265="","",INDEX(PRECIOS!$A$6:$A$55,K265))</f>
      </c>
      <c r="M265" s="37">
        <f>IF(B265="","",G265*INDEX(PRECIOS!$B$6:$B$55,K265))</f>
      </c>
      <c r="N265" s="37">
        <f>IF(B265="","",H265*INDEX(PRECIOS!$C$6:$C$55,K265))</f>
      </c>
      <c r="O265" s="37">
        <f>IF(B265="","",I265*INDEX(PRECIOS!$D$6:$D$55,K265))</f>
      </c>
      <c r="P265" s="37">
        <f>IF(B265="","",N(ENTRADA!$X265))</f>
      </c>
      <c r="Q265" s="70">
        <f>IF(B265="","",M265+N265+O265+P265)</f>
      </c>
      <c r="R265" s="71">
        <f>IF(B265="","",IF(ENTRADA!$J265="",Std_Viajes_Puerto,ENTRADA!$J265))</f>
      </c>
      <c r="S265" s="37">
        <f>IF(B265="","",R265*INDEX(PRECIOS!$F$6:$F$55,K265))</f>
      </c>
      <c r="T265" s="71">
        <f>IF(B265="","",R265*Litros_Puerto_Viaje)</f>
      </c>
      <c r="U265" s="71">
        <f>IF(B265="","",IF(ENTRADA!$K265="",T265,ENTRADA!$K265))</f>
      </c>
      <c r="V265" s="37">
        <f>IF(B265="","",U265*INDEX(PRECIOS!$E$6:$E$55,K265))</f>
      </c>
      <c r="W265" s="37">
        <f>IF(B265="","",IF(ENTRADA!$L265="",R265*INDEX(PRECIOS!$G$6:$G$55,K265),ENTRADA!$L265))</f>
      </c>
      <c r="X265" s="37">
        <f>IF(B265="","",R265*Km_Puerto_Viaje*INDEX(PRECIOS!$N$6:$N$55,K265))</f>
      </c>
      <c r="Y265" s="70">
        <f>IF(B265="","",S265+V265+W265+X265)</f>
      </c>
      <c r="Z265" s="71">
        <f>IF(B265="","",IF(J265=0,0,ROUNDUP(J265/Rend_Desagrupe,0)))</f>
      </c>
      <c r="AA265" s="71">
        <f>IF(B265="","",IF(ENTRADA!$M265="",Z265,ENTRADA!$M265))</f>
      </c>
      <c r="AB265" s="37">
        <f>IF(B265="","",AA265*INDEX(PRECIOS!$H$6:$H$55,K265))</f>
      </c>
      <c r="AC265" s="37">
        <f>IF(B265="","",IF(E265="ENCI",INDEX(PRECIOS!$J$6:$J$55,K265),IF(E265="A.V",INDEX(PRECIOS!$K$6:$K$55,K265),0)))</f>
      </c>
      <c r="AD265" s="37">
        <f>IF(B265="","",N(ENTRADA!$N265))</f>
      </c>
      <c r="AE265" s="70">
        <f>IF(B265="","",AB265+AC265+AD265)</f>
      </c>
      <c r="AF265" s="71">
        <f>IF(B265="","",IF(G265=0,0,ROUNDUP(G265/Cap_Camion_OCC,0)))</f>
      </c>
      <c r="AG265" s="71">
        <f>IF(B265="","",AF265*L_Dist_OCC)</f>
      </c>
      <c r="AH265" s="71">
        <f>IF(B265="","",IF(ENTRADA!$O265="",AG265,ENTRADA!$O265))</f>
      </c>
      <c r="AI265" s="37">
        <f>IF(B265="","",AH265*INDEX(PRECIOS!$E$6:$E$55,K265))</f>
      </c>
      <c r="AJ265" s="71">
        <f>IF(B265="","",IF(H265=0,0,ROUNDUP(H265/Cap_Camion_CEN,0)))</f>
      </c>
      <c r="AK265" s="71">
        <f>IF(B265="","",AJ265*L_Tras_CEN)</f>
      </c>
      <c r="AL265" s="71">
        <f>IF(B265="","",IF(ENTRADA!$P265="",AK265,ENTRADA!$P265))</f>
      </c>
      <c r="AM265" s="71">
        <f>IF(B265="","",AJ265*L_Dist_CEN)</f>
      </c>
      <c r="AN265" s="71">
        <f>IF(B265="","",IF(ENTRADA!$Q265="",AM265,ENTRADA!$Q265))</f>
      </c>
      <c r="AO265" s="37">
        <f>IF(B265="","",(AL265+AN265)*INDEX(PRECIOS!$E$6:$E$55,K265))</f>
      </c>
      <c r="AP265" s="71">
        <f>IF(B265="","",IF(H265=0,0,ROUNDUP(H265/Rend_Desagrupe_CT,0)))</f>
      </c>
      <c r="AQ265" s="71">
        <f>IF(B265="","",IF(ENTRADA!$R265="",AP265,ENTRADA!$R265))</f>
      </c>
      <c r="AR265" s="37">
        <f>IF(B265="","",AQ265*INDEX(PRECIOS!$I$6:$I$55,K265))</f>
      </c>
      <c r="AS265" s="37">
        <f>IF(B265="","",AO265+AR265)</f>
      </c>
      <c r="AT265" s="71">
        <f>IF(B265="","",IF(I265=0,0,ROUNDUP(I265/Cap_Camion_ORI,0)))</f>
      </c>
      <c r="AU265" s="71">
        <f>IF(B265="","",AT265*L_Tras_ORI)</f>
      </c>
      <c r="AV265" s="71">
        <f>IF(B265="","",IF(ENTRADA!$S265="",AU265,ENTRADA!$S265))</f>
      </c>
      <c r="AW265" s="71">
        <f>IF(B265="","",AT265*L_Dist_ORI)</f>
      </c>
      <c r="AX265" s="71">
        <f>IF(B265="","",IF(ENTRADA!$T265="",AW265,ENTRADA!$T265))</f>
      </c>
      <c r="AY265" s="37">
        <f>IF(B265="","",(AV265+AX265)*INDEX(PRECIOS!$E$6:$E$55,K265))</f>
      </c>
      <c r="AZ265" s="71">
        <f>IF(B265="","",IF(I265=0,0,ROUNDUP(I265/Rend_Desagrupe_CT,0)))</f>
      </c>
      <c r="BA265" s="71">
        <f>IF(B265="","",IF(ENTRADA!$U265="",AZ265,ENTRADA!$U265))</f>
      </c>
      <c r="BB265" s="37">
        <f>IF(B265="","",BA265*INDEX(PRECIOS!$I$6:$I$55,K265))</f>
      </c>
      <c r="BC265" s="37">
        <f>IF(B265="","",AY265+BB265)</f>
      </c>
      <c r="BD265" s="70">
        <f>IF(B265="","",AI265+AS265+BC265)</f>
      </c>
      <c r="BE265" s="37">
        <f>IF(B265="","",IF(Base_Comision="% DEL INGRESO",M265*INDEX(PRECIOS!$L$6:$L$55,K265),G265*INDEX(PRECIOS!$M$6:$M$55,K265)))</f>
      </c>
      <c r="BF265" s="37">
        <f>IF(B265="","",IF(Base_Comision="% DEL INGRESO",N265*INDEX(PRECIOS!$L$6:$L$55,K265),H265*INDEX(PRECIOS!$M$6:$M$55,K265)))</f>
      </c>
      <c r="BG265" s="37">
        <f>IF(B265="","",IF(Base_Comision="% DEL INGRESO",O265*INDEX(PRECIOS!$L$6:$L$55,K265),I265*INDEX(PRECIOS!$M$6:$M$55,K265)))</f>
      </c>
      <c r="BH265" s="70">
        <f>IF(B265="","",BE265+BF265+BG265)</f>
      </c>
      <c r="BI265" s="37">
        <f>IF(B265="","",Q265*Pct_Reclamaciones)</f>
      </c>
      <c r="BJ265" s="37">
        <f>IF(B265="","",Q265*Pct_Banco)</f>
      </c>
      <c r="BK265" s="37">
        <f>IF(B265="","",N(ENTRADA!$V265))</f>
      </c>
      <c r="BL265" s="70">
        <f>IF(B265="","",Y265+AE265+BD265+BH265+BI265+BJ265+BK265)</f>
      </c>
      <c r="BM265" s="70">
        <f>IF(B265="","",Q265-BL265)</f>
      </c>
      <c r="BN265" s="72">
        <f>IF(B265="","",IF(Q265=0,0,BM265/Q265))</f>
      </c>
      <c r="BO265" s="73">
        <f>IF(B265="","",IF(J265=0,0,BM265/J265))</f>
      </c>
      <c r="BP265" s="60">
        <f>IF(B265="","",IFERROR(MATCH(D265,COSTOS_FIJOS!$G$5:$AD$5,0),0))</f>
      </c>
      <c r="BQ265" s="60">
        <f>IF(B265="","",COUNTIFS($D$6:$D$305,D265))</f>
      </c>
      <c r="BR265" s="67">
        <f>IF(B265="","",SUMIFS($J$6:$J$305,$D$6:$D$305,D265))</f>
      </c>
      <c r="BS265" s="72">
        <f>IF(B265="","",IF(Metodo_Prorrateo="KG",IF(BR265=0,0,J265/BR265),1/BQ265))</f>
      </c>
      <c r="BT265" s="37">
        <f>IF(B265="","",IF(BP265=0,0,INDEX(COSTOS_FIJOS!$G$38:$AD$38,BP265))*BS265)</f>
      </c>
      <c r="BU265" s="72">
        <f>IF(B265="","",IF(Metodo_Prorrateo="KG",IF(SUMIFS($G$6:$G$305,$D$6:$D$305,D265)=0,0,G265/SUMIFS($G$6:$G$305,$D$6:$D$305,D265)),IF(G265&gt;0,1/COUNTIFS($D$6:$D$305,D265,$G$6:$G$305,"&gt;0"),0)))</f>
      </c>
      <c r="BV265" s="37">
        <f>IF(B265="","",IF(BP265=0,0,INDEX(COSTOS_FIJOS!$G$39:$AD$39,BP265))*BU265)</f>
      </c>
      <c r="BW265" s="72">
        <f>IF(B265="","",IF(Metodo_Prorrateo="KG",IF(SUMIFS($H$6:$H$305,$D$6:$D$305,D265)=0,0,H265/SUMIFS($H$6:$H$305,$D$6:$D$305,D265)),IF(H265&gt;0,1/COUNTIFS($D$6:$D$305,D265,$H$6:$H$305,"&gt;0"),0)))</f>
      </c>
      <c r="BX265" s="37">
        <f>IF(B265="","",IF(BP265=0,0,INDEX(COSTOS_FIJOS!$G$40:$AD$40,BP265))*BW265)</f>
      </c>
      <c r="BY265" s="72">
        <f>IF(B265="","",IF(Metodo_Prorrateo="KG",IF(SUMIFS($I$6:$I$305,$D$6:$D$305,D265)=0,0,I265/SUMIFS($I$6:$I$305,$D$6:$D$305,D265)),IF(I265&gt;0,1/COUNTIFS($D$6:$D$305,D265,$I$6:$I$305,"&gt;0"),0)))</f>
      </c>
      <c r="BZ265" s="37">
        <f>IF(B265="","",IF(BP265=0,0,INDEX(COSTOS_FIJOS!$G$41:$AD$41,BP265))*BY265)</f>
      </c>
      <c r="CA265" s="70">
        <f>IF(B265="","",BT265+BV265+BX265+BZ265)</f>
      </c>
      <c r="CB265" s="37">
        <f>IF(B265="","",Q265*Imp_Ventas_Serv)</f>
      </c>
      <c r="CC265" s="37">
        <f>IF(B265="","",Q265*Contrib_Territorial)</f>
      </c>
      <c r="CD265" s="70">
        <f>IF(B265="","",BM265-CA265-CB265-CC265)</f>
      </c>
      <c r="CE265" s="37">
        <f>IF(B265="","",MAX(0,CD265)*Imp_Utilidades)</f>
      </c>
      <c r="CF265" s="70">
        <f>IF(B265="","",CD265-CE265)</f>
      </c>
      <c r="CG265" s="72">
        <f>IF(B265="","",IF(Q265=0,0,CF265/Q265))</f>
      </c>
      <c r="CH265" s="73">
        <f>IF(B265="","",IF(J265=0,0,(BL265+CA265+CB265+CC265)/J265))</f>
      </c>
      <c r="CI265" s="73">
        <f>IF(B265="","",IF(J265=0,0,Q265/J265))</f>
      </c>
      <c r="CJ265" s="73">
        <f>IF(B265="","",IF(J265=0,0,CD265/J265))</f>
      </c>
      <c r="CK265" s="37">
        <f>IF(B265="","",Y265+AE265+BK265+BT265)</f>
      </c>
      <c r="CL265" s="37">
        <f>IF(B265="","",IF(J265=0,0,(M265+P265*G265/J265)*(1-Pct_Reclamaciones-Pct_Banco-Imp_Ventas_Serv-Contrib_Territorial)-AI265-BE265-BV265-CK265*G265/J265))</f>
      </c>
      <c r="CM265" s="37">
        <f>IF(B265="","",IF(J265=0,0,(N265+P265*H265/J265)*(1-Pct_Reclamaciones-Pct_Banco-Imp_Ventas_Serv-Contrib_Territorial)-AS265-BF265-BX265-CK265*H265/J265))</f>
      </c>
      <c r="CN265" s="37">
        <f>IF(B265="","",IF(J265=0,0,(O265+P265*I265/J265)*(1-Pct_Reclamaciones-Pct_Banco-Imp_Ventas_Serv-Contrib_Territorial)-BC265-BG265-BZ265-CK265*I265/J265))</f>
      </c>
      <c r="CO265" s="37">
        <f>IF(B265="","",IF(J265=0,0,ROUND(CD265-CL265-CM265-CN265,4)))</f>
      </c>
      <c r="CP265" s="71">
        <f>IF(B265="","",T265+AG265+AK265+AM265+AU265+AW265)</f>
      </c>
      <c r="CQ265" s="71">
        <f>IF(B265="","",U265+AH265+AL265+AN265+AV265+AX265)</f>
      </c>
      <c r="CR265" s="72">
        <f>IF(B265="","",IF(CP265=0,0,CQ265/CP265-1))</f>
      </c>
      <c r="CS265" s="60">
        <f>IF(B265="","",IF(ENTRADA!$Y265="","",ENTRADA!$Y265-C265))</f>
      </c>
      <c r="CT265" s="66">
        <f>IF(B265="","",IF(ENTRADA!$C265="","Falta fecha. ","")&amp;IF(BP265=0,"Mes fuera del rango de COSTOS_FIJOS. ","")&amp;IF(J265=0,"Sin kg. ","")&amp;IF(E265="","Falta transitaria. ","")&amp;IF(AND(T265&gt;0,U265/T265-1&gt;Tolerancia_Comb),"Combustible al puerto "&amp;TEXT(U265/T265-1,"+0%")&amp;" sobre norma. ","")&amp;IF(AND(AG265&gt;0,AH265/AG265-1&gt;Tolerancia_Comb),"Combustible distribución Occidente "&amp;TEXT(AH265/AG265-1,"+0%")&amp;" sobre norma. ","")&amp;IF(AND(AK265&gt;0,AL265/AK265-1&gt;Tolerancia_Comb),"Combustible traslado Centro "&amp;TEXT(AL265/AK265-1,"+0%")&amp;" sobre norma. ","")&amp;IF(AND(AM265&gt;0,AN265/AM265-1&gt;Tolerancia_Comb),"Combustible distribución Centro "&amp;TEXT(AN265/AM265-1,"+0%")&amp;" sobre norma. ","")&amp;IF(AND(AU265&gt;0,AV265/AU265-1&gt;Tolerancia_Comb),"Combustible traslado Oriente "&amp;TEXT(AV265/AU265-1,"+0%")&amp;" sobre norma. ","")&amp;IF(AND(AW265&gt;0,AX265/AW265-1&gt;Tolerancia_Comb),"Combustible distribución Oriente "&amp;TEXT(AX265/AW265-1,"+0%")&amp;" sobre norma. ","")&amp;IF(AND(ENTRADA!$C265&lt;&gt;"",C265&lt;PRECIOS!$A$6),"Fecha anterior a la 1ª vigencia de precios. ","")&amp;IF(CD265&lt;0,"Contenedor con pérdida. ",""))</f>
      </c>
    </row>
    <row r="266">
      <c r="A266" s="60">
        <f>IF(B266="","",ROW()-5)</f>
      </c>
      <c r="B266" s="63">
        <f>IF(ENTRADA!$B266="","",ENTRADA!$B266)</f>
      </c>
      <c r="C266" s="64">
        <f>IF(B266="","",ENTRADA!$C266)</f>
      </c>
      <c r="D266" s="65">
        <f>IF(B266="","",DATE(YEAR(C266),MONTH(C266),1))</f>
      </c>
      <c r="E266" s="66">
        <f>IF(B266="","",ENTRADA!$D266&amp;"")</f>
      </c>
      <c r="F266" s="66">
        <f>IF(B266="","",ENTRADA!$Z266&amp;"")</f>
      </c>
      <c r="G266" s="67">
        <f>IF(B266="","",N(ENTRADA!$G266))</f>
      </c>
      <c r="H266" s="67">
        <f>IF(B266="","",N(ENTRADA!$H266))</f>
      </c>
      <c r="I266" s="67">
        <f>IF(B266="","",N(ENTRADA!$I266))</f>
      </c>
      <c r="J266" s="68">
        <f>IF(B266="","",G266+H266+I266)</f>
      </c>
      <c r="K266" s="60">
        <f>IF(B266="","",IFERROR(MATCH(SUMPRODUCT(MAX((PRECIOS!$A$6:$A$55&lt;=C266)*PRECIOS!$A$6:$A$55)),PRECIOS!$A$6:$A$55,0),1))</f>
      </c>
      <c r="L266" s="69">
        <f>IF(B266="","",INDEX(PRECIOS!$A$6:$A$55,K266))</f>
      </c>
      <c r="M266" s="37">
        <f>IF(B266="","",G266*INDEX(PRECIOS!$B$6:$B$55,K266))</f>
      </c>
      <c r="N266" s="37">
        <f>IF(B266="","",H266*INDEX(PRECIOS!$C$6:$C$55,K266))</f>
      </c>
      <c r="O266" s="37">
        <f>IF(B266="","",I266*INDEX(PRECIOS!$D$6:$D$55,K266))</f>
      </c>
      <c r="P266" s="37">
        <f>IF(B266="","",N(ENTRADA!$X266))</f>
      </c>
      <c r="Q266" s="70">
        <f>IF(B266="","",M266+N266+O266+P266)</f>
      </c>
      <c r="R266" s="71">
        <f>IF(B266="","",IF(ENTRADA!$J266="",Std_Viajes_Puerto,ENTRADA!$J266))</f>
      </c>
      <c r="S266" s="37">
        <f>IF(B266="","",R266*INDEX(PRECIOS!$F$6:$F$55,K266))</f>
      </c>
      <c r="T266" s="71">
        <f>IF(B266="","",R266*Litros_Puerto_Viaje)</f>
      </c>
      <c r="U266" s="71">
        <f>IF(B266="","",IF(ENTRADA!$K266="",T266,ENTRADA!$K266))</f>
      </c>
      <c r="V266" s="37">
        <f>IF(B266="","",U266*INDEX(PRECIOS!$E$6:$E$55,K266))</f>
      </c>
      <c r="W266" s="37">
        <f>IF(B266="","",IF(ENTRADA!$L266="",R266*INDEX(PRECIOS!$G$6:$G$55,K266),ENTRADA!$L266))</f>
      </c>
      <c r="X266" s="37">
        <f>IF(B266="","",R266*Km_Puerto_Viaje*INDEX(PRECIOS!$N$6:$N$55,K266))</f>
      </c>
      <c r="Y266" s="70">
        <f>IF(B266="","",S266+V266+W266+X266)</f>
      </c>
      <c r="Z266" s="71">
        <f>IF(B266="","",IF(J266=0,0,ROUNDUP(J266/Rend_Desagrupe,0)))</f>
      </c>
      <c r="AA266" s="71">
        <f>IF(B266="","",IF(ENTRADA!$M266="",Z266,ENTRADA!$M266))</f>
      </c>
      <c r="AB266" s="37">
        <f>IF(B266="","",AA266*INDEX(PRECIOS!$H$6:$H$55,K266))</f>
      </c>
      <c r="AC266" s="37">
        <f>IF(B266="","",IF(E266="ENCI",INDEX(PRECIOS!$J$6:$J$55,K266),IF(E266="A.V",INDEX(PRECIOS!$K$6:$K$55,K266),0)))</f>
      </c>
      <c r="AD266" s="37">
        <f>IF(B266="","",N(ENTRADA!$N266))</f>
      </c>
      <c r="AE266" s="70">
        <f>IF(B266="","",AB266+AC266+AD266)</f>
      </c>
      <c r="AF266" s="71">
        <f>IF(B266="","",IF(G266=0,0,ROUNDUP(G266/Cap_Camion_OCC,0)))</f>
      </c>
      <c r="AG266" s="71">
        <f>IF(B266="","",AF266*L_Dist_OCC)</f>
      </c>
      <c r="AH266" s="71">
        <f>IF(B266="","",IF(ENTRADA!$O266="",AG266,ENTRADA!$O266))</f>
      </c>
      <c r="AI266" s="37">
        <f>IF(B266="","",AH266*INDEX(PRECIOS!$E$6:$E$55,K266))</f>
      </c>
      <c r="AJ266" s="71">
        <f>IF(B266="","",IF(H266=0,0,ROUNDUP(H266/Cap_Camion_CEN,0)))</f>
      </c>
      <c r="AK266" s="71">
        <f>IF(B266="","",AJ266*L_Tras_CEN)</f>
      </c>
      <c r="AL266" s="71">
        <f>IF(B266="","",IF(ENTRADA!$P266="",AK266,ENTRADA!$P266))</f>
      </c>
      <c r="AM266" s="71">
        <f>IF(B266="","",AJ266*L_Dist_CEN)</f>
      </c>
      <c r="AN266" s="71">
        <f>IF(B266="","",IF(ENTRADA!$Q266="",AM266,ENTRADA!$Q266))</f>
      </c>
      <c r="AO266" s="37">
        <f>IF(B266="","",(AL266+AN266)*INDEX(PRECIOS!$E$6:$E$55,K266))</f>
      </c>
      <c r="AP266" s="71">
        <f>IF(B266="","",IF(H266=0,0,ROUNDUP(H266/Rend_Desagrupe_CT,0)))</f>
      </c>
      <c r="AQ266" s="71">
        <f>IF(B266="","",IF(ENTRADA!$R266="",AP266,ENTRADA!$R266))</f>
      </c>
      <c r="AR266" s="37">
        <f>IF(B266="","",AQ266*INDEX(PRECIOS!$I$6:$I$55,K266))</f>
      </c>
      <c r="AS266" s="37">
        <f>IF(B266="","",AO266+AR266)</f>
      </c>
      <c r="AT266" s="71">
        <f>IF(B266="","",IF(I266=0,0,ROUNDUP(I266/Cap_Camion_ORI,0)))</f>
      </c>
      <c r="AU266" s="71">
        <f>IF(B266="","",AT266*L_Tras_ORI)</f>
      </c>
      <c r="AV266" s="71">
        <f>IF(B266="","",IF(ENTRADA!$S266="",AU266,ENTRADA!$S266))</f>
      </c>
      <c r="AW266" s="71">
        <f>IF(B266="","",AT266*L_Dist_ORI)</f>
      </c>
      <c r="AX266" s="71">
        <f>IF(B266="","",IF(ENTRADA!$T266="",AW266,ENTRADA!$T266))</f>
      </c>
      <c r="AY266" s="37">
        <f>IF(B266="","",(AV266+AX266)*INDEX(PRECIOS!$E$6:$E$55,K266))</f>
      </c>
      <c r="AZ266" s="71">
        <f>IF(B266="","",IF(I266=0,0,ROUNDUP(I266/Rend_Desagrupe_CT,0)))</f>
      </c>
      <c r="BA266" s="71">
        <f>IF(B266="","",IF(ENTRADA!$U266="",AZ266,ENTRADA!$U266))</f>
      </c>
      <c r="BB266" s="37">
        <f>IF(B266="","",BA266*INDEX(PRECIOS!$I$6:$I$55,K266))</f>
      </c>
      <c r="BC266" s="37">
        <f>IF(B266="","",AY266+BB266)</f>
      </c>
      <c r="BD266" s="70">
        <f>IF(B266="","",AI266+AS266+BC266)</f>
      </c>
      <c r="BE266" s="37">
        <f>IF(B266="","",IF(Base_Comision="% DEL INGRESO",M266*INDEX(PRECIOS!$L$6:$L$55,K266),G266*INDEX(PRECIOS!$M$6:$M$55,K266)))</f>
      </c>
      <c r="BF266" s="37">
        <f>IF(B266="","",IF(Base_Comision="% DEL INGRESO",N266*INDEX(PRECIOS!$L$6:$L$55,K266),H266*INDEX(PRECIOS!$M$6:$M$55,K266)))</f>
      </c>
      <c r="BG266" s="37">
        <f>IF(B266="","",IF(Base_Comision="% DEL INGRESO",O266*INDEX(PRECIOS!$L$6:$L$55,K266),I266*INDEX(PRECIOS!$M$6:$M$55,K266)))</f>
      </c>
      <c r="BH266" s="70">
        <f>IF(B266="","",BE266+BF266+BG266)</f>
      </c>
      <c r="BI266" s="37">
        <f>IF(B266="","",Q266*Pct_Reclamaciones)</f>
      </c>
      <c r="BJ266" s="37">
        <f>IF(B266="","",Q266*Pct_Banco)</f>
      </c>
      <c r="BK266" s="37">
        <f>IF(B266="","",N(ENTRADA!$V266))</f>
      </c>
      <c r="BL266" s="70">
        <f>IF(B266="","",Y266+AE266+BD266+BH266+BI266+BJ266+BK266)</f>
      </c>
      <c r="BM266" s="70">
        <f>IF(B266="","",Q266-BL266)</f>
      </c>
      <c r="BN266" s="72">
        <f>IF(B266="","",IF(Q266=0,0,BM266/Q266))</f>
      </c>
      <c r="BO266" s="73">
        <f>IF(B266="","",IF(J266=0,0,BM266/J266))</f>
      </c>
      <c r="BP266" s="60">
        <f>IF(B266="","",IFERROR(MATCH(D266,COSTOS_FIJOS!$G$5:$AD$5,0),0))</f>
      </c>
      <c r="BQ266" s="60">
        <f>IF(B266="","",COUNTIFS($D$6:$D$305,D266))</f>
      </c>
      <c r="BR266" s="67">
        <f>IF(B266="","",SUMIFS($J$6:$J$305,$D$6:$D$305,D266))</f>
      </c>
      <c r="BS266" s="72">
        <f>IF(B266="","",IF(Metodo_Prorrateo="KG",IF(BR266=0,0,J266/BR266),1/BQ266))</f>
      </c>
      <c r="BT266" s="37">
        <f>IF(B266="","",IF(BP266=0,0,INDEX(COSTOS_FIJOS!$G$38:$AD$38,BP266))*BS266)</f>
      </c>
      <c r="BU266" s="72">
        <f>IF(B266="","",IF(Metodo_Prorrateo="KG",IF(SUMIFS($G$6:$G$305,$D$6:$D$305,D266)=0,0,G266/SUMIFS($G$6:$G$305,$D$6:$D$305,D266)),IF(G266&gt;0,1/COUNTIFS($D$6:$D$305,D266,$G$6:$G$305,"&gt;0"),0)))</f>
      </c>
      <c r="BV266" s="37">
        <f>IF(B266="","",IF(BP266=0,0,INDEX(COSTOS_FIJOS!$G$39:$AD$39,BP266))*BU266)</f>
      </c>
      <c r="BW266" s="72">
        <f>IF(B266="","",IF(Metodo_Prorrateo="KG",IF(SUMIFS($H$6:$H$305,$D$6:$D$305,D266)=0,0,H266/SUMIFS($H$6:$H$305,$D$6:$D$305,D266)),IF(H266&gt;0,1/COUNTIFS($D$6:$D$305,D266,$H$6:$H$305,"&gt;0"),0)))</f>
      </c>
      <c r="BX266" s="37">
        <f>IF(B266="","",IF(BP266=0,0,INDEX(COSTOS_FIJOS!$G$40:$AD$40,BP266))*BW266)</f>
      </c>
      <c r="BY266" s="72">
        <f>IF(B266="","",IF(Metodo_Prorrateo="KG",IF(SUMIFS($I$6:$I$305,$D$6:$D$305,D266)=0,0,I266/SUMIFS($I$6:$I$305,$D$6:$D$305,D266)),IF(I266&gt;0,1/COUNTIFS($D$6:$D$305,D266,$I$6:$I$305,"&gt;0"),0)))</f>
      </c>
      <c r="BZ266" s="37">
        <f>IF(B266="","",IF(BP266=0,0,INDEX(COSTOS_FIJOS!$G$41:$AD$41,BP266))*BY266)</f>
      </c>
      <c r="CA266" s="70">
        <f>IF(B266="","",BT266+BV266+BX266+BZ266)</f>
      </c>
      <c r="CB266" s="37">
        <f>IF(B266="","",Q266*Imp_Ventas_Serv)</f>
      </c>
      <c r="CC266" s="37">
        <f>IF(B266="","",Q266*Contrib_Territorial)</f>
      </c>
      <c r="CD266" s="70">
        <f>IF(B266="","",BM266-CA266-CB266-CC266)</f>
      </c>
      <c r="CE266" s="37">
        <f>IF(B266="","",MAX(0,CD266)*Imp_Utilidades)</f>
      </c>
      <c r="CF266" s="70">
        <f>IF(B266="","",CD266-CE266)</f>
      </c>
      <c r="CG266" s="72">
        <f>IF(B266="","",IF(Q266=0,0,CF266/Q266))</f>
      </c>
      <c r="CH266" s="73">
        <f>IF(B266="","",IF(J266=0,0,(BL266+CA266+CB266+CC266)/J266))</f>
      </c>
      <c r="CI266" s="73">
        <f>IF(B266="","",IF(J266=0,0,Q266/J266))</f>
      </c>
      <c r="CJ266" s="73">
        <f>IF(B266="","",IF(J266=0,0,CD266/J266))</f>
      </c>
      <c r="CK266" s="37">
        <f>IF(B266="","",Y266+AE266+BK266+BT266)</f>
      </c>
      <c r="CL266" s="37">
        <f>IF(B266="","",IF(J266=0,0,(M266+P266*G266/J266)*(1-Pct_Reclamaciones-Pct_Banco-Imp_Ventas_Serv-Contrib_Territorial)-AI266-BE266-BV266-CK266*G266/J266))</f>
      </c>
      <c r="CM266" s="37">
        <f>IF(B266="","",IF(J266=0,0,(N266+P266*H266/J266)*(1-Pct_Reclamaciones-Pct_Banco-Imp_Ventas_Serv-Contrib_Territorial)-AS266-BF266-BX266-CK266*H266/J266))</f>
      </c>
      <c r="CN266" s="37">
        <f>IF(B266="","",IF(J266=0,0,(O266+P266*I266/J266)*(1-Pct_Reclamaciones-Pct_Banco-Imp_Ventas_Serv-Contrib_Territorial)-BC266-BG266-BZ266-CK266*I266/J266))</f>
      </c>
      <c r="CO266" s="37">
        <f>IF(B266="","",IF(J266=0,0,ROUND(CD266-CL266-CM266-CN266,4)))</f>
      </c>
      <c r="CP266" s="71">
        <f>IF(B266="","",T266+AG266+AK266+AM266+AU266+AW266)</f>
      </c>
      <c r="CQ266" s="71">
        <f>IF(B266="","",U266+AH266+AL266+AN266+AV266+AX266)</f>
      </c>
      <c r="CR266" s="72">
        <f>IF(B266="","",IF(CP266=0,0,CQ266/CP266-1))</f>
      </c>
      <c r="CS266" s="60">
        <f>IF(B266="","",IF(ENTRADA!$Y266="","",ENTRADA!$Y266-C266))</f>
      </c>
      <c r="CT266" s="66">
        <f>IF(B266="","",IF(ENTRADA!$C266="","Falta fecha. ","")&amp;IF(BP266=0,"Mes fuera del rango de COSTOS_FIJOS. ","")&amp;IF(J266=0,"Sin kg. ","")&amp;IF(E266="","Falta transitaria. ","")&amp;IF(AND(T266&gt;0,U266/T266-1&gt;Tolerancia_Comb),"Combustible al puerto "&amp;TEXT(U266/T266-1,"+0%")&amp;" sobre norma. ","")&amp;IF(AND(AG266&gt;0,AH266/AG266-1&gt;Tolerancia_Comb),"Combustible distribución Occidente "&amp;TEXT(AH266/AG266-1,"+0%")&amp;" sobre norma. ","")&amp;IF(AND(AK266&gt;0,AL266/AK266-1&gt;Tolerancia_Comb),"Combustible traslado Centro "&amp;TEXT(AL266/AK266-1,"+0%")&amp;" sobre norma. ","")&amp;IF(AND(AM266&gt;0,AN266/AM266-1&gt;Tolerancia_Comb),"Combustible distribución Centro "&amp;TEXT(AN266/AM266-1,"+0%")&amp;" sobre norma. ","")&amp;IF(AND(AU266&gt;0,AV266/AU266-1&gt;Tolerancia_Comb),"Combustible traslado Oriente "&amp;TEXT(AV266/AU266-1,"+0%")&amp;" sobre norma. ","")&amp;IF(AND(AW266&gt;0,AX266/AW266-1&gt;Tolerancia_Comb),"Combustible distribución Oriente "&amp;TEXT(AX266/AW266-1,"+0%")&amp;" sobre norma. ","")&amp;IF(AND(ENTRADA!$C266&lt;&gt;"",C266&lt;PRECIOS!$A$6),"Fecha anterior a la 1ª vigencia de precios. ","")&amp;IF(CD266&lt;0,"Contenedor con pérdida. ",""))</f>
      </c>
    </row>
    <row r="267">
      <c r="A267" s="60">
        <f>IF(B267="","",ROW()-5)</f>
      </c>
      <c r="B267" s="63">
        <f>IF(ENTRADA!$B267="","",ENTRADA!$B267)</f>
      </c>
      <c r="C267" s="64">
        <f>IF(B267="","",ENTRADA!$C267)</f>
      </c>
      <c r="D267" s="65">
        <f>IF(B267="","",DATE(YEAR(C267),MONTH(C267),1))</f>
      </c>
      <c r="E267" s="66">
        <f>IF(B267="","",ENTRADA!$D267&amp;"")</f>
      </c>
      <c r="F267" s="66">
        <f>IF(B267="","",ENTRADA!$Z267&amp;"")</f>
      </c>
      <c r="G267" s="67">
        <f>IF(B267="","",N(ENTRADA!$G267))</f>
      </c>
      <c r="H267" s="67">
        <f>IF(B267="","",N(ENTRADA!$H267))</f>
      </c>
      <c r="I267" s="67">
        <f>IF(B267="","",N(ENTRADA!$I267))</f>
      </c>
      <c r="J267" s="68">
        <f>IF(B267="","",G267+H267+I267)</f>
      </c>
      <c r="K267" s="60">
        <f>IF(B267="","",IFERROR(MATCH(SUMPRODUCT(MAX((PRECIOS!$A$6:$A$55&lt;=C267)*PRECIOS!$A$6:$A$55)),PRECIOS!$A$6:$A$55,0),1))</f>
      </c>
      <c r="L267" s="69">
        <f>IF(B267="","",INDEX(PRECIOS!$A$6:$A$55,K267))</f>
      </c>
      <c r="M267" s="37">
        <f>IF(B267="","",G267*INDEX(PRECIOS!$B$6:$B$55,K267))</f>
      </c>
      <c r="N267" s="37">
        <f>IF(B267="","",H267*INDEX(PRECIOS!$C$6:$C$55,K267))</f>
      </c>
      <c r="O267" s="37">
        <f>IF(B267="","",I267*INDEX(PRECIOS!$D$6:$D$55,K267))</f>
      </c>
      <c r="P267" s="37">
        <f>IF(B267="","",N(ENTRADA!$X267))</f>
      </c>
      <c r="Q267" s="70">
        <f>IF(B267="","",M267+N267+O267+P267)</f>
      </c>
      <c r="R267" s="71">
        <f>IF(B267="","",IF(ENTRADA!$J267="",Std_Viajes_Puerto,ENTRADA!$J267))</f>
      </c>
      <c r="S267" s="37">
        <f>IF(B267="","",R267*INDEX(PRECIOS!$F$6:$F$55,K267))</f>
      </c>
      <c r="T267" s="71">
        <f>IF(B267="","",R267*Litros_Puerto_Viaje)</f>
      </c>
      <c r="U267" s="71">
        <f>IF(B267="","",IF(ENTRADA!$K267="",T267,ENTRADA!$K267))</f>
      </c>
      <c r="V267" s="37">
        <f>IF(B267="","",U267*INDEX(PRECIOS!$E$6:$E$55,K267))</f>
      </c>
      <c r="W267" s="37">
        <f>IF(B267="","",IF(ENTRADA!$L267="",R267*INDEX(PRECIOS!$G$6:$G$55,K267),ENTRADA!$L267))</f>
      </c>
      <c r="X267" s="37">
        <f>IF(B267="","",R267*Km_Puerto_Viaje*INDEX(PRECIOS!$N$6:$N$55,K267))</f>
      </c>
      <c r="Y267" s="70">
        <f>IF(B267="","",S267+V267+W267+X267)</f>
      </c>
      <c r="Z267" s="71">
        <f>IF(B267="","",IF(J267=0,0,ROUNDUP(J267/Rend_Desagrupe,0)))</f>
      </c>
      <c r="AA267" s="71">
        <f>IF(B267="","",IF(ENTRADA!$M267="",Z267,ENTRADA!$M267))</f>
      </c>
      <c r="AB267" s="37">
        <f>IF(B267="","",AA267*INDEX(PRECIOS!$H$6:$H$55,K267))</f>
      </c>
      <c r="AC267" s="37">
        <f>IF(B267="","",IF(E267="ENCI",INDEX(PRECIOS!$J$6:$J$55,K267),IF(E267="A.V",INDEX(PRECIOS!$K$6:$K$55,K267),0)))</f>
      </c>
      <c r="AD267" s="37">
        <f>IF(B267="","",N(ENTRADA!$N267))</f>
      </c>
      <c r="AE267" s="70">
        <f>IF(B267="","",AB267+AC267+AD267)</f>
      </c>
      <c r="AF267" s="71">
        <f>IF(B267="","",IF(G267=0,0,ROUNDUP(G267/Cap_Camion_OCC,0)))</f>
      </c>
      <c r="AG267" s="71">
        <f>IF(B267="","",AF267*L_Dist_OCC)</f>
      </c>
      <c r="AH267" s="71">
        <f>IF(B267="","",IF(ENTRADA!$O267="",AG267,ENTRADA!$O267))</f>
      </c>
      <c r="AI267" s="37">
        <f>IF(B267="","",AH267*INDEX(PRECIOS!$E$6:$E$55,K267))</f>
      </c>
      <c r="AJ267" s="71">
        <f>IF(B267="","",IF(H267=0,0,ROUNDUP(H267/Cap_Camion_CEN,0)))</f>
      </c>
      <c r="AK267" s="71">
        <f>IF(B267="","",AJ267*L_Tras_CEN)</f>
      </c>
      <c r="AL267" s="71">
        <f>IF(B267="","",IF(ENTRADA!$P267="",AK267,ENTRADA!$P267))</f>
      </c>
      <c r="AM267" s="71">
        <f>IF(B267="","",AJ267*L_Dist_CEN)</f>
      </c>
      <c r="AN267" s="71">
        <f>IF(B267="","",IF(ENTRADA!$Q267="",AM267,ENTRADA!$Q267))</f>
      </c>
      <c r="AO267" s="37">
        <f>IF(B267="","",(AL267+AN267)*INDEX(PRECIOS!$E$6:$E$55,K267))</f>
      </c>
      <c r="AP267" s="71">
        <f>IF(B267="","",IF(H267=0,0,ROUNDUP(H267/Rend_Desagrupe_CT,0)))</f>
      </c>
      <c r="AQ267" s="71">
        <f>IF(B267="","",IF(ENTRADA!$R267="",AP267,ENTRADA!$R267))</f>
      </c>
      <c r="AR267" s="37">
        <f>IF(B267="","",AQ267*INDEX(PRECIOS!$I$6:$I$55,K267))</f>
      </c>
      <c r="AS267" s="37">
        <f>IF(B267="","",AO267+AR267)</f>
      </c>
      <c r="AT267" s="71">
        <f>IF(B267="","",IF(I267=0,0,ROUNDUP(I267/Cap_Camion_ORI,0)))</f>
      </c>
      <c r="AU267" s="71">
        <f>IF(B267="","",AT267*L_Tras_ORI)</f>
      </c>
      <c r="AV267" s="71">
        <f>IF(B267="","",IF(ENTRADA!$S267="",AU267,ENTRADA!$S267))</f>
      </c>
      <c r="AW267" s="71">
        <f>IF(B267="","",AT267*L_Dist_ORI)</f>
      </c>
      <c r="AX267" s="71">
        <f>IF(B267="","",IF(ENTRADA!$T267="",AW267,ENTRADA!$T267))</f>
      </c>
      <c r="AY267" s="37">
        <f>IF(B267="","",(AV267+AX267)*INDEX(PRECIOS!$E$6:$E$55,K267))</f>
      </c>
      <c r="AZ267" s="71">
        <f>IF(B267="","",IF(I267=0,0,ROUNDUP(I267/Rend_Desagrupe_CT,0)))</f>
      </c>
      <c r="BA267" s="71">
        <f>IF(B267="","",IF(ENTRADA!$U267="",AZ267,ENTRADA!$U267))</f>
      </c>
      <c r="BB267" s="37">
        <f>IF(B267="","",BA267*INDEX(PRECIOS!$I$6:$I$55,K267))</f>
      </c>
      <c r="BC267" s="37">
        <f>IF(B267="","",AY267+BB267)</f>
      </c>
      <c r="BD267" s="70">
        <f>IF(B267="","",AI267+AS267+BC267)</f>
      </c>
      <c r="BE267" s="37">
        <f>IF(B267="","",IF(Base_Comision="% DEL INGRESO",M267*INDEX(PRECIOS!$L$6:$L$55,K267),G267*INDEX(PRECIOS!$M$6:$M$55,K267)))</f>
      </c>
      <c r="BF267" s="37">
        <f>IF(B267="","",IF(Base_Comision="% DEL INGRESO",N267*INDEX(PRECIOS!$L$6:$L$55,K267),H267*INDEX(PRECIOS!$M$6:$M$55,K267)))</f>
      </c>
      <c r="BG267" s="37">
        <f>IF(B267="","",IF(Base_Comision="% DEL INGRESO",O267*INDEX(PRECIOS!$L$6:$L$55,K267),I267*INDEX(PRECIOS!$M$6:$M$55,K267)))</f>
      </c>
      <c r="BH267" s="70">
        <f>IF(B267="","",BE267+BF267+BG267)</f>
      </c>
      <c r="BI267" s="37">
        <f>IF(B267="","",Q267*Pct_Reclamaciones)</f>
      </c>
      <c r="BJ267" s="37">
        <f>IF(B267="","",Q267*Pct_Banco)</f>
      </c>
      <c r="BK267" s="37">
        <f>IF(B267="","",N(ENTRADA!$V267))</f>
      </c>
      <c r="BL267" s="70">
        <f>IF(B267="","",Y267+AE267+BD267+BH267+BI267+BJ267+BK267)</f>
      </c>
      <c r="BM267" s="70">
        <f>IF(B267="","",Q267-BL267)</f>
      </c>
      <c r="BN267" s="72">
        <f>IF(B267="","",IF(Q267=0,0,BM267/Q267))</f>
      </c>
      <c r="BO267" s="73">
        <f>IF(B267="","",IF(J267=0,0,BM267/J267))</f>
      </c>
      <c r="BP267" s="60">
        <f>IF(B267="","",IFERROR(MATCH(D267,COSTOS_FIJOS!$G$5:$AD$5,0),0))</f>
      </c>
      <c r="BQ267" s="60">
        <f>IF(B267="","",COUNTIFS($D$6:$D$305,D267))</f>
      </c>
      <c r="BR267" s="67">
        <f>IF(B267="","",SUMIFS($J$6:$J$305,$D$6:$D$305,D267))</f>
      </c>
      <c r="BS267" s="72">
        <f>IF(B267="","",IF(Metodo_Prorrateo="KG",IF(BR267=0,0,J267/BR267),1/BQ267))</f>
      </c>
      <c r="BT267" s="37">
        <f>IF(B267="","",IF(BP267=0,0,INDEX(COSTOS_FIJOS!$G$38:$AD$38,BP267))*BS267)</f>
      </c>
      <c r="BU267" s="72">
        <f>IF(B267="","",IF(Metodo_Prorrateo="KG",IF(SUMIFS($G$6:$G$305,$D$6:$D$305,D267)=0,0,G267/SUMIFS($G$6:$G$305,$D$6:$D$305,D267)),IF(G267&gt;0,1/COUNTIFS($D$6:$D$305,D267,$G$6:$G$305,"&gt;0"),0)))</f>
      </c>
      <c r="BV267" s="37">
        <f>IF(B267="","",IF(BP267=0,0,INDEX(COSTOS_FIJOS!$G$39:$AD$39,BP267))*BU267)</f>
      </c>
      <c r="BW267" s="72">
        <f>IF(B267="","",IF(Metodo_Prorrateo="KG",IF(SUMIFS($H$6:$H$305,$D$6:$D$305,D267)=0,0,H267/SUMIFS($H$6:$H$305,$D$6:$D$305,D267)),IF(H267&gt;0,1/COUNTIFS($D$6:$D$305,D267,$H$6:$H$305,"&gt;0"),0)))</f>
      </c>
      <c r="BX267" s="37">
        <f>IF(B267="","",IF(BP267=0,0,INDEX(COSTOS_FIJOS!$G$40:$AD$40,BP267))*BW267)</f>
      </c>
      <c r="BY267" s="72">
        <f>IF(B267="","",IF(Metodo_Prorrateo="KG",IF(SUMIFS($I$6:$I$305,$D$6:$D$305,D267)=0,0,I267/SUMIFS($I$6:$I$305,$D$6:$D$305,D267)),IF(I267&gt;0,1/COUNTIFS($D$6:$D$305,D267,$I$6:$I$305,"&gt;0"),0)))</f>
      </c>
      <c r="BZ267" s="37">
        <f>IF(B267="","",IF(BP267=0,0,INDEX(COSTOS_FIJOS!$G$41:$AD$41,BP267))*BY267)</f>
      </c>
      <c r="CA267" s="70">
        <f>IF(B267="","",BT267+BV267+BX267+BZ267)</f>
      </c>
      <c r="CB267" s="37">
        <f>IF(B267="","",Q267*Imp_Ventas_Serv)</f>
      </c>
      <c r="CC267" s="37">
        <f>IF(B267="","",Q267*Contrib_Territorial)</f>
      </c>
      <c r="CD267" s="70">
        <f>IF(B267="","",BM267-CA267-CB267-CC267)</f>
      </c>
      <c r="CE267" s="37">
        <f>IF(B267="","",MAX(0,CD267)*Imp_Utilidades)</f>
      </c>
      <c r="CF267" s="70">
        <f>IF(B267="","",CD267-CE267)</f>
      </c>
      <c r="CG267" s="72">
        <f>IF(B267="","",IF(Q267=0,0,CF267/Q267))</f>
      </c>
      <c r="CH267" s="73">
        <f>IF(B267="","",IF(J267=0,0,(BL267+CA267+CB267+CC267)/J267))</f>
      </c>
      <c r="CI267" s="73">
        <f>IF(B267="","",IF(J267=0,0,Q267/J267))</f>
      </c>
      <c r="CJ267" s="73">
        <f>IF(B267="","",IF(J267=0,0,CD267/J267))</f>
      </c>
      <c r="CK267" s="37">
        <f>IF(B267="","",Y267+AE267+BK267+BT267)</f>
      </c>
      <c r="CL267" s="37">
        <f>IF(B267="","",IF(J267=0,0,(M267+P267*G267/J267)*(1-Pct_Reclamaciones-Pct_Banco-Imp_Ventas_Serv-Contrib_Territorial)-AI267-BE267-BV267-CK267*G267/J267))</f>
      </c>
      <c r="CM267" s="37">
        <f>IF(B267="","",IF(J267=0,0,(N267+P267*H267/J267)*(1-Pct_Reclamaciones-Pct_Banco-Imp_Ventas_Serv-Contrib_Territorial)-AS267-BF267-BX267-CK267*H267/J267))</f>
      </c>
      <c r="CN267" s="37">
        <f>IF(B267="","",IF(J267=0,0,(O267+P267*I267/J267)*(1-Pct_Reclamaciones-Pct_Banco-Imp_Ventas_Serv-Contrib_Territorial)-BC267-BG267-BZ267-CK267*I267/J267))</f>
      </c>
      <c r="CO267" s="37">
        <f>IF(B267="","",IF(J267=0,0,ROUND(CD267-CL267-CM267-CN267,4)))</f>
      </c>
      <c r="CP267" s="71">
        <f>IF(B267="","",T267+AG267+AK267+AM267+AU267+AW267)</f>
      </c>
      <c r="CQ267" s="71">
        <f>IF(B267="","",U267+AH267+AL267+AN267+AV267+AX267)</f>
      </c>
      <c r="CR267" s="72">
        <f>IF(B267="","",IF(CP267=0,0,CQ267/CP267-1))</f>
      </c>
      <c r="CS267" s="60">
        <f>IF(B267="","",IF(ENTRADA!$Y267="","",ENTRADA!$Y267-C267))</f>
      </c>
      <c r="CT267" s="66">
        <f>IF(B267="","",IF(ENTRADA!$C267="","Falta fecha. ","")&amp;IF(BP267=0,"Mes fuera del rango de COSTOS_FIJOS. ","")&amp;IF(J267=0,"Sin kg. ","")&amp;IF(E267="","Falta transitaria. ","")&amp;IF(AND(T267&gt;0,U267/T267-1&gt;Tolerancia_Comb),"Combustible al puerto "&amp;TEXT(U267/T267-1,"+0%")&amp;" sobre norma. ","")&amp;IF(AND(AG267&gt;0,AH267/AG267-1&gt;Tolerancia_Comb),"Combustible distribución Occidente "&amp;TEXT(AH267/AG267-1,"+0%")&amp;" sobre norma. ","")&amp;IF(AND(AK267&gt;0,AL267/AK267-1&gt;Tolerancia_Comb),"Combustible traslado Centro "&amp;TEXT(AL267/AK267-1,"+0%")&amp;" sobre norma. ","")&amp;IF(AND(AM267&gt;0,AN267/AM267-1&gt;Tolerancia_Comb),"Combustible distribución Centro "&amp;TEXT(AN267/AM267-1,"+0%")&amp;" sobre norma. ","")&amp;IF(AND(AU267&gt;0,AV267/AU267-1&gt;Tolerancia_Comb),"Combustible traslado Oriente "&amp;TEXT(AV267/AU267-1,"+0%")&amp;" sobre norma. ","")&amp;IF(AND(AW267&gt;0,AX267/AW267-1&gt;Tolerancia_Comb),"Combustible distribución Oriente "&amp;TEXT(AX267/AW267-1,"+0%")&amp;" sobre norma. ","")&amp;IF(AND(ENTRADA!$C267&lt;&gt;"",C267&lt;PRECIOS!$A$6),"Fecha anterior a la 1ª vigencia de precios. ","")&amp;IF(CD267&lt;0,"Contenedor con pérdida. ",""))</f>
      </c>
    </row>
    <row r="268">
      <c r="A268" s="60">
        <f>IF(B268="","",ROW()-5)</f>
      </c>
      <c r="B268" s="63">
        <f>IF(ENTRADA!$B268="","",ENTRADA!$B268)</f>
      </c>
      <c r="C268" s="64">
        <f>IF(B268="","",ENTRADA!$C268)</f>
      </c>
      <c r="D268" s="65">
        <f>IF(B268="","",DATE(YEAR(C268),MONTH(C268),1))</f>
      </c>
      <c r="E268" s="66">
        <f>IF(B268="","",ENTRADA!$D268&amp;"")</f>
      </c>
      <c r="F268" s="66">
        <f>IF(B268="","",ENTRADA!$Z268&amp;"")</f>
      </c>
      <c r="G268" s="67">
        <f>IF(B268="","",N(ENTRADA!$G268))</f>
      </c>
      <c r="H268" s="67">
        <f>IF(B268="","",N(ENTRADA!$H268))</f>
      </c>
      <c r="I268" s="67">
        <f>IF(B268="","",N(ENTRADA!$I268))</f>
      </c>
      <c r="J268" s="68">
        <f>IF(B268="","",G268+H268+I268)</f>
      </c>
      <c r="K268" s="60">
        <f>IF(B268="","",IFERROR(MATCH(SUMPRODUCT(MAX((PRECIOS!$A$6:$A$55&lt;=C268)*PRECIOS!$A$6:$A$55)),PRECIOS!$A$6:$A$55,0),1))</f>
      </c>
      <c r="L268" s="69">
        <f>IF(B268="","",INDEX(PRECIOS!$A$6:$A$55,K268))</f>
      </c>
      <c r="M268" s="37">
        <f>IF(B268="","",G268*INDEX(PRECIOS!$B$6:$B$55,K268))</f>
      </c>
      <c r="N268" s="37">
        <f>IF(B268="","",H268*INDEX(PRECIOS!$C$6:$C$55,K268))</f>
      </c>
      <c r="O268" s="37">
        <f>IF(B268="","",I268*INDEX(PRECIOS!$D$6:$D$55,K268))</f>
      </c>
      <c r="P268" s="37">
        <f>IF(B268="","",N(ENTRADA!$X268))</f>
      </c>
      <c r="Q268" s="70">
        <f>IF(B268="","",M268+N268+O268+P268)</f>
      </c>
      <c r="R268" s="71">
        <f>IF(B268="","",IF(ENTRADA!$J268="",Std_Viajes_Puerto,ENTRADA!$J268))</f>
      </c>
      <c r="S268" s="37">
        <f>IF(B268="","",R268*INDEX(PRECIOS!$F$6:$F$55,K268))</f>
      </c>
      <c r="T268" s="71">
        <f>IF(B268="","",R268*Litros_Puerto_Viaje)</f>
      </c>
      <c r="U268" s="71">
        <f>IF(B268="","",IF(ENTRADA!$K268="",T268,ENTRADA!$K268))</f>
      </c>
      <c r="V268" s="37">
        <f>IF(B268="","",U268*INDEX(PRECIOS!$E$6:$E$55,K268))</f>
      </c>
      <c r="W268" s="37">
        <f>IF(B268="","",IF(ENTRADA!$L268="",R268*INDEX(PRECIOS!$G$6:$G$55,K268),ENTRADA!$L268))</f>
      </c>
      <c r="X268" s="37">
        <f>IF(B268="","",R268*Km_Puerto_Viaje*INDEX(PRECIOS!$N$6:$N$55,K268))</f>
      </c>
      <c r="Y268" s="70">
        <f>IF(B268="","",S268+V268+W268+X268)</f>
      </c>
      <c r="Z268" s="71">
        <f>IF(B268="","",IF(J268=0,0,ROUNDUP(J268/Rend_Desagrupe,0)))</f>
      </c>
      <c r="AA268" s="71">
        <f>IF(B268="","",IF(ENTRADA!$M268="",Z268,ENTRADA!$M268))</f>
      </c>
      <c r="AB268" s="37">
        <f>IF(B268="","",AA268*INDEX(PRECIOS!$H$6:$H$55,K268))</f>
      </c>
      <c r="AC268" s="37">
        <f>IF(B268="","",IF(E268="ENCI",INDEX(PRECIOS!$J$6:$J$55,K268),IF(E268="A.V",INDEX(PRECIOS!$K$6:$K$55,K268),0)))</f>
      </c>
      <c r="AD268" s="37">
        <f>IF(B268="","",N(ENTRADA!$N268))</f>
      </c>
      <c r="AE268" s="70">
        <f>IF(B268="","",AB268+AC268+AD268)</f>
      </c>
      <c r="AF268" s="71">
        <f>IF(B268="","",IF(G268=0,0,ROUNDUP(G268/Cap_Camion_OCC,0)))</f>
      </c>
      <c r="AG268" s="71">
        <f>IF(B268="","",AF268*L_Dist_OCC)</f>
      </c>
      <c r="AH268" s="71">
        <f>IF(B268="","",IF(ENTRADA!$O268="",AG268,ENTRADA!$O268))</f>
      </c>
      <c r="AI268" s="37">
        <f>IF(B268="","",AH268*INDEX(PRECIOS!$E$6:$E$55,K268))</f>
      </c>
      <c r="AJ268" s="71">
        <f>IF(B268="","",IF(H268=0,0,ROUNDUP(H268/Cap_Camion_CEN,0)))</f>
      </c>
      <c r="AK268" s="71">
        <f>IF(B268="","",AJ268*L_Tras_CEN)</f>
      </c>
      <c r="AL268" s="71">
        <f>IF(B268="","",IF(ENTRADA!$P268="",AK268,ENTRADA!$P268))</f>
      </c>
      <c r="AM268" s="71">
        <f>IF(B268="","",AJ268*L_Dist_CEN)</f>
      </c>
      <c r="AN268" s="71">
        <f>IF(B268="","",IF(ENTRADA!$Q268="",AM268,ENTRADA!$Q268))</f>
      </c>
      <c r="AO268" s="37">
        <f>IF(B268="","",(AL268+AN268)*INDEX(PRECIOS!$E$6:$E$55,K268))</f>
      </c>
      <c r="AP268" s="71">
        <f>IF(B268="","",IF(H268=0,0,ROUNDUP(H268/Rend_Desagrupe_CT,0)))</f>
      </c>
      <c r="AQ268" s="71">
        <f>IF(B268="","",IF(ENTRADA!$R268="",AP268,ENTRADA!$R268))</f>
      </c>
      <c r="AR268" s="37">
        <f>IF(B268="","",AQ268*INDEX(PRECIOS!$I$6:$I$55,K268))</f>
      </c>
      <c r="AS268" s="37">
        <f>IF(B268="","",AO268+AR268)</f>
      </c>
      <c r="AT268" s="71">
        <f>IF(B268="","",IF(I268=0,0,ROUNDUP(I268/Cap_Camion_ORI,0)))</f>
      </c>
      <c r="AU268" s="71">
        <f>IF(B268="","",AT268*L_Tras_ORI)</f>
      </c>
      <c r="AV268" s="71">
        <f>IF(B268="","",IF(ENTRADA!$S268="",AU268,ENTRADA!$S268))</f>
      </c>
      <c r="AW268" s="71">
        <f>IF(B268="","",AT268*L_Dist_ORI)</f>
      </c>
      <c r="AX268" s="71">
        <f>IF(B268="","",IF(ENTRADA!$T268="",AW268,ENTRADA!$T268))</f>
      </c>
      <c r="AY268" s="37">
        <f>IF(B268="","",(AV268+AX268)*INDEX(PRECIOS!$E$6:$E$55,K268))</f>
      </c>
      <c r="AZ268" s="71">
        <f>IF(B268="","",IF(I268=0,0,ROUNDUP(I268/Rend_Desagrupe_CT,0)))</f>
      </c>
      <c r="BA268" s="71">
        <f>IF(B268="","",IF(ENTRADA!$U268="",AZ268,ENTRADA!$U268))</f>
      </c>
      <c r="BB268" s="37">
        <f>IF(B268="","",BA268*INDEX(PRECIOS!$I$6:$I$55,K268))</f>
      </c>
      <c r="BC268" s="37">
        <f>IF(B268="","",AY268+BB268)</f>
      </c>
      <c r="BD268" s="70">
        <f>IF(B268="","",AI268+AS268+BC268)</f>
      </c>
      <c r="BE268" s="37">
        <f>IF(B268="","",IF(Base_Comision="% DEL INGRESO",M268*INDEX(PRECIOS!$L$6:$L$55,K268),G268*INDEX(PRECIOS!$M$6:$M$55,K268)))</f>
      </c>
      <c r="BF268" s="37">
        <f>IF(B268="","",IF(Base_Comision="% DEL INGRESO",N268*INDEX(PRECIOS!$L$6:$L$55,K268),H268*INDEX(PRECIOS!$M$6:$M$55,K268)))</f>
      </c>
      <c r="BG268" s="37">
        <f>IF(B268="","",IF(Base_Comision="% DEL INGRESO",O268*INDEX(PRECIOS!$L$6:$L$55,K268),I268*INDEX(PRECIOS!$M$6:$M$55,K268)))</f>
      </c>
      <c r="BH268" s="70">
        <f>IF(B268="","",BE268+BF268+BG268)</f>
      </c>
      <c r="BI268" s="37">
        <f>IF(B268="","",Q268*Pct_Reclamaciones)</f>
      </c>
      <c r="BJ268" s="37">
        <f>IF(B268="","",Q268*Pct_Banco)</f>
      </c>
      <c r="BK268" s="37">
        <f>IF(B268="","",N(ENTRADA!$V268))</f>
      </c>
      <c r="BL268" s="70">
        <f>IF(B268="","",Y268+AE268+BD268+BH268+BI268+BJ268+BK268)</f>
      </c>
      <c r="BM268" s="70">
        <f>IF(B268="","",Q268-BL268)</f>
      </c>
      <c r="BN268" s="72">
        <f>IF(B268="","",IF(Q268=0,0,BM268/Q268))</f>
      </c>
      <c r="BO268" s="73">
        <f>IF(B268="","",IF(J268=0,0,BM268/J268))</f>
      </c>
      <c r="BP268" s="60">
        <f>IF(B268="","",IFERROR(MATCH(D268,COSTOS_FIJOS!$G$5:$AD$5,0),0))</f>
      </c>
      <c r="BQ268" s="60">
        <f>IF(B268="","",COUNTIFS($D$6:$D$305,D268))</f>
      </c>
      <c r="BR268" s="67">
        <f>IF(B268="","",SUMIFS($J$6:$J$305,$D$6:$D$305,D268))</f>
      </c>
      <c r="BS268" s="72">
        <f>IF(B268="","",IF(Metodo_Prorrateo="KG",IF(BR268=0,0,J268/BR268),1/BQ268))</f>
      </c>
      <c r="BT268" s="37">
        <f>IF(B268="","",IF(BP268=0,0,INDEX(COSTOS_FIJOS!$G$38:$AD$38,BP268))*BS268)</f>
      </c>
      <c r="BU268" s="72">
        <f>IF(B268="","",IF(Metodo_Prorrateo="KG",IF(SUMIFS($G$6:$G$305,$D$6:$D$305,D268)=0,0,G268/SUMIFS($G$6:$G$305,$D$6:$D$305,D268)),IF(G268&gt;0,1/COUNTIFS($D$6:$D$305,D268,$G$6:$G$305,"&gt;0"),0)))</f>
      </c>
      <c r="BV268" s="37">
        <f>IF(B268="","",IF(BP268=0,0,INDEX(COSTOS_FIJOS!$G$39:$AD$39,BP268))*BU268)</f>
      </c>
      <c r="BW268" s="72">
        <f>IF(B268="","",IF(Metodo_Prorrateo="KG",IF(SUMIFS($H$6:$H$305,$D$6:$D$305,D268)=0,0,H268/SUMIFS($H$6:$H$305,$D$6:$D$305,D268)),IF(H268&gt;0,1/COUNTIFS($D$6:$D$305,D268,$H$6:$H$305,"&gt;0"),0)))</f>
      </c>
      <c r="BX268" s="37">
        <f>IF(B268="","",IF(BP268=0,0,INDEX(COSTOS_FIJOS!$G$40:$AD$40,BP268))*BW268)</f>
      </c>
      <c r="BY268" s="72">
        <f>IF(B268="","",IF(Metodo_Prorrateo="KG",IF(SUMIFS($I$6:$I$305,$D$6:$D$305,D268)=0,0,I268/SUMIFS($I$6:$I$305,$D$6:$D$305,D268)),IF(I268&gt;0,1/COUNTIFS($D$6:$D$305,D268,$I$6:$I$305,"&gt;0"),0)))</f>
      </c>
      <c r="BZ268" s="37">
        <f>IF(B268="","",IF(BP268=0,0,INDEX(COSTOS_FIJOS!$G$41:$AD$41,BP268))*BY268)</f>
      </c>
      <c r="CA268" s="70">
        <f>IF(B268="","",BT268+BV268+BX268+BZ268)</f>
      </c>
      <c r="CB268" s="37">
        <f>IF(B268="","",Q268*Imp_Ventas_Serv)</f>
      </c>
      <c r="CC268" s="37">
        <f>IF(B268="","",Q268*Contrib_Territorial)</f>
      </c>
      <c r="CD268" s="70">
        <f>IF(B268="","",BM268-CA268-CB268-CC268)</f>
      </c>
      <c r="CE268" s="37">
        <f>IF(B268="","",MAX(0,CD268)*Imp_Utilidades)</f>
      </c>
      <c r="CF268" s="70">
        <f>IF(B268="","",CD268-CE268)</f>
      </c>
      <c r="CG268" s="72">
        <f>IF(B268="","",IF(Q268=0,0,CF268/Q268))</f>
      </c>
      <c r="CH268" s="73">
        <f>IF(B268="","",IF(J268=0,0,(BL268+CA268+CB268+CC268)/J268))</f>
      </c>
      <c r="CI268" s="73">
        <f>IF(B268="","",IF(J268=0,0,Q268/J268))</f>
      </c>
      <c r="CJ268" s="73">
        <f>IF(B268="","",IF(J268=0,0,CD268/J268))</f>
      </c>
      <c r="CK268" s="37">
        <f>IF(B268="","",Y268+AE268+BK268+BT268)</f>
      </c>
      <c r="CL268" s="37">
        <f>IF(B268="","",IF(J268=0,0,(M268+P268*G268/J268)*(1-Pct_Reclamaciones-Pct_Banco-Imp_Ventas_Serv-Contrib_Territorial)-AI268-BE268-BV268-CK268*G268/J268))</f>
      </c>
      <c r="CM268" s="37">
        <f>IF(B268="","",IF(J268=0,0,(N268+P268*H268/J268)*(1-Pct_Reclamaciones-Pct_Banco-Imp_Ventas_Serv-Contrib_Territorial)-AS268-BF268-BX268-CK268*H268/J268))</f>
      </c>
      <c r="CN268" s="37">
        <f>IF(B268="","",IF(J268=0,0,(O268+P268*I268/J268)*(1-Pct_Reclamaciones-Pct_Banco-Imp_Ventas_Serv-Contrib_Territorial)-BC268-BG268-BZ268-CK268*I268/J268))</f>
      </c>
      <c r="CO268" s="37">
        <f>IF(B268="","",IF(J268=0,0,ROUND(CD268-CL268-CM268-CN268,4)))</f>
      </c>
      <c r="CP268" s="71">
        <f>IF(B268="","",T268+AG268+AK268+AM268+AU268+AW268)</f>
      </c>
      <c r="CQ268" s="71">
        <f>IF(B268="","",U268+AH268+AL268+AN268+AV268+AX268)</f>
      </c>
      <c r="CR268" s="72">
        <f>IF(B268="","",IF(CP268=0,0,CQ268/CP268-1))</f>
      </c>
      <c r="CS268" s="60">
        <f>IF(B268="","",IF(ENTRADA!$Y268="","",ENTRADA!$Y268-C268))</f>
      </c>
      <c r="CT268" s="66">
        <f>IF(B268="","",IF(ENTRADA!$C268="","Falta fecha. ","")&amp;IF(BP268=0,"Mes fuera del rango de COSTOS_FIJOS. ","")&amp;IF(J268=0,"Sin kg. ","")&amp;IF(E268="","Falta transitaria. ","")&amp;IF(AND(T268&gt;0,U268/T268-1&gt;Tolerancia_Comb),"Combustible al puerto "&amp;TEXT(U268/T268-1,"+0%")&amp;" sobre norma. ","")&amp;IF(AND(AG268&gt;0,AH268/AG268-1&gt;Tolerancia_Comb),"Combustible distribución Occidente "&amp;TEXT(AH268/AG268-1,"+0%")&amp;" sobre norma. ","")&amp;IF(AND(AK268&gt;0,AL268/AK268-1&gt;Tolerancia_Comb),"Combustible traslado Centro "&amp;TEXT(AL268/AK268-1,"+0%")&amp;" sobre norma. ","")&amp;IF(AND(AM268&gt;0,AN268/AM268-1&gt;Tolerancia_Comb),"Combustible distribución Centro "&amp;TEXT(AN268/AM268-1,"+0%")&amp;" sobre norma. ","")&amp;IF(AND(AU268&gt;0,AV268/AU268-1&gt;Tolerancia_Comb),"Combustible traslado Oriente "&amp;TEXT(AV268/AU268-1,"+0%")&amp;" sobre norma. ","")&amp;IF(AND(AW268&gt;0,AX268/AW268-1&gt;Tolerancia_Comb),"Combustible distribución Oriente "&amp;TEXT(AX268/AW268-1,"+0%")&amp;" sobre norma. ","")&amp;IF(AND(ENTRADA!$C268&lt;&gt;"",C268&lt;PRECIOS!$A$6),"Fecha anterior a la 1ª vigencia de precios. ","")&amp;IF(CD268&lt;0,"Contenedor con pérdida. ",""))</f>
      </c>
    </row>
    <row r="269">
      <c r="A269" s="60">
        <f>IF(B269="","",ROW()-5)</f>
      </c>
      <c r="B269" s="63">
        <f>IF(ENTRADA!$B269="","",ENTRADA!$B269)</f>
      </c>
      <c r="C269" s="64">
        <f>IF(B269="","",ENTRADA!$C269)</f>
      </c>
      <c r="D269" s="65">
        <f>IF(B269="","",DATE(YEAR(C269),MONTH(C269),1))</f>
      </c>
      <c r="E269" s="66">
        <f>IF(B269="","",ENTRADA!$D269&amp;"")</f>
      </c>
      <c r="F269" s="66">
        <f>IF(B269="","",ENTRADA!$Z269&amp;"")</f>
      </c>
      <c r="G269" s="67">
        <f>IF(B269="","",N(ENTRADA!$G269))</f>
      </c>
      <c r="H269" s="67">
        <f>IF(B269="","",N(ENTRADA!$H269))</f>
      </c>
      <c r="I269" s="67">
        <f>IF(B269="","",N(ENTRADA!$I269))</f>
      </c>
      <c r="J269" s="68">
        <f>IF(B269="","",G269+H269+I269)</f>
      </c>
      <c r="K269" s="60">
        <f>IF(B269="","",IFERROR(MATCH(SUMPRODUCT(MAX((PRECIOS!$A$6:$A$55&lt;=C269)*PRECIOS!$A$6:$A$55)),PRECIOS!$A$6:$A$55,0),1))</f>
      </c>
      <c r="L269" s="69">
        <f>IF(B269="","",INDEX(PRECIOS!$A$6:$A$55,K269))</f>
      </c>
      <c r="M269" s="37">
        <f>IF(B269="","",G269*INDEX(PRECIOS!$B$6:$B$55,K269))</f>
      </c>
      <c r="N269" s="37">
        <f>IF(B269="","",H269*INDEX(PRECIOS!$C$6:$C$55,K269))</f>
      </c>
      <c r="O269" s="37">
        <f>IF(B269="","",I269*INDEX(PRECIOS!$D$6:$D$55,K269))</f>
      </c>
      <c r="P269" s="37">
        <f>IF(B269="","",N(ENTRADA!$X269))</f>
      </c>
      <c r="Q269" s="70">
        <f>IF(B269="","",M269+N269+O269+P269)</f>
      </c>
      <c r="R269" s="71">
        <f>IF(B269="","",IF(ENTRADA!$J269="",Std_Viajes_Puerto,ENTRADA!$J269))</f>
      </c>
      <c r="S269" s="37">
        <f>IF(B269="","",R269*INDEX(PRECIOS!$F$6:$F$55,K269))</f>
      </c>
      <c r="T269" s="71">
        <f>IF(B269="","",R269*Litros_Puerto_Viaje)</f>
      </c>
      <c r="U269" s="71">
        <f>IF(B269="","",IF(ENTRADA!$K269="",T269,ENTRADA!$K269))</f>
      </c>
      <c r="V269" s="37">
        <f>IF(B269="","",U269*INDEX(PRECIOS!$E$6:$E$55,K269))</f>
      </c>
      <c r="W269" s="37">
        <f>IF(B269="","",IF(ENTRADA!$L269="",R269*INDEX(PRECIOS!$G$6:$G$55,K269),ENTRADA!$L269))</f>
      </c>
      <c r="X269" s="37">
        <f>IF(B269="","",R269*Km_Puerto_Viaje*INDEX(PRECIOS!$N$6:$N$55,K269))</f>
      </c>
      <c r="Y269" s="70">
        <f>IF(B269="","",S269+V269+W269+X269)</f>
      </c>
      <c r="Z269" s="71">
        <f>IF(B269="","",IF(J269=0,0,ROUNDUP(J269/Rend_Desagrupe,0)))</f>
      </c>
      <c r="AA269" s="71">
        <f>IF(B269="","",IF(ENTRADA!$M269="",Z269,ENTRADA!$M269))</f>
      </c>
      <c r="AB269" s="37">
        <f>IF(B269="","",AA269*INDEX(PRECIOS!$H$6:$H$55,K269))</f>
      </c>
      <c r="AC269" s="37">
        <f>IF(B269="","",IF(E269="ENCI",INDEX(PRECIOS!$J$6:$J$55,K269),IF(E269="A.V",INDEX(PRECIOS!$K$6:$K$55,K269),0)))</f>
      </c>
      <c r="AD269" s="37">
        <f>IF(B269="","",N(ENTRADA!$N269))</f>
      </c>
      <c r="AE269" s="70">
        <f>IF(B269="","",AB269+AC269+AD269)</f>
      </c>
      <c r="AF269" s="71">
        <f>IF(B269="","",IF(G269=0,0,ROUNDUP(G269/Cap_Camion_OCC,0)))</f>
      </c>
      <c r="AG269" s="71">
        <f>IF(B269="","",AF269*L_Dist_OCC)</f>
      </c>
      <c r="AH269" s="71">
        <f>IF(B269="","",IF(ENTRADA!$O269="",AG269,ENTRADA!$O269))</f>
      </c>
      <c r="AI269" s="37">
        <f>IF(B269="","",AH269*INDEX(PRECIOS!$E$6:$E$55,K269))</f>
      </c>
      <c r="AJ269" s="71">
        <f>IF(B269="","",IF(H269=0,0,ROUNDUP(H269/Cap_Camion_CEN,0)))</f>
      </c>
      <c r="AK269" s="71">
        <f>IF(B269="","",AJ269*L_Tras_CEN)</f>
      </c>
      <c r="AL269" s="71">
        <f>IF(B269="","",IF(ENTRADA!$P269="",AK269,ENTRADA!$P269))</f>
      </c>
      <c r="AM269" s="71">
        <f>IF(B269="","",AJ269*L_Dist_CEN)</f>
      </c>
      <c r="AN269" s="71">
        <f>IF(B269="","",IF(ENTRADA!$Q269="",AM269,ENTRADA!$Q269))</f>
      </c>
      <c r="AO269" s="37">
        <f>IF(B269="","",(AL269+AN269)*INDEX(PRECIOS!$E$6:$E$55,K269))</f>
      </c>
      <c r="AP269" s="71">
        <f>IF(B269="","",IF(H269=0,0,ROUNDUP(H269/Rend_Desagrupe_CT,0)))</f>
      </c>
      <c r="AQ269" s="71">
        <f>IF(B269="","",IF(ENTRADA!$R269="",AP269,ENTRADA!$R269))</f>
      </c>
      <c r="AR269" s="37">
        <f>IF(B269="","",AQ269*INDEX(PRECIOS!$I$6:$I$55,K269))</f>
      </c>
      <c r="AS269" s="37">
        <f>IF(B269="","",AO269+AR269)</f>
      </c>
      <c r="AT269" s="71">
        <f>IF(B269="","",IF(I269=0,0,ROUNDUP(I269/Cap_Camion_ORI,0)))</f>
      </c>
      <c r="AU269" s="71">
        <f>IF(B269="","",AT269*L_Tras_ORI)</f>
      </c>
      <c r="AV269" s="71">
        <f>IF(B269="","",IF(ENTRADA!$S269="",AU269,ENTRADA!$S269))</f>
      </c>
      <c r="AW269" s="71">
        <f>IF(B269="","",AT269*L_Dist_ORI)</f>
      </c>
      <c r="AX269" s="71">
        <f>IF(B269="","",IF(ENTRADA!$T269="",AW269,ENTRADA!$T269))</f>
      </c>
      <c r="AY269" s="37">
        <f>IF(B269="","",(AV269+AX269)*INDEX(PRECIOS!$E$6:$E$55,K269))</f>
      </c>
      <c r="AZ269" s="71">
        <f>IF(B269="","",IF(I269=0,0,ROUNDUP(I269/Rend_Desagrupe_CT,0)))</f>
      </c>
      <c r="BA269" s="71">
        <f>IF(B269="","",IF(ENTRADA!$U269="",AZ269,ENTRADA!$U269))</f>
      </c>
      <c r="BB269" s="37">
        <f>IF(B269="","",BA269*INDEX(PRECIOS!$I$6:$I$55,K269))</f>
      </c>
      <c r="BC269" s="37">
        <f>IF(B269="","",AY269+BB269)</f>
      </c>
      <c r="BD269" s="70">
        <f>IF(B269="","",AI269+AS269+BC269)</f>
      </c>
      <c r="BE269" s="37">
        <f>IF(B269="","",IF(Base_Comision="% DEL INGRESO",M269*INDEX(PRECIOS!$L$6:$L$55,K269),G269*INDEX(PRECIOS!$M$6:$M$55,K269)))</f>
      </c>
      <c r="BF269" s="37">
        <f>IF(B269="","",IF(Base_Comision="% DEL INGRESO",N269*INDEX(PRECIOS!$L$6:$L$55,K269),H269*INDEX(PRECIOS!$M$6:$M$55,K269)))</f>
      </c>
      <c r="BG269" s="37">
        <f>IF(B269="","",IF(Base_Comision="% DEL INGRESO",O269*INDEX(PRECIOS!$L$6:$L$55,K269),I269*INDEX(PRECIOS!$M$6:$M$55,K269)))</f>
      </c>
      <c r="BH269" s="70">
        <f>IF(B269="","",BE269+BF269+BG269)</f>
      </c>
      <c r="BI269" s="37">
        <f>IF(B269="","",Q269*Pct_Reclamaciones)</f>
      </c>
      <c r="BJ269" s="37">
        <f>IF(B269="","",Q269*Pct_Banco)</f>
      </c>
      <c r="BK269" s="37">
        <f>IF(B269="","",N(ENTRADA!$V269))</f>
      </c>
      <c r="BL269" s="70">
        <f>IF(B269="","",Y269+AE269+BD269+BH269+BI269+BJ269+BK269)</f>
      </c>
      <c r="BM269" s="70">
        <f>IF(B269="","",Q269-BL269)</f>
      </c>
      <c r="BN269" s="72">
        <f>IF(B269="","",IF(Q269=0,0,BM269/Q269))</f>
      </c>
      <c r="BO269" s="73">
        <f>IF(B269="","",IF(J269=0,0,BM269/J269))</f>
      </c>
      <c r="BP269" s="60">
        <f>IF(B269="","",IFERROR(MATCH(D269,COSTOS_FIJOS!$G$5:$AD$5,0),0))</f>
      </c>
      <c r="BQ269" s="60">
        <f>IF(B269="","",COUNTIFS($D$6:$D$305,D269))</f>
      </c>
      <c r="BR269" s="67">
        <f>IF(B269="","",SUMIFS($J$6:$J$305,$D$6:$D$305,D269))</f>
      </c>
      <c r="BS269" s="72">
        <f>IF(B269="","",IF(Metodo_Prorrateo="KG",IF(BR269=0,0,J269/BR269),1/BQ269))</f>
      </c>
      <c r="BT269" s="37">
        <f>IF(B269="","",IF(BP269=0,0,INDEX(COSTOS_FIJOS!$G$38:$AD$38,BP269))*BS269)</f>
      </c>
      <c r="BU269" s="72">
        <f>IF(B269="","",IF(Metodo_Prorrateo="KG",IF(SUMIFS($G$6:$G$305,$D$6:$D$305,D269)=0,0,G269/SUMIFS($G$6:$G$305,$D$6:$D$305,D269)),IF(G269&gt;0,1/COUNTIFS($D$6:$D$305,D269,$G$6:$G$305,"&gt;0"),0)))</f>
      </c>
      <c r="BV269" s="37">
        <f>IF(B269="","",IF(BP269=0,0,INDEX(COSTOS_FIJOS!$G$39:$AD$39,BP269))*BU269)</f>
      </c>
      <c r="BW269" s="72">
        <f>IF(B269="","",IF(Metodo_Prorrateo="KG",IF(SUMIFS($H$6:$H$305,$D$6:$D$305,D269)=0,0,H269/SUMIFS($H$6:$H$305,$D$6:$D$305,D269)),IF(H269&gt;0,1/COUNTIFS($D$6:$D$305,D269,$H$6:$H$305,"&gt;0"),0)))</f>
      </c>
      <c r="BX269" s="37">
        <f>IF(B269="","",IF(BP269=0,0,INDEX(COSTOS_FIJOS!$G$40:$AD$40,BP269))*BW269)</f>
      </c>
      <c r="BY269" s="72">
        <f>IF(B269="","",IF(Metodo_Prorrateo="KG",IF(SUMIFS($I$6:$I$305,$D$6:$D$305,D269)=0,0,I269/SUMIFS($I$6:$I$305,$D$6:$D$305,D269)),IF(I269&gt;0,1/COUNTIFS($D$6:$D$305,D269,$I$6:$I$305,"&gt;0"),0)))</f>
      </c>
      <c r="BZ269" s="37">
        <f>IF(B269="","",IF(BP269=0,0,INDEX(COSTOS_FIJOS!$G$41:$AD$41,BP269))*BY269)</f>
      </c>
      <c r="CA269" s="70">
        <f>IF(B269="","",BT269+BV269+BX269+BZ269)</f>
      </c>
      <c r="CB269" s="37">
        <f>IF(B269="","",Q269*Imp_Ventas_Serv)</f>
      </c>
      <c r="CC269" s="37">
        <f>IF(B269="","",Q269*Contrib_Territorial)</f>
      </c>
      <c r="CD269" s="70">
        <f>IF(B269="","",BM269-CA269-CB269-CC269)</f>
      </c>
      <c r="CE269" s="37">
        <f>IF(B269="","",MAX(0,CD269)*Imp_Utilidades)</f>
      </c>
      <c r="CF269" s="70">
        <f>IF(B269="","",CD269-CE269)</f>
      </c>
      <c r="CG269" s="72">
        <f>IF(B269="","",IF(Q269=0,0,CF269/Q269))</f>
      </c>
      <c r="CH269" s="73">
        <f>IF(B269="","",IF(J269=0,0,(BL269+CA269+CB269+CC269)/J269))</f>
      </c>
      <c r="CI269" s="73">
        <f>IF(B269="","",IF(J269=0,0,Q269/J269))</f>
      </c>
      <c r="CJ269" s="73">
        <f>IF(B269="","",IF(J269=0,0,CD269/J269))</f>
      </c>
      <c r="CK269" s="37">
        <f>IF(B269="","",Y269+AE269+BK269+BT269)</f>
      </c>
      <c r="CL269" s="37">
        <f>IF(B269="","",IF(J269=0,0,(M269+P269*G269/J269)*(1-Pct_Reclamaciones-Pct_Banco-Imp_Ventas_Serv-Contrib_Territorial)-AI269-BE269-BV269-CK269*G269/J269))</f>
      </c>
      <c r="CM269" s="37">
        <f>IF(B269="","",IF(J269=0,0,(N269+P269*H269/J269)*(1-Pct_Reclamaciones-Pct_Banco-Imp_Ventas_Serv-Contrib_Territorial)-AS269-BF269-BX269-CK269*H269/J269))</f>
      </c>
      <c r="CN269" s="37">
        <f>IF(B269="","",IF(J269=0,0,(O269+P269*I269/J269)*(1-Pct_Reclamaciones-Pct_Banco-Imp_Ventas_Serv-Contrib_Territorial)-BC269-BG269-BZ269-CK269*I269/J269))</f>
      </c>
      <c r="CO269" s="37">
        <f>IF(B269="","",IF(J269=0,0,ROUND(CD269-CL269-CM269-CN269,4)))</f>
      </c>
      <c r="CP269" s="71">
        <f>IF(B269="","",T269+AG269+AK269+AM269+AU269+AW269)</f>
      </c>
      <c r="CQ269" s="71">
        <f>IF(B269="","",U269+AH269+AL269+AN269+AV269+AX269)</f>
      </c>
      <c r="CR269" s="72">
        <f>IF(B269="","",IF(CP269=0,0,CQ269/CP269-1))</f>
      </c>
      <c r="CS269" s="60">
        <f>IF(B269="","",IF(ENTRADA!$Y269="","",ENTRADA!$Y269-C269))</f>
      </c>
      <c r="CT269" s="66">
        <f>IF(B269="","",IF(ENTRADA!$C269="","Falta fecha. ","")&amp;IF(BP269=0,"Mes fuera del rango de COSTOS_FIJOS. ","")&amp;IF(J269=0,"Sin kg. ","")&amp;IF(E269="","Falta transitaria. ","")&amp;IF(AND(T269&gt;0,U269/T269-1&gt;Tolerancia_Comb),"Combustible al puerto "&amp;TEXT(U269/T269-1,"+0%")&amp;" sobre norma. ","")&amp;IF(AND(AG269&gt;0,AH269/AG269-1&gt;Tolerancia_Comb),"Combustible distribución Occidente "&amp;TEXT(AH269/AG269-1,"+0%")&amp;" sobre norma. ","")&amp;IF(AND(AK269&gt;0,AL269/AK269-1&gt;Tolerancia_Comb),"Combustible traslado Centro "&amp;TEXT(AL269/AK269-1,"+0%")&amp;" sobre norma. ","")&amp;IF(AND(AM269&gt;0,AN269/AM269-1&gt;Tolerancia_Comb),"Combustible distribución Centro "&amp;TEXT(AN269/AM269-1,"+0%")&amp;" sobre norma. ","")&amp;IF(AND(AU269&gt;0,AV269/AU269-1&gt;Tolerancia_Comb),"Combustible traslado Oriente "&amp;TEXT(AV269/AU269-1,"+0%")&amp;" sobre norma. ","")&amp;IF(AND(AW269&gt;0,AX269/AW269-1&gt;Tolerancia_Comb),"Combustible distribución Oriente "&amp;TEXT(AX269/AW269-1,"+0%")&amp;" sobre norma. ","")&amp;IF(AND(ENTRADA!$C269&lt;&gt;"",C269&lt;PRECIOS!$A$6),"Fecha anterior a la 1ª vigencia de precios. ","")&amp;IF(CD269&lt;0,"Contenedor con pérdida. ",""))</f>
      </c>
    </row>
    <row r="270">
      <c r="A270" s="60">
        <f>IF(B270="","",ROW()-5)</f>
      </c>
      <c r="B270" s="63">
        <f>IF(ENTRADA!$B270="","",ENTRADA!$B270)</f>
      </c>
      <c r="C270" s="64">
        <f>IF(B270="","",ENTRADA!$C270)</f>
      </c>
      <c r="D270" s="65">
        <f>IF(B270="","",DATE(YEAR(C270),MONTH(C270),1))</f>
      </c>
      <c r="E270" s="66">
        <f>IF(B270="","",ENTRADA!$D270&amp;"")</f>
      </c>
      <c r="F270" s="66">
        <f>IF(B270="","",ENTRADA!$Z270&amp;"")</f>
      </c>
      <c r="G270" s="67">
        <f>IF(B270="","",N(ENTRADA!$G270))</f>
      </c>
      <c r="H270" s="67">
        <f>IF(B270="","",N(ENTRADA!$H270))</f>
      </c>
      <c r="I270" s="67">
        <f>IF(B270="","",N(ENTRADA!$I270))</f>
      </c>
      <c r="J270" s="68">
        <f>IF(B270="","",G270+H270+I270)</f>
      </c>
      <c r="K270" s="60">
        <f>IF(B270="","",IFERROR(MATCH(SUMPRODUCT(MAX((PRECIOS!$A$6:$A$55&lt;=C270)*PRECIOS!$A$6:$A$55)),PRECIOS!$A$6:$A$55,0),1))</f>
      </c>
      <c r="L270" s="69">
        <f>IF(B270="","",INDEX(PRECIOS!$A$6:$A$55,K270))</f>
      </c>
      <c r="M270" s="37">
        <f>IF(B270="","",G270*INDEX(PRECIOS!$B$6:$B$55,K270))</f>
      </c>
      <c r="N270" s="37">
        <f>IF(B270="","",H270*INDEX(PRECIOS!$C$6:$C$55,K270))</f>
      </c>
      <c r="O270" s="37">
        <f>IF(B270="","",I270*INDEX(PRECIOS!$D$6:$D$55,K270))</f>
      </c>
      <c r="P270" s="37">
        <f>IF(B270="","",N(ENTRADA!$X270))</f>
      </c>
      <c r="Q270" s="70">
        <f>IF(B270="","",M270+N270+O270+P270)</f>
      </c>
      <c r="R270" s="71">
        <f>IF(B270="","",IF(ENTRADA!$J270="",Std_Viajes_Puerto,ENTRADA!$J270))</f>
      </c>
      <c r="S270" s="37">
        <f>IF(B270="","",R270*INDEX(PRECIOS!$F$6:$F$55,K270))</f>
      </c>
      <c r="T270" s="71">
        <f>IF(B270="","",R270*Litros_Puerto_Viaje)</f>
      </c>
      <c r="U270" s="71">
        <f>IF(B270="","",IF(ENTRADA!$K270="",T270,ENTRADA!$K270))</f>
      </c>
      <c r="V270" s="37">
        <f>IF(B270="","",U270*INDEX(PRECIOS!$E$6:$E$55,K270))</f>
      </c>
      <c r="W270" s="37">
        <f>IF(B270="","",IF(ENTRADA!$L270="",R270*INDEX(PRECIOS!$G$6:$G$55,K270),ENTRADA!$L270))</f>
      </c>
      <c r="X270" s="37">
        <f>IF(B270="","",R270*Km_Puerto_Viaje*INDEX(PRECIOS!$N$6:$N$55,K270))</f>
      </c>
      <c r="Y270" s="70">
        <f>IF(B270="","",S270+V270+W270+X270)</f>
      </c>
      <c r="Z270" s="71">
        <f>IF(B270="","",IF(J270=0,0,ROUNDUP(J270/Rend_Desagrupe,0)))</f>
      </c>
      <c r="AA270" s="71">
        <f>IF(B270="","",IF(ENTRADA!$M270="",Z270,ENTRADA!$M270))</f>
      </c>
      <c r="AB270" s="37">
        <f>IF(B270="","",AA270*INDEX(PRECIOS!$H$6:$H$55,K270))</f>
      </c>
      <c r="AC270" s="37">
        <f>IF(B270="","",IF(E270="ENCI",INDEX(PRECIOS!$J$6:$J$55,K270),IF(E270="A.V",INDEX(PRECIOS!$K$6:$K$55,K270),0)))</f>
      </c>
      <c r="AD270" s="37">
        <f>IF(B270="","",N(ENTRADA!$N270))</f>
      </c>
      <c r="AE270" s="70">
        <f>IF(B270="","",AB270+AC270+AD270)</f>
      </c>
      <c r="AF270" s="71">
        <f>IF(B270="","",IF(G270=0,0,ROUNDUP(G270/Cap_Camion_OCC,0)))</f>
      </c>
      <c r="AG270" s="71">
        <f>IF(B270="","",AF270*L_Dist_OCC)</f>
      </c>
      <c r="AH270" s="71">
        <f>IF(B270="","",IF(ENTRADA!$O270="",AG270,ENTRADA!$O270))</f>
      </c>
      <c r="AI270" s="37">
        <f>IF(B270="","",AH270*INDEX(PRECIOS!$E$6:$E$55,K270))</f>
      </c>
      <c r="AJ270" s="71">
        <f>IF(B270="","",IF(H270=0,0,ROUNDUP(H270/Cap_Camion_CEN,0)))</f>
      </c>
      <c r="AK270" s="71">
        <f>IF(B270="","",AJ270*L_Tras_CEN)</f>
      </c>
      <c r="AL270" s="71">
        <f>IF(B270="","",IF(ENTRADA!$P270="",AK270,ENTRADA!$P270))</f>
      </c>
      <c r="AM270" s="71">
        <f>IF(B270="","",AJ270*L_Dist_CEN)</f>
      </c>
      <c r="AN270" s="71">
        <f>IF(B270="","",IF(ENTRADA!$Q270="",AM270,ENTRADA!$Q270))</f>
      </c>
      <c r="AO270" s="37">
        <f>IF(B270="","",(AL270+AN270)*INDEX(PRECIOS!$E$6:$E$55,K270))</f>
      </c>
      <c r="AP270" s="71">
        <f>IF(B270="","",IF(H270=0,0,ROUNDUP(H270/Rend_Desagrupe_CT,0)))</f>
      </c>
      <c r="AQ270" s="71">
        <f>IF(B270="","",IF(ENTRADA!$R270="",AP270,ENTRADA!$R270))</f>
      </c>
      <c r="AR270" s="37">
        <f>IF(B270="","",AQ270*INDEX(PRECIOS!$I$6:$I$55,K270))</f>
      </c>
      <c r="AS270" s="37">
        <f>IF(B270="","",AO270+AR270)</f>
      </c>
      <c r="AT270" s="71">
        <f>IF(B270="","",IF(I270=0,0,ROUNDUP(I270/Cap_Camion_ORI,0)))</f>
      </c>
      <c r="AU270" s="71">
        <f>IF(B270="","",AT270*L_Tras_ORI)</f>
      </c>
      <c r="AV270" s="71">
        <f>IF(B270="","",IF(ENTRADA!$S270="",AU270,ENTRADA!$S270))</f>
      </c>
      <c r="AW270" s="71">
        <f>IF(B270="","",AT270*L_Dist_ORI)</f>
      </c>
      <c r="AX270" s="71">
        <f>IF(B270="","",IF(ENTRADA!$T270="",AW270,ENTRADA!$T270))</f>
      </c>
      <c r="AY270" s="37">
        <f>IF(B270="","",(AV270+AX270)*INDEX(PRECIOS!$E$6:$E$55,K270))</f>
      </c>
      <c r="AZ270" s="71">
        <f>IF(B270="","",IF(I270=0,0,ROUNDUP(I270/Rend_Desagrupe_CT,0)))</f>
      </c>
      <c r="BA270" s="71">
        <f>IF(B270="","",IF(ENTRADA!$U270="",AZ270,ENTRADA!$U270))</f>
      </c>
      <c r="BB270" s="37">
        <f>IF(B270="","",BA270*INDEX(PRECIOS!$I$6:$I$55,K270))</f>
      </c>
      <c r="BC270" s="37">
        <f>IF(B270="","",AY270+BB270)</f>
      </c>
      <c r="BD270" s="70">
        <f>IF(B270="","",AI270+AS270+BC270)</f>
      </c>
      <c r="BE270" s="37">
        <f>IF(B270="","",IF(Base_Comision="% DEL INGRESO",M270*INDEX(PRECIOS!$L$6:$L$55,K270),G270*INDEX(PRECIOS!$M$6:$M$55,K270)))</f>
      </c>
      <c r="BF270" s="37">
        <f>IF(B270="","",IF(Base_Comision="% DEL INGRESO",N270*INDEX(PRECIOS!$L$6:$L$55,K270),H270*INDEX(PRECIOS!$M$6:$M$55,K270)))</f>
      </c>
      <c r="BG270" s="37">
        <f>IF(B270="","",IF(Base_Comision="% DEL INGRESO",O270*INDEX(PRECIOS!$L$6:$L$55,K270),I270*INDEX(PRECIOS!$M$6:$M$55,K270)))</f>
      </c>
      <c r="BH270" s="70">
        <f>IF(B270="","",BE270+BF270+BG270)</f>
      </c>
      <c r="BI270" s="37">
        <f>IF(B270="","",Q270*Pct_Reclamaciones)</f>
      </c>
      <c r="BJ270" s="37">
        <f>IF(B270="","",Q270*Pct_Banco)</f>
      </c>
      <c r="BK270" s="37">
        <f>IF(B270="","",N(ENTRADA!$V270))</f>
      </c>
      <c r="BL270" s="70">
        <f>IF(B270="","",Y270+AE270+BD270+BH270+BI270+BJ270+BK270)</f>
      </c>
      <c r="BM270" s="70">
        <f>IF(B270="","",Q270-BL270)</f>
      </c>
      <c r="BN270" s="72">
        <f>IF(B270="","",IF(Q270=0,0,BM270/Q270))</f>
      </c>
      <c r="BO270" s="73">
        <f>IF(B270="","",IF(J270=0,0,BM270/J270))</f>
      </c>
      <c r="BP270" s="60">
        <f>IF(B270="","",IFERROR(MATCH(D270,COSTOS_FIJOS!$G$5:$AD$5,0),0))</f>
      </c>
      <c r="BQ270" s="60">
        <f>IF(B270="","",COUNTIFS($D$6:$D$305,D270))</f>
      </c>
      <c r="BR270" s="67">
        <f>IF(B270="","",SUMIFS($J$6:$J$305,$D$6:$D$305,D270))</f>
      </c>
      <c r="BS270" s="72">
        <f>IF(B270="","",IF(Metodo_Prorrateo="KG",IF(BR270=0,0,J270/BR270),1/BQ270))</f>
      </c>
      <c r="BT270" s="37">
        <f>IF(B270="","",IF(BP270=0,0,INDEX(COSTOS_FIJOS!$G$38:$AD$38,BP270))*BS270)</f>
      </c>
      <c r="BU270" s="72">
        <f>IF(B270="","",IF(Metodo_Prorrateo="KG",IF(SUMIFS($G$6:$G$305,$D$6:$D$305,D270)=0,0,G270/SUMIFS($G$6:$G$305,$D$6:$D$305,D270)),IF(G270&gt;0,1/COUNTIFS($D$6:$D$305,D270,$G$6:$G$305,"&gt;0"),0)))</f>
      </c>
      <c r="BV270" s="37">
        <f>IF(B270="","",IF(BP270=0,0,INDEX(COSTOS_FIJOS!$G$39:$AD$39,BP270))*BU270)</f>
      </c>
      <c r="BW270" s="72">
        <f>IF(B270="","",IF(Metodo_Prorrateo="KG",IF(SUMIFS($H$6:$H$305,$D$6:$D$305,D270)=0,0,H270/SUMIFS($H$6:$H$305,$D$6:$D$305,D270)),IF(H270&gt;0,1/COUNTIFS($D$6:$D$305,D270,$H$6:$H$305,"&gt;0"),0)))</f>
      </c>
      <c r="BX270" s="37">
        <f>IF(B270="","",IF(BP270=0,0,INDEX(COSTOS_FIJOS!$G$40:$AD$40,BP270))*BW270)</f>
      </c>
      <c r="BY270" s="72">
        <f>IF(B270="","",IF(Metodo_Prorrateo="KG",IF(SUMIFS($I$6:$I$305,$D$6:$D$305,D270)=0,0,I270/SUMIFS($I$6:$I$305,$D$6:$D$305,D270)),IF(I270&gt;0,1/COUNTIFS($D$6:$D$305,D270,$I$6:$I$305,"&gt;0"),0)))</f>
      </c>
      <c r="BZ270" s="37">
        <f>IF(B270="","",IF(BP270=0,0,INDEX(COSTOS_FIJOS!$G$41:$AD$41,BP270))*BY270)</f>
      </c>
      <c r="CA270" s="70">
        <f>IF(B270="","",BT270+BV270+BX270+BZ270)</f>
      </c>
      <c r="CB270" s="37">
        <f>IF(B270="","",Q270*Imp_Ventas_Serv)</f>
      </c>
      <c r="CC270" s="37">
        <f>IF(B270="","",Q270*Contrib_Territorial)</f>
      </c>
      <c r="CD270" s="70">
        <f>IF(B270="","",BM270-CA270-CB270-CC270)</f>
      </c>
      <c r="CE270" s="37">
        <f>IF(B270="","",MAX(0,CD270)*Imp_Utilidades)</f>
      </c>
      <c r="CF270" s="70">
        <f>IF(B270="","",CD270-CE270)</f>
      </c>
      <c r="CG270" s="72">
        <f>IF(B270="","",IF(Q270=0,0,CF270/Q270))</f>
      </c>
      <c r="CH270" s="73">
        <f>IF(B270="","",IF(J270=0,0,(BL270+CA270+CB270+CC270)/J270))</f>
      </c>
      <c r="CI270" s="73">
        <f>IF(B270="","",IF(J270=0,0,Q270/J270))</f>
      </c>
      <c r="CJ270" s="73">
        <f>IF(B270="","",IF(J270=0,0,CD270/J270))</f>
      </c>
      <c r="CK270" s="37">
        <f>IF(B270="","",Y270+AE270+BK270+BT270)</f>
      </c>
      <c r="CL270" s="37">
        <f>IF(B270="","",IF(J270=0,0,(M270+P270*G270/J270)*(1-Pct_Reclamaciones-Pct_Banco-Imp_Ventas_Serv-Contrib_Territorial)-AI270-BE270-BV270-CK270*G270/J270))</f>
      </c>
      <c r="CM270" s="37">
        <f>IF(B270="","",IF(J270=0,0,(N270+P270*H270/J270)*(1-Pct_Reclamaciones-Pct_Banco-Imp_Ventas_Serv-Contrib_Territorial)-AS270-BF270-BX270-CK270*H270/J270))</f>
      </c>
      <c r="CN270" s="37">
        <f>IF(B270="","",IF(J270=0,0,(O270+P270*I270/J270)*(1-Pct_Reclamaciones-Pct_Banco-Imp_Ventas_Serv-Contrib_Territorial)-BC270-BG270-BZ270-CK270*I270/J270))</f>
      </c>
      <c r="CO270" s="37">
        <f>IF(B270="","",IF(J270=0,0,ROUND(CD270-CL270-CM270-CN270,4)))</f>
      </c>
      <c r="CP270" s="71">
        <f>IF(B270="","",T270+AG270+AK270+AM270+AU270+AW270)</f>
      </c>
      <c r="CQ270" s="71">
        <f>IF(B270="","",U270+AH270+AL270+AN270+AV270+AX270)</f>
      </c>
      <c r="CR270" s="72">
        <f>IF(B270="","",IF(CP270=0,0,CQ270/CP270-1))</f>
      </c>
      <c r="CS270" s="60">
        <f>IF(B270="","",IF(ENTRADA!$Y270="","",ENTRADA!$Y270-C270))</f>
      </c>
      <c r="CT270" s="66">
        <f>IF(B270="","",IF(ENTRADA!$C270="","Falta fecha. ","")&amp;IF(BP270=0,"Mes fuera del rango de COSTOS_FIJOS. ","")&amp;IF(J270=0,"Sin kg. ","")&amp;IF(E270="","Falta transitaria. ","")&amp;IF(AND(T270&gt;0,U270/T270-1&gt;Tolerancia_Comb),"Combustible al puerto "&amp;TEXT(U270/T270-1,"+0%")&amp;" sobre norma. ","")&amp;IF(AND(AG270&gt;0,AH270/AG270-1&gt;Tolerancia_Comb),"Combustible distribución Occidente "&amp;TEXT(AH270/AG270-1,"+0%")&amp;" sobre norma. ","")&amp;IF(AND(AK270&gt;0,AL270/AK270-1&gt;Tolerancia_Comb),"Combustible traslado Centro "&amp;TEXT(AL270/AK270-1,"+0%")&amp;" sobre norma. ","")&amp;IF(AND(AM270&gt;0,AN270/AM270-1&gt;Tolerancia_Comb),"Combustible distribución Centro "&amp;TEXT(AN270/AM270-1,"+0%")&amp;" sobre norma. ","")&amp;IF(AND(AU270&gt;0,AV270/AU270-1&gt;Tolerancia_Comb),"Combustible traslado Oriente "&amp;TEXT(AV270/AU270-1,"+0%")&amp;" sobre norma. ","")&amp;IF(AND(AW270&gt;0,AX270/AW270-1&gt;Tolerancia_Comb),"Combustible distribución Oriente "&amp;TEXT(AX270/AW270-1,"+0%")&amp;" sobre norma. ","")&amp;IF(AND(ENTRADA!$C270&lt;&gt;"",C270&lt;PRECIOS!$A$6),"Fecha anterior a la 1ª vigencia de precios. ","")&amp;IF(CD270&lt;0,"Contenedor con pérdida. ",""))</f>
      </c>
    </row>
    <row r="271">
      <c r="A271" s="60">
        <f>IF(B271="","",ROW()-5)</f>
      </c>
      <c r="B271" s="63">
        <f>IF(ENTRADA!$B271="","",ENTRADA!$B271)</f>
      </c>
      <c r="C271" s="64">
        <f>IF(B271="","",ENTRADA!$C271)</f>
      </c>
      <c r="D271" s="65">
        <f>IF(B271="","",DATE(YEAR(C271),MONTH(C271),1))</f>
      </c>
      <c r="E271" s="66">
        <f>IF(B271="","",ENTRADA!$D271&amp;"")</f>
      </c>
      <c r="F271" s="66">
        <f>IF(B271="","",ENTRADA!$Z271&amp;"")</f>
      </c>
      <c r="G271" s="67">
        <f>IF(B271="","",N(ENTRADA!$G271))</f>
      </c>
      <c r="H271" s="67">
        <f>IF(B271="","",N(ENTRADA!$H271))</f>
      </c>
      <c r="I271" s="67">
        <f>IF(B271="","",N(ENTRADA!$I271))</f>
      </c>
      <c r="J271" s="68">
        <f>IF(B271="","",G271+H271+I271)</f>
      </c>
      <c r="K271" s="60">
        <f>IF(B271="","",IFERROR(MATCH(SUMPRODUCT(MAX((PRECIOS!$A$6:$A$55&lt;=C271)*PRECIOS!$A$6:$A$55)),PRECIOS!$A$6:$A$55,0),1))</f>
      </c>
      <c r="L271" s="69">
        <f>IF(B271="","",INDEX(PRECIOS!$A$6:$A$55,K271))</f>
      </c>
      <c r="M271" s="37">
        <f>IF(B271="","",G271*INDEX(PRECIOS!$B$6:$B$55,K271))</f>
      </c>
      <c r="N271" s="37">
        <f>IF(B271="","",H271*INDEX(PRECIOS!$C$6:$C$55,K271))</f>
      </c>
      <c r="O271" s="37">
        <f>IF(B271="","",I271*INDEX(PRECIOS!$D$6:$D$55,K271))</f>
      </c>
      <c r="P271" s="37">
        <f>IF(B271="","",N(ENTRADA!$X271))</f>
      </c>
      <c r="Q271" s="70">
        <f>IF(B271="","",M271+N271+O271+P271)</f>
      </c>
      <c r="R271" s="71">
        <f>IF(B271="","",IF(ENTRADA!$J271="",Std_Viajes_Puerto,ENTRADA!$J271))</f>
      </c>
      <c r="S271" s="37">
        <f>IF(B271="","",R271*INDEX(PRECIOS!$F$6:$F$55,K271))</f>
      </c>
      <c r="T271" s="71">
        <f>IF(B271="","",R271*Litros_Puerto_Viaje)</f>
      </c>
      <c r="U271" s="71">
        <f>IF(B271="","",IF(ENTRADA!$K271="",T271,ENTRADA!$K271))</f>
      </c>
      <c r="V271" s="37">
        <f>IF(B271="","",U271*INDEX(PRECIOS!$E$6:$E$55,K271))</f>
      </c>
      <c r="W271" s="37">
        <f>IF(B271="","",IF(ENTRADA!$L271="",R271*INDEX(PRECIOS!$G$6:$G$55,K271),ENTRADA!$L271))</f>
      </c>
      <c r="X271" s="37">
        <f>IF(B271="","",R271*Km_Puerto_Viaje*INDEX(PRECIOS!$N$6:$N$55,K271))</f>
      </c>
      <c r="Y271" s="70">
        <f>IF(B271="","",S271+V271+W271+X271)</f>
      </c>
      <c r="Z271" s="71">
        <f>IF(B271="","",IF(J271=0,0,ROUNDUP(J271/Rend_Desagrupe,0)))</f>
      </c>
      <c r="AA271" s="71">
        <f>IF(B271="","",IF(ENTRADA!$M271="",Z271,ENTRADA!$M271))</f>
      </c>
      <c r="AB271" s="37">
        <f>IF(B271="","",AA271*INDEX(PRECIOS!$H$6:$H$55,K271))</f>
      </c>
      <c r="AC271" s="37">
        <f>IF(B271="","",IF(E271="ENCI",INDEX(PRECIOS!$J$6:$J$55,K271),IF(E271="A.V",INDEX(PRECIOS!$K$6:$K$55,K271),0)))</f>
      </c>
      <c r="AD271" s="37">
        <f>IF(B271="","",N(ENTRADA!$N271))</f>
      </c>
      <c r="AE271" s="70">
        <f>IF(B271="","",AB271+AC271+AD271)</f>
      </c>
      <c r="AF271" s="71">
        <f>IF(B271="","",IF(G271=0,0,ROUNDUP(G271/Cap_Camion_OCC,0)))</f>
      </c>
      <c r="AG271" s="71">
        <f>IF(B271="","",AF271*L_Dist_OCC)</f>
      </c>
      <c r="AH271" s="71">
        <f>IF(B271="","",IF(ENTRADA!$O271="",AG271,ENTRADA!$O271))</f>
      </c>
      <c r="AI271" s="37">
        <f>IF(B271="","",AH271*INDEX(PRECIOS!$E$6:$E$55,K271))</f>
      </c>
      <c r="AJ271" s="71">
        <f>IF(B271="","",IF(H271=0,0,ROUNDUP(H271/Cap_Camion_CEN,0)))</f>
      </c>
      <c r="AK271" s="71">
        <f>IF(B271="","",AJ271*L_Tras_CEN)</f>
      </c>
      <c r="AL271" s="71">
        <f>IF(B271="","",IF(ENTRADA!$P271="",AK271,ENTRADA!$P271))</f>
      </c>
      <c r="AM271" s="71">
        <f>IF(B271="","",AJ271*L_Dist_CEN)</f>
      </c>
      <c r="AN271" s="71">
        <f>IF(B271="","",IF(ENTRADA!$Q271="",AM271,ENTRADA!$Q271))</f>
      </c>
      <c r="AO271" s="37">
        <f>IF(B271="","",(AL271+AN271)*INDEX(PRECIOS!$E$6:$E$55,K271))</f>
      </c>
      <c r="AP271" s="71">
        <f>IF(B271="","",IF(H271=0,0,ROUNDUP(H271/Rend_Desagrupe_CT,0)))</f>
      </c>
      <c r="AQ271" s="71">
        <f>IF(B271="","",IF(ENTRADA!$R271="",AP271,ENTRADA!$R271))</f>
      </c>
      <c r="AR271" s="37">
        <f>IF(B271="","",AQ271*INDEX(PRECIOS!$I$6:$I$55,K271))</f>
      </c>
      <c r="AS271" s="37">
        <f>IF(B271="","",AO271+AR271)</f>
      </c>
      <c r="AT271" s="71">
        <f>IF(B271="","",IF(I271=0,0,ROUNDUP(I271/Cap_Camion_ORI,0)))</f>
      </c>
      <c r="AU271" s="71">
        <f>IF(B271="","",AT271*L_Tras_ORI)</f>
      </c>
      <c r="AV271" s="71">
        <f>IF(B271="","",IF(ENTRADA!$S271="",AU271,ENTRADA!$S271))</f>
      </c>
      <c r="AW271" s="71">
        <f>IF(B271="","",AT271*L_Dist_ORI)</f>
      </c>
      <c r="AX271" s="71">
        <f>IF(B271="","",IF(ENTRADA!$T271="",AW271,ENTRADA!$T271))</f>
      </c>
      <c r="AY271" s="37">
        <f>IF(B271="","",(AV271+AX271)*INDEX(PRECIOS!$E$6:$E$55,K271))</f>
      </c>
      <c r="AZ271" s="71">
        <f>IF(B271="","",IF(I271=0,0,ROUNDUP(I271/Rend_Desagrupe_CT,0)))</f>
      </c>
      <c r="BA271" s="71">
        <f>IF(B271="","",IF(ENTRADA!$U271="",AZ271,ENTRADA!$U271))</f>
      </c>
      <c r="BB271" s="37">
        <f>IF(B271="","",BA271*INDEX(PRECIOS!$I$6:$I$55,K271))</f>
      </c>
      <c r="BC271" s="37">
        <f>IF(B271="","",AY271+BB271)</f>
      </c>
      <c r="BD271" s="70">
        <f>IF(B271="","",AI271+AS271+BC271)</f>
      </c>
      <c r="BE271" s="37">
        <f>IF(B271="","",IF(Base_Comision="% DEL INGRESO",M271*INDEX(PRECIOS!$L$6:$L$55,K271),G271*INDEX(PRECIOS!$M$6:$M$55,K271)))</f>
      </c>
      <c r="BF271" s="37">
        <f>IF(B271="","",IF(Base_Comision="% DEL INGRESO",N271*INDEX(PRECIOS!$L$6:$L$55,K271),H271*INDEX(PRECIOS!$M$6:$M$55,K271)))</f>
      </c>
      <c r="BG271" s="37">
        <f>IF(B271="","",IF(Base_Comision="% DEL INGRESO",O271*INDEX(PRECIOS!$L$6:$L$55,K271),I271*INDEX(PRECIOS!$M$6:$M$55,K271)))</f>
      </c>
      <c r="BH271" s="70">
        <f>IF(B271="","",BE271+BF271+BG271)</f>
      </c>
      <c r="BI271" s="37">
        <f>IF(B271="","",Q271*Pct_Reclamaciones)</f>
      </c>
      <c r="BJ271" s="37">
        <f>IF(B271="","",Q271*Pct_Banco)</f>
      </c>
      <c r="BK271" s="37">
        <f>IF(B271="","",N(ENTRADA!$V271))</f>
      </c>
      <c r="BL271" s="70">
        <f>IF(B271="","",Y271+AE271+BD271+BH271+BI271+BJ271+BK271)</f>
      </c>
      <c r="BM271" s="70">
        <f>IF(B271="","",Q271-BL271)</f>
      </c>
      <c r="BN271" s="72">
        <f>IF(B271="","",IF(Q271=0,0,BM271/Q271))</f>
      </c>
      <c r="BO271" s="73">
        <f>IF(B271="","",IF(J271=0,0,BM271/J271))</f>
      </c>
      <c r="BP271" s="60">
        <f>IF(B271="","",IFERROR(MATCH(D271,COSTOS_FIJOS!$G$5:$AD$5,0),0))</f>
      </c>
      <c r="BQ271" s="60">
        <f>IF(B271="","",COUNTIFS($D$6:$D$305,D271))</f>
      </c>
      <c r="BR271" s="67">
        <f>IF(B271="","",SUMIFS($J$6:$J$305,$D$6:$D$305,D271))</f>
      </c>
      <c r="BS271" s="72">
        <f>IF(B271="","",IF(Metodo_Prorrateo="KG",IF(BR271=0,0,J271/BR271),1/BQ271))</f>
      </c>
      <c r="BT271" s="37">
        <f>IF(B271="","",IF(BP271=0,0,INDEX(COSTOS_FIJOS!$G$38:$AD$38,BP271))*BS271)</f>
      </c>
      <c r="BU271" s="72">
        <f>IF(B271="","",IF(Metodo_Prorrateo="KG",IF(SUMIFS($G$6:$G$305,$D$6:$D$305,D271)=0,0,G271/SUMIFS($G$6:$G$305,$D$6:$D$305,D271)),IF(G271&gt;0,1/COUNTIFS($D$6:$D$305,D271,$G$6:$G$305,"&gt;0"),0)))</f>
      </c>
      <c r="BV271" s="37">
        <f>IF(B271="","",IF(BP271=0,0,INDEX(COSTOS_FIJOS!$G$39:$AD$39,BP271))*BU271)</f>
      </c>
      <c r="BW271" s="72">
        <f>IF(B271="","",IF(Metodo_Prorrateo="KG",IF(SUMIFS($H$6:$H$305,$D$6:$D$305,D271)=0,0,H271/SUMIFS($H$6:$H$305,$D$6:$D$305,D271)),IF(H271&gt;0,1/COUNTIFS($D$6:$D$305,D271,$H$6:$H$305,"&gt;0"),0)))</f>
      </c>
      <c r="BX271" s="37">
        <f>IF(B271="","",IF(BP271=0,0,INDEX(COSTOS_FIJOS!$G$40:$AD$40,BP271))*BW271)</f>
      </c>
      <c r="BY271" s="72">
        <f>IF(B271="","",IF(Metodo_Prorrateo="KG",IF(SUMIFS($I$6:$I$305,$D$6:$D$305,D271)=0,0,I271/SUMIFS($I$6:$I$305,$D$6:$D$305,D271)),IF(I271&gt;0,1/COUNTIFS($D$6:$D$305,D271,$I$6:$I$305,"&gt;0"),0)))</f>
      </c>
      <c r="BZ271" s="37">
        <f>IF(B271="","",IF(BP271=0,0,INDEX(COSTOS_FIJOS!$G$41:$AD$41,BP271))*BY271)</f>
      </c>
      <c r="CA271" s="70">
        <f>IF(B271="","",BT271+BV271+BX271+BZ271)</f>
      </c>
      <c r="CB271" s="37">
        <f>IF(B271="","",Q271*Imp_Ventas_Serv)</f>
      </c>
      <c r="CC271" s="37">
        <f>IF(B271="","",Q271*Contrib_Territorial)</f>
      </c>
      <c r="CD271" s="70">
        <f>IF(B271="","",BM271-CA271-CB271-CC271)</f>
      </c>
      <c r="CE271" s="37">
        <f>IF(B271="","",MAX(0,CD271)*Imp_Utilidades)</f>
      </c>
      <c r="CF271" s="70">
        <f>IF(B271="","",CD271-CE271)</f>
      </c>
      <c r="CG271" s="72">
        <f>IF(B271="","",IF(Q271=0,0,CF271/Q271))</f>
      </c>
      <c r="CH271" s="73">
        <f>IF(B271="","",IF(J271=0,0,(BL271+CA271+CB271+CC271)/J271))</f>
      </c>
      <c r="CI271" s="73">
        <f>IF(B271="","",IF(J271=0,0,Q271/J271))</f>
      </c>
      <c r="CJ271" s="73">
        <f>IF(B271="","",IF(J271=0,0,CD271/J271))</f>
      </c>
      <c r="CK271" s="37">
        <f>IF(B271="","",Y271+AE271+BK271+BT271)</f>
      </c>
      <c r="CL271" s="37">
        <f>IF(B271="","",IF(J271=0,0,(M271+P271*G271/J271)*(1-Pct_Reclamaciones-Pct_Banco-Imp_Ventas_Serv-Contrib_Territorial)-AI271-BE271-BV271-CK271*G271/J271))</f>
      </c>
      <c r="CM271" s="37">
        <f>IF(B271="","",IF(J271=0,0,(N271+P271*H271/J271)*(1-Pct_Reclamaciones-Pct_Banco-Imp_Ventas_Serv-Contrib_Territorial)-AS271-BF271-BX271-CK271*H271/J271))</f>
      </c>
      <c r="CN271" s="37">
        <f>IF(B271="","",IF(J271=0,0,(O271+P271*I271/J271)*(1-Pct_Reclamaciones-Pct_Banco-Imp_Ventas_Serv-Contrib_Territorial)-BC271-BG271-BZ271-CK271*I271/J271))</f>
      </c>
      <c r="CO271" s="37">
        <f>IF(B271="","",IF(J271=0,0,ROUND(CD271-CL271-CM271-CN271,4)))</f>
      </c>
      <c r="CP271" s="71">
        <f>IF(B271="","",T271+AG271+AK271+AM271+AU271+AW271)</f>
      </c>
      <c r="CQ271" s="71">
        <f>IF(B271="","",U271+AH271+AL271+AN271+AV271+AX271)</f>
      </c>
      <c r="CR271" s="72">
        <f>IF(B271="","",IF(CP271=0,0,CQ271/CP271-1))</f>
      </c>
      <c r="CS271" s="60">
        <f>IF(B271="","",IF(ENTRADA!$Y271="","",ENTRADA!$Y271-C271))</f>
      </c>
      <c r="CT271" s="66">
        <f>IF(B271="","",IF(ENTRADA!$C271="","Falta fecha. ","")&amp;IF(BP271=0,"Mes fuera del rango de COSTOS_FIJOS. ","")&amp;IF(J271=0,"Sin kg. ","")&amp;IF(E271="","Falta transitaria. ","")&amp;IF(AND(T271&gt;0,U271/T271-1&gt;Tolerancia_Comb),"Combustible al puerto "&amp;TEXT(U271/T271-1,"+0%")&amp;" sobre norma. ","")&amp;IF(AND(AG271&gt;0,AH271/AG271-1&gt;Tolerancia_Comb),"Combustible distribución Occidente "&amp;TEXT(AH271/AG271-1,"+0%")&amp;" sobre norma. ","")&amp;IF(AND(AK271&gt;0,AL271/AK271-1&gt;Tolerancia_Comb),"Combustible traslado Centro "&amp;TEXT(AL271/AK271-1,"+0%")&amp;" sobre norma. ","")&amp;IF(AND(AM271&gt;0,AN271/AM271-1&gt;Tolerancia_Comb),"Combustible distribución Centro "&amp;TEXT(AN271/AM271-1,"+0%")&amp;" sobre norma. ","")&amp;IF(AND(AU271&gt;0,AV271/AU271-1&gt;Tolerancia_Comb),"Combustible traslado Oriente "&amp;TEXT(AV271/AU271-1,"+0%")&amp;" sobre norma. ","")&amp;IF(AND(AW271&gt;0,AX271/AW271-1&gt;Tolerancia_Comb),"Combustible distribución Oriente "&amp;TEXT(AX271/AW271-1,"+0%")&amp;" sobre norma. ","")&amp;IF(AND(ENTRADA!$C271&lt;&gt;"",C271&lt;PRECIOS!$A$6),"Fecha anterior a la 1ª vigencia de precios. ","")&amp;IF(CD271&lt;0,"Contenedor con pérdida. ",""))</f>
      </c>
    </row>
    <row r="272">
      <c r="A272" s="60">
        <f>IF(B272="","",ROW()-5)</f>
      </c>
      <c r="B272" s="63">
        <f>IF(ENTRADA!$B272="","",ENTRADA!$B272)</f>
      </c>
      <c r="C272" s="64">
        <f>IF(B272="","",ENTRADA!$C272)</f>
      </c>
      <c r="D272" s="65">
        <f>IF(B272="","",DATE(YEAR(C272),MONTH(C272),1))</f>
      </c>
      <c r="E272" s="66">
        <f>IF(B272="","",ENTRADA!$D272&amp;"")</f>
      </c>
      <c r="F272" s="66">
        <f>IF(B272="","",ENTRADA!$Z272&amp;"")</f>
      </c>
      <c r="G272" s="67">
        <f>IF(B272="","",N(ENTRADA!$G272))</f>
      </c>
      <c r="H272" s="67">
        <f>IF(B272="","",N(ENTRADA!$H272))</f>
      </c>
      <c r="I272" s="67">
        <f>IF(B272="","",N(ENTRADA!$I272))</f>
      </c>
      <c r="J272" s="68">
        <f>IF(B272="","",G272+H272+I272)</f>
      </c>
      <c r="K272" s="60">
        <f>IF(B272="","",IFERROR(MATCH(SUMPRODUCT(MAX((PRECIOS!$A$6:$A$55&lt;=C272)*PRECIOS!$A$6:$A$55)),PRECIOS!$A$6:$A$55,0),1))</f>
      </c>
      <c r="L272" s="69">
        <f>IF(B272="","",INDEX(PRECIOS!$A$6:$A$55,K272))</f>
      </c>
      <c r="M272" s="37">
        <f>IF(B272="","",G272*INDEX(PRECIOS!$B$6:$B$55,K272))</f>
      </c>
      <c r="N272" s="37">
        <f>IF(B272="","",H272*INDEX(PRECIOS!$C$6:$C$55,K272))</f>
      </c>
      <c r="O272" s="37">
        <f>IF(B272="","",I272*INDEX(PRECIOS!$D$6:$D$55,K272))</f>
      </c>
      <c r="P272" s="37">
        <f>IF(B272="","",N(ENTRADA!$X272))</f>
      </c>
      <c r="Q272" s="70">
        <f>IF(B272="","",M272+N272+O272+P272)</f>
      </c>
      <c r="R272" s="71">
        <f>IF(B272="","",IF(ENTRADA!$J272="",Std_Viajes_Puerto,ENTRADA!$J272))</f>
      </c>
      <c r="S272" s="37">
        <f>IF(B272="","",R272*INDEX(PRECIOS!$F$6:$F$55,K272))</f>
      </c>
      <c r="T272" s="71">
        <f>IF(B272="","",R272*Litros_Puerto_Viaje)</f>
      </c>
      <c r="U272" s="71">
        <f>IF(B272="","",IF(ENTRADA!$K272="",T272,ENTRADA!$K272))</f>
      </c>
      <c r="V272" s="37">
        <f>IF(B272="","",U272*INDEX(PRECIOS!$E$6:$E$55,K272))</f>
      </c>
      <c r="W272" s="37">
        <f>IF(B272="","",IF(ENTRADA!$L272="",R272*INDEX(PRECIOS!$G$6:$G$55,K272),ENTRADA!$L272))</f>
      </c>
      <c r="X272" s="37">
        <f>IF(B272="","",R272*Km_Puerto_Viaje*INDEX(PRECIOS!$N$6:$N$55,K272))</f>
      </c>
      <c r="Y272" s="70">
        <f>IF(B272="","",S272+V272+W272+X272)</f>
      </c>
      <c r="Z272" s="71">
        <f>IF(B272="","",IF(J272=0,0,ROUNDUP(J272/Rend_Desagrupe,0)))</f>
      </c>
      <c r="AA272" s="71">
        <f>IF(B272="","",IF(ENTRADA!$M272="",Z272,ENTRADA!$M272))</f>
      </c>
      <c r="AB272" s="37">
        <f>IF(B272="","",AA272*INDEX(PRECIOS!$H$6:$H$55,K272))</f>
      </c>
      <c r="AC272" s="37">
        <f>IF(B272="","",IF(E272="ENCI",INDEX(PRECIOS!$J$6:$J$55,K272),IF(E272="A.V",INDEX(PRECIOS!$K$6:$K$55,K272),0)))</f>
      </c>
      <c r="AD272" s="37">
        <f>IF(B272="","",N(ENTRADA!$N272))</f>
      </c>
      <c r="AE272" s="70">
        <f>IF(B272="","",AB272+AC272+AD272)</f>
      </c>
      <c r="AF272" s="71">
        <f>IF(B272="","",IF(G272=0,0,ROUNDUP(G272/Cap_Camion_OCC,0)))</f>
      </c>
      <c r="AG272" s="71">
        <f>IF(B272="","",AF272*L_Dist_OCC)</f>
      </c>
      <c r="AH272" s="71">
        <f>IF(B272="","",IF(ENTRADA!$O272="",AG272,ENTRADA!$O272))</f>
      </c>
      <c r="AI272" s="37">
        <f>IF(B272="","",AH272*INDEX(PRECIOS!$E$6:$E$55,K272))</f>
      </c>
      <c r="AJ272" s="71">
        <f>IF(B272="","",IF(H272=0,0,ROUNDUP(H272/Cap_Camion_CEN,0)))</f>
      </c>
      <c r="AK272" s="71">
        <f>IF(B272="","",AJ272*L_Tras_CEN)</f>
      </c>
      <c r="AL272" s="71">
        <f>IF(B272="","",IF(ENTRADA!$P272="",AK272,ENTRADA!$P272))</f>
      </c>
      <c r="AM272" s="71">
        <f>IF(B272="","",AJ272*L_Dist_CEN)</f>
      </c>
      <c r="AN272" s="71">
        <f>IF(B272="","",IF(ENTRADA!$Q272="",AM272,ENTRADA!$Q272))</f>
      </c>
      <c r="AO272" s="37">
        <f>IF(B272="","",(AL272+AN272)*INDEX(PRECIOS!$E$6:$E$55,K272))</f>
      </c>
      <c r="AP272" s="71">
        <f>IF(B272="","",IF(H272=0,0,ROUNDUP(H272/Rend_Desagrupe_CT,0)))</f>
      </c>
      <c r="AQ272" s="71">
        <f>IF(B272="","",IF(ENTRADA!$R272="",AP272,ENTRADA!$R272))</f>
      </c>
      <c r="AR272" s="37">
        <f>IF(B272="","",AQ272*INDEX(PRECIOS!$I$6:$I$55,K272))</f>
      </c>
      <c r="AS272" s="37">
        <f>IF(B272="","",AO272+AR272)</f>
      </c>
      <c r="AT272" s="71">
        <f>IF(B272="","",IF(I272=0,0,ROUNDUP(I272/Cap_Camion_ORI,0)))</f>
      </c>
      <c r="AU272" s="71">
        <f>IF(B272="","",AT272*L_Tras_ORI)</f>
      </c>
      <c r="AV272" s="71">
        <f>IF(B272="","",IF(ENTRADA!$S272="",AU272,ENTRADA!$S272))</f>
      </c>
      <c r="AW272" s="71">
        <f>IF(B272="","",AT272*L_Dist_ORI)</f>
      </c>
      <c r="AX272" s="71">
        <f>IF(B272="","",IF(ENTRADA!$T272="",AW272,ENTRADA!$T272))</f>
      </c>
      <c r="AY272" s="37">
        <f>IF(B272="","",(AV272+AX272)*INDEX(PRECIOS!$E$6:$E$55,K272))</f>
      </c>
      <c r="AZ272" s="71">
        <f>IF(B272="","",IF(I272=0,0,ROUNDUP(I272/Rend_Desagrupe_CT,0)))</f>
      </c>
      <c r="BA272" s="71">
        <f>IF(B272="","",IF(ENTRADA!$U272="",AZ272,ENTRADA!$U272))</f>
      </c>
      <c r="BB272" s="37">
        <f>IF(B272="","",BA272*INDEX(PRECIOS!$I$6:$I$55,K272))</f>
      </c>
      <c r="BC272" s="37">
        <f>IF(B272="","",AY272+BB272)</f>
      </c>
      <c r="BD272" s="70">
        <f>IF(B272="","",AI272+AS272+BC272)</f>
      </c>
      <c r="BE272" s="37">
        <f>IF(B272="","",IF(Base_Comision="% DEL INGRESO",M272*INDEX(PRECIOS!$L$6:$L$55,K272),G272*INDEX(PRECIOS!$M$6:$M$55,K272)))</f>
      </c>
      <c r="BF272" s="37">
        <f>IF(B272="","",IF(Base_Comision="% DEL INGRESO",N272*INDEX(PRECIOS!$L$6:$L$55,K272),H272*INDEX(PRECIOS!$M$6:$M$55,K272)))</f>
      </c>
      <c r="BG272" s="37">
        <f>IF(B272="","",IF(Base_Comision="% DEL INGRESO",O272*INDEX(PRECIOS!$L$6:$L$55,K272),I272*INDEX(PRECIOS!$M$6:$M$55,K272)))</f>
      </c>
      <c r="BH272" s="70">
        <f>IF(B272="","",BE272+BF272+BG272)</f>
      </c>
      <c r="BI272" s="37">
        <f>IF(B272="","",Q272*Pct_Reclamaciones)</f>
      </c>
      <c r="BJ272" s="37">
        <f>IF(B272="","",Q272*Pct_Banco)</f>
      </c>
      <c r="BK272" s="37">
        <f>IF(B272="","",N(ENTRADA!$V272))</f>
      </c>
      <c r="BL272" s="70">
        <f>IF(B272="","",Y272+AE272+BD272+BH272+BI272+BJ272+BK272)</f>
      </c>
      <c r="BM272" s="70">
        <f>IF(B272="","",Q272-BL272)</f>
      </c>
      <c r="BN272" s="72">
        <f>IF(B272="","",IF(Q272=0,0,BM272/Q272))</f>
      </c>
      <c r="BO272" s="73">
        <f>IF(B272="","",IF(J272=0,0,BM272/J272))</f>
      </c>
      <c r="BP272" s="60">
        <f>IF(B272="","",IFERROR(MATCH(D272,COSTOS_FIJOS!$G$5:$AD$5,0),0))</f>
      </c>
      <c r="BQ272" s="60">
        <f>IF(B272="","",COUNTIFS($D$6:$D$305,D272))</f>
      </c>
      <c r="BR272" s="67">
        <f>IF(B272="","",SUMIFS($J$6:$J$305,$D$6:$D$305,D272))</f>
      </c>
      <c r="BS272" s="72">
        <f>IF(B272="","",IF(Metodo_Prorrateo="KG",IF(BR272=0,0,J272/BR272),1/BQ272))</f>
      </c>
      <c r="BT272" s="37">
        <f>IF(B272="","",IF(BP272=0,0,INDEX(COSTOS_FIJOS!$G$38:$AD$38,BP272))*BS272)</f>
      </c>
      <c r="BU272" s="72">
        <f>IF(B272="","",IF(Metodo_Prorrateo="KG",IF(SUMIFS($G$6:$G$305,$D$6:$D$305,D272)=0,0,G272/SUMIFS($G$6:$G$305,$D$6:$D$305,D272)),IF(G272&gt;0,1/COUNTIFS($D$6:$D$305,D272,$G$6:$G$305,"&gt;0"),0)))</f>
      </c>
      <c r="BV272" s="37">
        <f>IF(B272="","",IF(BP272=0,0,INDEX(COSTOS_FIJOS!$G$39:$AD$39,BP272))*BU272)</f>
      </c>
      <c r="BW272" s="72">
        <f>IF(B272="","",IF(Metodo_Prorrateo="KG",IF(SUMIFS($H$6:$H$305,$D$6:$D$305,D272)=0,0,H272/SUMIFS($H$6:$H$305,$D$6:$D$305,D272)),IF(H272&gt;0,1/COUNTIFS($D$6:$D$305,D272,$H$6:$H$305,"&gt;0"),0)))</f>
      </c>
      <c r="BX272" s="37">
        <f>IF(B272="","",IF(BP272=0,0,INDEX(COSTOS_FIJOS!$G$40:$AD$40,BP272))*BW272)</f>
      </c>
      <c r="BY272" s="72">
        <f>IF(B272="","",IF(Metodo_Prorrateo="KG",IF(SUMIFS($I$6:$I$305,$D$6:$D$305,D272)=0,0,I272/SUMIFS($I$6:$I$305,$D$6:$D$305,D272)),IF(I272&gt;0,1/COUNTIFS($D$6:$D$305,D272,$I$6:$I$305,"&gt;0"),0)))</f>
      </c>
      <c r="BZ272" s="37">
        <f>IF(B272="","",IF(BP272=0,0,INDEX(COSTOS_FIJOS!$G$41:$AD$41,BP272))*BY272)</f>
      </c>
      <c r="CA272" s="70">
        <f>IF(B272="","",BT272+BV272+BX272+BZ272)</f>
      </c>
      <c r="CB272" s="37">
        <f>IF(B272="","",Q272*Imp_Ventas_Serv)</f>
      </c>
      <c r="CC272" s="37">
        <f>IF(B272="","",Q272*Contrib_Territorial)</f>
      </c>
      <c r="CD272" s="70">
        <f>IF(B272="","",BM272-CA272-CB272-CC272)</f>
      </c>
      <c r="CE272" s="37">
        <f>IF(B272="","",MAX(0,CD272)*Imp_Utilidades)</f>
      </c>
      <c r="CF272" s="70">
        <f>IF(B272="","",CD272-CE272)</f>
      </c>
      <c r="CG272" s="72">
        <f>IF(B272="","",IF(Q272=0,0,CF272/Q272))</f>
      </c>
      <c r="CH272" s="73">
        <f>IF(B272="","",IF(J272=0,0,(BL272+CA272+CB272+CC272)/J272))</f>
      </c>
      <c r="CI272" s="73">
        <f>IF(B272="","",IF(J272=0,0,Q272/J272))</f>
      </c>
      <c r="CJ272" s="73">
        <f>IF(B272="","",IF(J272=0,0,CD272/J272))</f>
      </c>
      <c r="CK272" s="37">
        <f>IF(B272="","",Y272+AE272+BK272+BT272)</f>
      </c>
      <c r="CL272" s="37">
        <f>IF(B272="","",IF(J272=0,0,(M272+P272*G272/J272)*(1-Pct_Reclamaciones-Pct_Banco-Imp_Ventas_Serv-Contrib_Territorial)-AI272-BE272-BV272-CK272*G272/J272))</f>
      </c>
      <c r="CM272" s="37">
        <f>IF(B272="","",IF(J272=0,0,(N272+P272*H272/J272)*(1-Pct_Reclamaciones-Pct_Banco-Imp_Ventas_Serv-Contrib_Territorial)-AS272-BF272-BX272-CK272*H272/J272))</f>
      </c>
      <c r="CN272" s="37">
        <f>IF(B272="","",IF(J272=0,0,(O272+P272*I272/J272)*(1-Pct_Reclamaciones-Pct_Banco-Imp_Ventas_Serv-Contrib_Territorial)-BC272-BG272-BZ272-CK272*I272/J272))</f>
      </c>
      <c r="CO272" s="37">
        <f>IF(B272="","",IF(J272=0,0,ROUND(CD272-CL272-CM272-CN272,4)))</f>
      </c>
      <c r="CP272" s="71">
        <f>IF(B272="","",T272+AG272+AK272+AM272+AU272+AW272)</f>
      </c>
      <c r="CQ272" s="71">
        <f>IF(B272="","",U272+AH272+AL272+AN272+AV272+AX272)</f>
      </c>
      <c r="CR272" s="72">
        <f>IF(B272="","",IF(CP272=0,0,CQ272/CP272-1))</f>
      </c>
      <c r="CS272" s="60">
        <f>IF(B272="","",IF(ENTRADA!$Y272="","",ENTRADA!$Y272-C272))</f>
      </c>
      <c r="CT272" s="66">
        <f>IF(B272="","",IF(ENTRADA!$C272="","Falta fecha. ","")&amp;IF(BP272=0,"Mes fuera del rango de COSTOS_FIJOS. ","")&amp;IF(J272=0,"Sin kg. ","")&amp;IF(E272="","Falta transitaria. ","")&amp;IF(AND(T272&gt;0,U272/T272-1&gt;Tolerancia_Comb),"Combustible al puerto "&amp;TEXT(U272/T272-1,"+0%")&amp;" sobre norma. ","")&amp;IF(AND(AG272&gt;0,AH272/AG272-1&gt;Tolerancia_Comb),"Combustible distribución Occidente "&amp;TEXT(AH272/AG272-1,"+0%")&amp;" sobre norma. ","")&amp;IF(AND(AK272&gt;0,AL272/AK272-1&gt;Tolerancia_Comb),"Combustible traslado Centro "&amp;TEXT(AL272/AK272-1,"+0%")&amp;" sobre norma. ","")&amp;IF(AND(AM272&gt;0,AN272/AM272-1&gt;Tolerancia_Comb),"Combustible distribución Centro "&amp;TEXT(AN272/AM272-1,"+0%")&amp;" sobre norma. ","")&amp;IF(AND(AU272&gt;0,AV272/AU272-1&gt;Tolerancia_Comb),"Combustible traslado Oriente "&amp;TEXT(AV272/AU272-1,"+0%")&amp;" sobre norma. ","")&amp;IF(AND(AW272&gt;0,AX272/AW272-1&gt;Tolerancia_Comb),"Combustible distribución Oriente "&amp;TEXT(AX272/AW272-1,"+0%")&amp;" sobre norma. ","")&amp;IF(AND(ENTRADA!$C272&lt;&gt;"",C272&lt;PRECIOS!$A$6),"Fecha anterior a la 1ª vigencia de precios. ","")&amp;IF(CD272&lt;0,"Contenedor con pérdida. ",""))</f>
      </c>
    </row>
    <row r="273">
      <c r="A273" s="60">
        <f>IF(B273="","",ROW()-5)</f>
      </c>
      <c r="B273" s="63">
        <f>IF(ENTRADA!$B273="","",ENTRADA!$B273)</f>
      </c>
      <c r="C273" s="64">
        <f>IF(B273="","",ENTRADA!$C273)</f>
      </c>
      <c r="D273" s="65">
        <f>IF(B273="","",DATE(YEAR(C273),MONTH(C273),1))</f>
      </c>
      <c r="E273" s="66">
        <f>IF(B273="","",ENTRADA!$D273&amp;"")</f>
      </c>
      <c r="F273" s="66">
        <f>IF(B273="","",ENTRADA!$Z273&amp;"")</f>
      </c>
      <c r="G273" s="67">
        <f>IF(B273="","",N(ENTRADA!$G273))</f>
      </c>
      <c r="H273" s="67">
        <f>IF(B273="","",N(ENTRADA!$H273))</f>
      </c>
      <c r="I273" s="67">
        <f>IF(B273="","",N(ENTRADA!$I273))</f>
      </c>
      <c r="J273" s="68">
        <f>IF(B273="","",G273+H273+I273)</f>
      </c>
      <c r="K273" s="60">
        <f>IF(B273="","",IFERROR(MATCH(SUMPRODUCT(MAX((PRECIOS!$A$6:$A$55&lt;=C273)*PRECIOS!$A$6:$A$55)),PRECIOS!$A$6:$A$55,0),1))</f>
      </c>
      <c r="L273" s="69">
        <f>IF(B273="","",INDEX(PRECIOS!$A$6:$A$55,K273))</f>
      </c>
      <c r="M273" s="37">
        <f>IF(B273="","",G273*INDEX(PRECIOS!$B$6:$B$55,K273))</f>
      </c>
      <c r="N273" s="37">
        <f>IF(B273="","",H273*INDEX(PRECIOS!$C$6:$C$55,K273))</f>
      </c>
      <c r="O273" s="37">
        <f>IF(B273="","",I273*INDEX(PRECIOS!$D$6:$D$55,K273))</f>
      </c>
      <c r="P273" s="37">
        <f>IF(B273="","",N(ENTRADA!$X273))</f>
      </c>
      <c r="Q273" s="70">
        <f>IF(B273="","",M273+N273+O273+P273)</f>
      </c>
      <c r="R273" s="71">
        <f>IF(B273="","",IF(ENTRADA!$J273="",Std_Viajes_Puerto,ENTRADA!$J273))</f>
      </c>
      <c r="S273" s="37">
        <f>IF(B273="","",R273*INDEX(PRECIOS!$F$6:$F$55,K273))</f>
      </c>
      <c r="T273" s="71">
        <f>IF(B273="","",R273*Litros_Puerto_Viaje)</f>
      </c>
      <c r="U273" s="71">
        <f>IF(B273="","",IF(ENTRADA!$K273="",T273,ENTRADA!$K273))</f>
      </c>
      <c r="V273" s="37">
        <f>IF(B273="","",U273*INDEX(PRECIOS!$E$6:$E$55,K273))</f>
      </c>
      <c r="W273" s="37">
        <f>IF(B273="","",IF(ENTRADA!$L273="",R273*INDEX(PRECIOS!$G$6:$G$55,K273),ENTRADA!$L273))</f>
      </c>
      <c r="X273" s="37">
        <f>IF(B273="","",R273*Km_Puerto_Viaje*INDEX(PRECIOS!$N$6:$N$55,K273))</f>
      </c>
      <c r="Y273" s="70">
        <f>IF(B273="","",S273+V273+W273+X273)</f>
      </c>
      <c r="Z273" s="71">
        <f>IF(B273="","",IF(J273=0,0,ROUNDUP(J273/Rend_Desagrupe,0)))</f>
      </c>
      <c r="AA273" s="71">
        <f>IF(B273="","",IF(ENTRADA!$M273="",Z273,ENTRADA!$M273))</f>
      </c>
      <c r="AB273" s="37">
        <f>IF(B273="","",AA273*INDEX(PRECIOS!$H$6:$H$55,K273))</f>
      </c>
      <c r="AC273" s="37">
        <f>IF(B273="","",IF(E273="ENCI",INDEX(PRECIOS!$J$6:$J$55,K273),IF(E273="A.V",INDEX(PRECIOS!$K$6:$K$55,K273),0)))</f>
      </c>
      <c r="AD273" s="37">
        <f>IF(B273="","",N(ENTRADA!$N273))</f>
      </c>
      <c r="AE273" s="70">
        <f>IF(B273="","",AB273+AC273+AD273)</f>
      </c>
      <c r="AF273" s="71">
        <f>IF(B273="","",IF(G273=0,0,ROUNDUP(G273/Cap_Camion_OCC,0)))</f>
      </c>
      <c r="AG273" s="71">
        <f>IF(B273="","",AF273*L_Dist_OCC)</f>
      </c>
      <c r="AH273" s="71">
        <f>IF(B273="","",IF(ENTRADA!$O273="",AG273,ENTRADA!$O273))</f>
      </c>
      <c r="AI273" s="37">
        <f>IF(B273="","",AH273*INDEX(PRECIOS!$E$6:$E$55,K273))</f>
      </c>
      <c r="AJ273" s="71">
        <f>IF(B273="","",IF(H273=0,0,ROUNDUP(H273/Cap_Camion_CEN,0)))</f>
      </c>
      <c r="AK273" s="71">
        <f>IF(B273="","",AJ273*L_Tras_CEN)</f>
      </c>
      <c r="AL273" s="71">
        <f>IF(B273="","",IF(ENTRADA!$P273="",AK273,ENTRADA!$P273))</f>
      </c>
      <c r="AM273" s="71">
        <f>IF(B273="","",AJ273*L_Dist_CEN)</f>
      </c>
      <c r="AN273" s="71">
        <f>IF(B273="","",IF(ENTRADA!$Q273="",AM273,ENTRADA!$Q273))</f>
      </c>
      <c r="AO273" s="37">
        <f>IF(B273="","",(AL273+AN273)*INDEX(PRECIOS!$E$6:$E$55,K273))</f>
      </c>
      <c r="AP273" s="71">
        <f>IF(B273="","",IF(H273=0,0,ROUNDUP(H273/Rend_Desagrupe_CT,0)))</f>
      </c>
      <c r="AQ273" s="71">
        <f>IF(B273="","",IF(ENTRADA!$R273="",AP273,ENTRADA!$R273))</f>
      </c>
      <c r="AR273" s="37">
        <f>IF(B273="","",AQ273*INDEX(PRECIOS!$I$6:$I$55,K273))</f>
      </c>
      <c r="AS273" s="37">
        <f>IF(B273="","",AO273+AR273)</f>
      </c>
      <c r="AT273" s="71">
        <f>IF(B273="","",IF(I273=0,0,ROUNDUP(I273/Cap_Camion_ORI,0)))</f>
      </c>
      <c r="AU273" s="71">
        <f>IF(B273="","",AT273*L_Tras_ORI)</f>
      </c>
      <c r="AV273" s="71">
        <f>IF(B273="","",IF(ENTRADA!$S273="",AU273,ENTRADA!$S273))</f>
      </c>
      <c r="AW273" s="71">
        <f>IF(B273="","",AT273*L_Dist_ORI)</f>
      </c>
      <c r="AX273" s="71">
        <f>IF(B273="","",IF(ENTRADA!$T273="",AW273,ENTRADA!$T273))</f>
      </c>
      <c r="AY273" s="37">
        <f>IF(B273="","",(AV273+AX273)*INDEX(PRECIOS!$E$6:$E$55,K273))</f>
      </c>
      <c r="AZ273" s="71">
        <f>IF(B273="","",IF(I273=0,0,ROUNDUP(I273/Rend_Desagrupe_CT,0)))</f>
      </c>
      <c r="BA273" s="71">
        <f>IF(B273="","",IF(ENTRADA!$U273="",AZ273,ENTRADA!$U273))</f>
      </c>
      <c r="BB273" s="37">
        <f>IF(B273="","",BA273*INDEX(PRECIOS!$I$6:$I$55,K273))</f>
      </c>
      <c r="BC273" s="37">
        <f>IF(B273="","",AY273+BB273)</f>
      </c>
      <c r="BD273" s="70">
        <f>IF(B273="","",AI273+AS273+BC273)</f>
      </c>
      <c r="BE273" s="37">
        <f>IF(B273="","",IF(Base_Comision="% DEL INGRESO",M273*INDEX(PRECIOS!$L$6:$L$55,K273),G273*INDEX(PRECIOS!$M$6:$M$55,K273)))</f>
      </c>
      <c r="BF273" s="37">
        <f>IF(B273="","",IF(Base_Comision="% DEL INGRESO",N273*INDEX(PRECIOS!$L$6:$L$55,K273),H273*INDEX(PRECIOS!$M$6:$M$55,K273)))</f>
      </c>
      <c r="BG273" s="37">
        <f>IF(B273="","",IF(Base_Comision="% DEL INGRESO",O273*INDEX(PRECIOS!$L$6:$L$55,K273),I273*INDEX(PRECIOS!$M$6:$M$55,K273)))</f>
      </c>
      <c r="BH273" s="70">
        <f>IF(B273="","",BE273+BF273+BG273)</f>
      </c>
      <c r="BI273" s="37">
        <f>IF(B273="","",Q273*Pct_Reclamaciones)</f>
      </c>
      <c r="BJ273" s="37">
        <f>IF(B273="","",Q273*Pct_Banco)</f>
      </c>
      <c r="BK273" s="37">
        <f>IF(B273="","",N(ENTRADA!$V273))</f>
      </c>
      <c r="BL273" s="70">
        <f>IF(B273="","",Y273+AE273+BD273+BH273+BI273+BJ273+BK273)</f>
      </c>
      <c r="BM273" s="70">
        <f>IF(B273="","",Q273-BL273)</f>
      </c>
      <c r="BN273" s="72">
        <f>IF(B273="","",IF(Q273=0,0,BM273/Q273))</f>
      </c>
      <c r="BO273" s="73">
        <f>IF(B273="","",IF(J273=0,0,BM273/J273))</f>
      </c>
      <c r="BP273" s="60">
        <f>IF(B273="","",IFERROR(MATCH(D273,COSTOS_FIJOS!$G$5:$AD$5,0),0))</f>
      </c>
      <c r="BQ273" s="60">
        <f>IF(B273="","",COUNTIFS($D$6:$D$305,D273))</f>
      </c>
      <c r="BR273" s="67">
        <f>IF(B273="","",SUMIFS($J$6:$J$305,$D$6:$D$305,D273))</f>
      </c>
      <c r="BS273" s="72">
        <f>IF(B273="","",IF(Metodo_Prorrateo="KG",IF(BR273=0,0,J273/BR273),1/BQ273))</f>
      </c>
      <c r="BT273" s="37">
        <f>IF(B273="","",IF(BP273=0,0,INDEX(COSTOS_FIJOS!$G$38:$AD$38,BP273))*BS273)</f>
      </c>
      <c r="BU273" s="72">
        <f>IF(B273="","",IF(Metodo_Prorrateo="KG",IF(SUMIFS($G$6:$G$305,$D$6:$D$305,D273)=0,0,G273/SUMIFS($G$6:$G$305,$D$6:$D$305,D273)),IF(G273&gt;0,1/COUNTIFS($D$6:$D$305,D273,$G$6:$G$305,"&gt;0"),0)))</f>
      </c>
      <c r="BV273" s="37">
        <f>IF(B273="","",IF(BP273=0,0,INDEX(COSTOS_FIJOS!$G$39:$AD$39,BP273))*BU273)</f>
      </c>
      <c r="BW273" s="72">
        <f>IF(B273="","",IF(Metodo_Prorrateo="KG",IF(SUMIFS($H$6:$H$305,$D$6:$D$305,D273)=0,0,H273/SUMIFS($H$6:$H$305,$D$6:$D$305,D273)),IF(H273&gt;0,1/COUNTIFS($D$6:$D$305,D273,$H$6:$H$305,"&gt;0"),0)))</f>
      </c>
      <c r="BX273" s="37">
        <f>IF(B273="","",IF(BP273=0,0,INDEX(COSTOS_FIJOS!$G$40:$AD$40,BP273))*BW273)</f>
      </c>
      <c r="BY273" s="72">
        <f>IF(B273="","",IF(Metodo_Prorrateo="KG",IF(SUMIFS($I$6:$I$305,$D$6:$D$305,D273)=0,0,I273/SUMIFS($I$6:$I$305,$D$6:$D$305,D273)),IF(I273&gt;0,1/COUNTIFS($D$6:$D$305,D273,$I$6:$I$305,"&gt;0"),0)))</f>
      </c>
      <c r="BZ273" s="37">
        <f>IF(B273="","",IF(BP273=0,0,INDEX(COSTOS_FIJOS!$G$41:$AD$41,BP273))*BY273)</f>
      </c>
      <c r="CA273" s="70">
        <f>IF(B273="","",BT273+BV273+BX273+BZ273)</f>
      </c>
      <c r="CB273" s="37">
        <f>IF(B273="","",Q273*Imp_Ventas_Serv)</f>
      </c>
      <c r="CC273" s="37">
        <f>IF(B273="","",Q273*Contrib_Territorial)</f>
      </c>
      <c r="CD273" s="70">
        <f>IF(B273="","",BM273-CA273-CB273-CC273)</f>
      </c>
      <c r="CE273" s="37">
        <f>IF(B273="","",MAX(0,CD273)*Imp_Utilidades)</f>
      </c>
      <c r="CF273" s="70">
        <f>IF(B273="","",CD273-CE273)</f>
      </c>
      <c r="CG273" s="72">
        <f>IF(B273="","",IF(Q273=0,0,CF273/Q273))</f>
      </c>
      <c r="CH273" s="73">
        <f>IF(B273="","",IF(J273=0,0,(BL273+CA273+CB273+CC273)/J273))</f>
      </c>
      <c r="CI273" s="73">
        <f>IF(B273="","",IF(J273=0,0,Q273/J273))</f>
      </c>
      <c r="CJ273" s="73">
        <f>IF(B273="","",IF(J273=0,0,CD273/J273))</f>
      </c>
      <c r="CK273" s="37">
        <f>IF(B273="","",Y273+AE273+BK273+BT273)</f>
      </c>
      <c r="CL273" s="37">
        <f>IF(B273="","",IF(J273=0,0,(M273+P273*G273/J273)*(1-Pct_Reclamaciones-Pct_Banco-Imp_Ventas_Serv-Contrib_Territorial)-AI273-BE273-BV273-CK273*G273/J273))</f>
      </c>
      <c r="CM273" s="37">
        <f>IF(B273="","",IF(J273=0,0,(N273+P273*H273/J273)*(1-Pct_Reclamaciones-Pct_Banco-Imp_Ventas_Serv-Contrib_Territorial)-AS273-BF273-BX273-CK273*H273/J273))</f>
      </c>
      <c r="CN273" s="37">
        <f>IF(B273="","",IF(J273=0,0,(O273+P273*I273/J273)*(1-Pct_Reclamaciones-Pct_Banco-Imp_Ventas_Serv-Contrib_Territorial)-BC273-BG273-BZ273-CK273*I273/J273))</f>
      </c>
      <c r="CO273" s="37">
        <f>IF(B273="","",IF(J273=0,0,ROUND(CD273-CL273-CM273-CN273,4)))</f>
      </c>
      <c r="CP273" s="71">
        <f>IF(B273="","",T273+AG273+AK273+AM273+AU273+AW273)</f>
      </c>
      <c r="CQ273" s="71">
        <f>IF(B273="","",U273+AH273+AL273+AN273+AV273+AX273)</f>
      </c>
      <c r="CR273" s="72">
        <f>IF(B273="","",IF(CP273=0,0,CQ273/CP273-1))</f>
      </c>
      <c r="CS273" s="60">
        <f>IF(B273="","",IF(ENTRADA!$Y273="","",ENTRADA!$Y273-C273))</f>
      </c>
      <c r="CT273" s="66">
        <f>IF(B273="","",IF(ENTRADA!$C273="","Falta fecha. ","")&amp;IF(BP273=0,"Mes fuera del rango de COSTOS_FIJOS. ","")&amp;IF(J273=0,"Sin kg. ","")&amp;IF(E273="","Falta transitaria. ","")&amp;IF(AND(T273&gt;0,U273/T273-1&gt;Tolerancia_Comb),"Combustible al puerto "&amp;TEXT(U273/T273-1,"+0%")&amp;" sobre norma. ","")&amp;IF(AND(AG273&gt;0,AH273/AG273-1&gt;Tolerancia_Comb),"Combustible distribución Occidente "&amp;TEXT(AH273/AG273-1,"+0%")&amp;" sobre norma. ","")&amp;IF(AND(AK273&gt;0,AL273/AK273-1&gt;Tolerancia_Comb),"Combustible traslado Centro "&amp;TEXT(AL273/AK273-1,"+0%")&amp;" sobre norma. ","")&amp;IF(AND(AM273&gt;0,AN273/AM273-1&gt;Tolerancia_Comb),"Combustible distribución Centro "&amp;TEXT(AN273/AM273-1,"+0%")&amp;" sobre norma. ","")&amp;IF(AND(AU273&gt;0,AV273/AU273-1&gt;Tolerancia_Comb),"Combustible traslado Oriente "&amp;TEXT(AV273/AU273-1,"+0%")&amp;" sobre norma. ","")&amp;IF(AND(AW273&gt;0,AX273/AW273-1&gt;Tolerancia_Comb),"Combustible distribución Oriente "&amp;TEXT(AX273/AW273-1,"+0%")&amp;" sobre norma. ","")&amp;IF(AND(ENTRADA!$C273&lt;&gt;"",C273&lt;PRECIOS!$A$6),"Fecha anterior a la 1ª vigencia de precios. ","")&amp;IF(CD273&lt;0,"Contenedor con pérdida. ",""))</f>
      </c>
    </row>
    <row r="274">
      <c r="A274" s="60">
        <f>IF(B274="","",ROW()-5)</f>
      </c>
      <c r="B274" s="63">
        <f>IF(ENTRADA!$B274="","",ENTRADA!$B274)</f>
      </c>
      <c r="C274" s="64">
        <f>IF(B274="","",ENTRADA!$C274)</f>
      </c>
      <c r="D274" s="65">
        <f>IF(B274="","",DATE(YEAR(C274),MONTH(C274),1))</f>
      </c>
      <c r="E274" s="66">
        <f>IF(B274="","",ENTRADA!$D274&amp;"")</f>
      </c>
      <c r="F274" s="66">
        <f>IF(B274="","",ENTRADA!$Z274&amp;"")</f>
      </c>
      <c r="G274" s="67">
        <f>IF(B274="","",N(ENTRADA!$G274))</f>
      </c>
      <c r="H274" s="67">
        <f>IF(B274="","",N(ENTRADA!$H274))</f>
      </c>
      <c r="I274" s="67">
        <f>IF(B274="","",N(ENTRADA!$I274))</f>
      </c>
      <c r="J274" s="68">
        <f>IF(B274="","",G274+H274+I274)</f>
      </c>
      <c r="K274" s="60">
        <f>IF(B274="","",IFERROR(MATCH(SUMPRODUCT(MAX((PRECIOS!$A$6:$A$55&lt;=C274)*PRECIOS!$A$6:$A$55)),PRECIOS!$A$6:$A$55,0),1))</f>
      </c>
      <c r="L274" s="69">
        <f>IF(B274="","",INDEX(PRECIOS!$A$6:$A$55,K274))</f>
      </c>
      <c r="M274" s="37">
        <f>IF(B274="","",G274*INDEX(PRECIOS!$B$6:$B$55,K274))</f>
      </c>
      <c r="N274" s="37">
        <f>IF(B274="","",H274*INDEX(PRECIOS!$C$6:$C$55,K274))</f>
      </c>
      <c r="O274" s="37">
        <f>IF(B274="","",I274*INDEX(PRECIOS!$D$6:$D$55,K274))</f>
      </c>
      <c r="P274" s="37">
        <f>IF(B274="","",N(ENTRADA!$X274))</f>
      </c>
      <c r="Q274" s="70">
        <f>IF(B274="","",M274+N274+O274+P274)</f>
      </c>
      <c r="R274" s="71">
        <f>IF(B274="","",IF(ENTRADA!$J274="",Std_Viajes_Puerto,ENTRADA!$J274))</f>
      </c>
      <c r="S274" s="37">
        <f>IF(B274="","",R274*INDEX(PRECIOS!$F$6:$F$55,K274))</f>
      </c>
      <c r="T274" s="71">
        <f>IF(B274="","",R274*Litros_Puerto_Viaje)</f>
      </c>
      <c r="U274" s="71">
        <f>IF(B274="","",IF(ENTRADA!$K274="",T274,ENTRADA!$K274))</f>
      </c>
      <c r="V274" s="37">
        <f>IF(B274="","",U274*INDEX(PRECIOS!$E$6:$E$55,K274))</f>
      </c>
      <c r="W274" s="37">
        <f>IF(B274="","",IF(ENTRADA!$L274="",R274*INDEX(PRECIOS!$G$6:$G$55,K274),ENTRADA!$L274))</f>
      </c>
      <c r="X274" s="37">
        <f>IF(B274="","",R274*Km_Puerto_Viaje*INDEX(PRECIOS!$N$6:$N$55,K274))</f>
      </c>
      <c r="Y274" s="70">
        <f>IF(B274="","",S274+V274+W274+X274)</f>
      </c>
      <c r="Z274" s="71">
        <f>IF(B274="","",IF(J274=0,0,ROUNDUP(J274/Rend_Desagrupe,0)))</f>
      </c>
      <c r="AA274" s="71">
        <f>IF(B274="","",IF(ENTRADA!$M274="",Z274,ENTRADA!$M274))</f>
      </c>
      <c r="AB274" s="37">
        <f>IF(B274="","",AA274*INDEX(PRECIOS!$H$6:$H$55,K274))</f>
      </c>
      <c r="AC274" s="37">
        <f>IF(B274="","",IF(E274="ENCI",INDEX(PRECIOS!$J$6:$J$55,K274),IF(E274="A.V",INDEX(PRECIOS!$K$6:$K$55,K274),0)))</f>
      </c>
      <c r="AD274" s="37">
        <f>IF(B274="","",N(ENTRADA!$N274))</f>
      </c>
      <c r="AE274" s="70">
        <f>IF(B274="","",AB274+AC274+AD274)</f>
      </c>
      <c r="AF274" s="71">
        <f>IF(B274="","",IF(G274=0,0,ROUNDUP(G274/Cap_Camion_OCC,0)))</f>
      </c>
      <c r="AG274" s="71">
        <f>IF(B274="","",AF274*L_Dist_OCC)</f>
      </c>
      <c r="AH274" s="71">
        <f>IF(B274="","",IF(ENTRADA!$O274="",AG274,ENTRADA!$O274))</f>
      </c>
      <c r="AI274" s="37">
        <f>IF(B274="","",AH274*INDEX(PRECIOS!$E$6:$E$55,K274))</f>
      </c>
      <c r="AJ274" s="71">
        <f>IF(B274="","",IF(H274=0,0,ROUNDUP(H274/Cap_Camion_CEN,0)))</f>
      </c>
      <c r="AK274" s="71">
        <f>IF(B274="","",AJ274*L_Tras_CEN)</f>
      </c>
      <c r="AL274" s="71">
        <f>IF(B274="","",IF(ENTRADA!$P274="",AK274,ENTRADA!$P274))</f>
      </c>
      <c r="AM274" s="71">
        <f>IF(B274="","",AJ274*L_Dist_CEN)</f>
      </c>
      <c r="AN274" s="71">
        <f>IF(B274="","",IF(ENTRADA!$Q274="",AM274,ENTRADA!$Q274))</f>
      </c>
      <c r="AO274" s="37">
        <f>IF(B274="","",(AL274+AN274)*INDEX(PRECIOS!$E$6:$E$55,K274))</f>
      </c>
      <c r="AP274" s="71">
        <f>IF(B274="","",IF(H274=0,0,ROUNDUP(H274/Rend_Desagrupe_CT,0)))</f>
      </c>
      <c r="AQ274" s="71">
        <f>IF(B274="","",IF(ENTRADA!$R274="",AP274,ENTRADA!$R274))</f>
      </c>
      <c r="AR274" s="37">
        <f>IF(B274="","",AQ274*INDEX(PRECIOS!$I$6:$I$55,K274))</f>
      </c>
      <c r="AS274" s="37">
        <f>IF(B274="","",AO274+AR274)</f>
      </c>
      <c r="AT274" s="71">
        <f>IF(B274="","",IF(I274=0,0,ROUNDUP(I274/Cap_Camion_ORI,0)))</f>
      </c>
      <c r="AU274" s="71">
        <f>IF(B274="","",AT274*L_Tras_ORI)</f>
      </c>
      <c r="AV274" s="71">
        <f>IF(B274="","",IF(ENTRADA!$S274="",AU274,ENTRADA!$S274))</f>
      </c>
      <c r="AW274" s="71">
        <f>IF(B274="","",AT274*L_Dist_ORI)</f>
      </c>
      <c r="AX274" s="71">
        <f>IF(B274="","",IF(ENTRADA!$T274="",AW274,ENTRADA!$T274))</f>
      </c>
      <c r="AY274" s="37">
        <f>IF(B274="","",(AV274+AX274)*INDEX(PRECIOS!$E$6:$E$55,K274))</f>
      </c>
      <c r="AZ274" s="71">
        <f>IF(B274="","",IF(I274=0,0,ROUNDUP(I274/Rend_Desagrupe_CT,0)))</f>
      </c>
      <c r="BA274" s="71">
        <f>IF(B274="","",IF(ENTRADA!$U274="",AZ274,ENTRADA!$U274))</f>
      </c>
      <c r="BB274" s="37">
        <f>IF(B274="","",BA274*INDEX(PRECIOS!$I$6:$I$55,K274))</f>
      </c>
      <c r="BC274" s="37">
        <f>IF(B274="","",AY274+BB274)</f>
      </c>
      <c r="BD274" s="70">
        <f>IF(B274="","",AI274+AS274+BC274)</f>
      </c>
      <c r="BE274" s="37">
        <f>IF(B274="","",IF(Base_Comision="% DEL INGRESO",M274*INDEX(PRECIOS!$L$6:$L$55,K274),G274*INDEX(PRECIOS!$M$6:$M$55,K274)))</f>
      </c>
      <c r="BF274" s="37">
        <f>IF(B274="","",IF(Base_Comision="% DEL INGRESO",N274*INDEX(PRECIOS!$L$6:$L$55,K274),H274*INDEX(PRECIOS!$M$6:$M$55,K274)))</f>
      </c>
      <c r="BG274" s="37">
        <f>IF(B274="","",IF(Base_Comision="% DEL INGRESO",O274*INDEX(PRECIOS!$L$6:$L$55,K274),I274*INDEX(PRECIOS!$M$6:$M$55,K274)))</f>
      </c>
      <c r="BH274" s="70">
        <f>IF(B274="","",BE274+BF274+BG274)</f>
      </c>
      <c r="BI274" s="37">
        <f>IF(B274="","",Q274*Pct_Reclamaciones)</f>
      </c>
      <c r="BJ274" s="37">
        <f>IF(B274="","",Q274*Pct_Banco)</f>
      </c>
      <c r="BK274" s="37">
        <f>IF(B274="","",N(ENTRADA!$V274))</f>
      </c>
      <c r="BL274" s="70">
        <f>IF(B274="","",Y274+AE274+BD274+BH274+BI274+BJ274+BK274)</f>
      </c>
      <c r="BM274" s="70">
        <f>IF(B274="","",Q274-BL274)</f>
      </c>
      <c r="BN274" s="72">
        <f>IF(B274="","",IF(Q274=0,0,BM274/Q274))</f>
      </c>
      <c r="BO274" s="73">
        <f>IF(B274="","",IF(J274=0,0,BM274/J274))</f>
      </c>
      <c r="BP274" s="60">
        <f>IF(B274="","",IFERROR(MATCH(D274,COSTOS_FIJOS!$G$5:$AD$5,0),0))</f>
      </c>
      <c r="BQ274" s="60">
        <f>IF(B274="","",COUNTIFS($D$6:$D$305,D274))</f>
      </c>
      <c r="BR274" s="67">
        <f>IF(B274="","",SUMIFS($J$6:$J$305,$D$6:$D$305,D274))</f>
      </c>
      <c r="BS274" s="72">
        <f>IF(B274="","",IF(Metodo_Prorrateo="KG",IF(BR274=0,0,J274/BR274),1/BQ274))</f>
      </c>
      <c r="BT274" s="37">
        <f>IF(B274="","",IF(BP274=0,0,INDEX(COSTOS_FIJOS!$G$38:$AD$38,BP274))*BS274)</f>
      </c>
      <c r="BU274" s="72">
        <f>IF(B274="","",IF(Metodo_Prorrateo="KG",IF(SUMIFS($G$6:$G$305,$D$6:$D$305,D274)=0,0,G274/SUMIFS($G$6:$G$305,$D$6:$D$305,D274)),IF(G274&gt;0,1/COUNTIFS($D$6:$D$305,D274,$G$6:$G$305,"&gt;0"),0)))</f>
      </c>
      <c r="BV274" s="37">
        <f>IF(B274="","",IF(BP274=0,0,INDEX(COSTOS_FIJOS!$G$39:$AD$39,BP274))*BU274)</f>
      </c>
      <c r="BW274" s="72">
        <f>IF(B274="","",IF(Metodo_Prorrateo="KG",IF(SUMIFS($H$6:$H$305,$D$6:$D$305,D274)=0,0,H274/SUMIFS($H$6:$H$305,$D$6:$D$305,D274)),IF(H274&gt;0,1/COUNTIFS($D$6:$D$305,D274,$H$6:$H$305,"&gt;0"),0)))</f>
      </c>
      <c r="BX274" s="37">
        <f>IF(B274="","",IF(BP274=0,0,INDEX(COSTOS_FIJOS!$G$40:$AD$40,BP274))*BW274)</f>
      </c>
      <c r="BY274" s="72">
        <f>IF(B274="","",IF(Metodo_Prorrateo="KG",IF(SUMIFS($I$6:$I$305,$D$6:$D$305,D274)=0,0,I274/SUMIFS($I$6:$I$305,$D$6:$D$305,D274)),IF(I274&gt;0,1/COUNTIFS($D$6:$D$305,D274,$I$6:$I$305,"&gt;0"),0)))</f>
      </c>
      <c r="BZ274" s="37">
        <f>IF(B274="","",IF(BP274=0,0,INDEX(COSTOS_FIJOS!$G$41:$AD$41,BP274))*BY274)</f>
      </c>
      <c r="CA274" s="70">
        <f>IF(B274="","",BT274+BV274+BX274+BZ274)</f>
      </c>
      <c r="CB274" s="37">
        <f>IF(B274="","",Q274*Imp_Ventas_Serv)</f>
      </c>
      <c r="CC274" s="37">
        <f>IF(B274="","",Q274*Contrib_Territorial)</f>
      </c>
      <c r="CD274" s="70">
        <f>IF(B274="","",BM274-CA274-CB274-CC274)</f>
      </c>
      <c r="CE274" s="37">
        <f>IF(B274="","",MAX(0,CD274)*Imp_Utilidades)</f>
      </c>
      <c r="CF274" s="70">
        <f>IF(B274="","",CD274-CE274)</f>
      </c>
      <c r="CG274" s="72">
        <f>IF(B274="","",IF(Q274=0,0,CF274/Q274))</f>
      </c>
      <c r="CH274" s="73">
        <f>IF(B274="","",IF(J274=0,0,(BL274+CA274+CB274+CC274)/J274))</f>
      </c>
      <c r="CI274" s="73">
        <f>IF(B274="","",IF(J274=0,0,Q274/J274))</f>
      </c>
      <c r="CJ274" s="73">
        <f>IF(B274="","",IF(J274=0,0,CD274/J274))</f>
      </c>
      <c r="CK274" s="37">
        <f>IF(B274="","",Y274+AE274+BK274+BT274)</f>
      </c>
      <c r="CL274" s="37">
        <f>IF(B274="","",IF(J274=0,0,(M274+P274*G274/J274)*(1-Pct_Reclamaciones-Pct_Banco-Imp_Ventas_Serv-Contrib_Territorial)-AI274-BE274-BV274-CK274*G274/J274))</f>
      </c>
      <c r="CM274" s="37">
        <f>IF(B274="","",IF(J274=0,0,(N274+P274*H274/J274)*(1-Pct_Reclamaciones-Pct_Banco-Imp_Ventas_Serv-Contrib_Territorial)-AS274-BF274-BX274-CK274*H274/J274))</f>
      </c>
      <c r="CN274" s="37">
        <f>IF(B274="","",IF(J274=0,0,(O274+P274*I274/J274)*(1-Pct_Reclamaciones-Pct_Banco-Imp_Ventas_Serv-Contrib_Territorial)-BC274-BG274-BZ274-CK274*I274/J274))</f>
      </c>
      <c r="CO274" s="37">
        <f>IF(B274="","",IF(J274=0,0,ROUND(CD274-CL274-CM274-CN274,4)))</f>
      </c>
      <c r="CP274" s="71">
        <f>IF(B274="","",T274+AG274+AK274+AM274+AU274+AW274)</f>
      </c>
      <c r="CQ274" s="71">
        <f>IF(B274="","",U274+AH274+AL274+AN274+AV274+AX274)</f>
      </c>
      <c r="CR274" s="72">
        <f>IF(B274="","",IF(CP274=0,0,CQ274/CP274-1))</f>
      </c>
      <c r="CS274" s="60">
        <f>IF(B274="","",IF(ENTRADA!$Y274="","",ENTRADA!$Y274-C274))</f>
      </c>
      <c r="CT274" s="66">
        <f>IF(B274="","",IF(ENTRADA!$C274="","Falta fecha. ","")&amp;IF(BP274=0,"Mes fuera del rango de COSTOS_FIJOS. ","")&amp;IF(J274=0,"Sin kg. ","")&amp;IF(E274="","Falta transitaria. ","")&amp;IF(AND(T274&gt;0,U274/T274-1&gt;Tolerancia_Comb),"Combustible al puerto "&amp;TEXT(U274/T274-1,"+0%")&amp;" sobre norma. ","")&amp;IF(AND(AG274&gt;0,AH274/AG274-1&gt;Tolerancia_Comb),"Combustible distribución Occidente "&amp;TEXT(AH274/AG274-1,"+0%")&amp;" sobre norma. ","")&amp;IF(AND(AK274&gt;0,AL274/AK274-1&gt;Tolerancia_Comb),"Combustible traslado Centro "&amp;TEXT(AL274/AK274-1,"+0%")&amp;" sobre norma. ","")&amp;IF(AND(AM274&gt;0,AN274/AM274-1&gt;Tolerancia_Comb),"Combustible distribución Centro "&amp;TEXT(AN274/AM274-1,"+0%")&amp;" sobre norma. ","")&amp;IF(AND(AU274&gt;0,AV274/AU274-1&gt;Tolerancia_Comb),"Combustible traslado Oriente "&amp;TEXT(AV274/AU274-1,"+0%")&amp;" sobre norma. ","")&amp;IF(AND(AW274&gt;0,AX274/AW274-1&gt;Tolerancia_Comb),"Combustible distribución Oriente "&amp;TEXT(AX274/AW274-1,"+0%")&amp;" sobre norma. ","")&amp;IF(AND(ENTRADA!$C274&lt;&gt;"",C274&lt;PRECIOS!$A$6),"Fecha anterior a la 1ª vigencia de precios. ","")&amp;IF(CD274&lt;0,"Contenedor con pérdida. ",""))</f>
      </c>
    </row>
    <row r="275">
      <c r="A275" s="60">
        <f>IF(B275="","",ROW()-5)</f>
      </c>
      <c r="B275" s="63">
        <f>IF(ENTRADA!$B275="","",ENTRADA!$B275)</f>
      </c>
      <c r="C275" s="64">
        <f>IF(B275="","",ENTRADA!$C275)</f>
      </c>
      <c r="D275" s="65">
        <f>IF(B275="","",DATE(YEAR(C275),MONTH(C275),1))</f>
      </c>
      <c r="E275" s="66">
        <f>IF(B275="","",ENTRADA!$D275&amp;"")</f>
      </c>
      <c r="F275" s="66">
        <f>IF(B275="","",ENTRADA!$Z275&amp;"")</f>
      </c>
      <c r="G275" s="67">
        <f>IF(B275="","",N(ENTRADA!$G275))</f>
      </c>
      <c r="H275" s="67">
        <f>IF(B275="","",N(ENTRADA!$H275))</f>
      </c>
      <c r="I275" s="67">
        <f>IF(B275="","",N(ENTRADA!$I275))</f>
      </c>
      <c r="J275" s="68">
        <f>IF(B275="","",G275+H275+I275)</f>
      </c>
      <c r="K275" s="60">
        <f>IF(B275="","",IFERROR(MATCH(SUMPRODUCT(MAX((PRECIOS!$A$6:$A$55&lt;=C275)*PRECIOS!$A$6:$A$55)),PRECIOS!$A$6:$A$55,0),1))</f>
      </c>
      <c r="L275" s="69">
        <f>IF(B275="","",INDEX(PRECIOS!$A$6:$A$55,K275))</f>
      </c>
      <c r="M275" s="37">
        <f>IF(B275="","",G275*INDEX(PRECIOS!$B$6:$B$55,K275))</f>
      </c>
      <c r="N275" s="37">
        <f>IF(B275="","",H275*INDEX(PRECIOS!$C$6:$C$55,K275))</f>
      </c>
      <c r="O275" s="37">
        <f>IF(B275="","",I275*INDEX(PRECIOS!$D$6:$D$55,K275))</f>
      </c>
      <c r="P275" s="37">
        <f>IF(B275="","",N(ENTRADA!$X275))</f>
      </c>
      <c r="Q275" s="70">
        <f>IF(B275="","",M275+N275+O275+P275)</f>
      </c>
      <c r="R275" s="71">
        <f>IF(B275="","",IF(ENTRADA!$J275="",Std_Viajes_Puerto,ENTRADA!$J275))</f>
      </c>
      <c r="S275" s="37">
        <f>IF(B275="","",R275*INDEX(PRECIOS!$F$6:$F$55,K275))</f>
      </c>
      <c r="T275" s="71">
        <f>IF(B275="","",R275*Litros_Puerto_Viaje)</f>
      </c>
      <c r="U275" s="71">
        <f>IF(B275="","",IF(ENTRADA!$K275="",T275,ENTRADA!$K275))</f>
      </c>
      <c r="V275" s="37">
        <f>IF(B275="","",U275*INDEX(PRECIOS!$E$6:$E$55,K275))</f>
      </c>
      <c r="W275" s="37">
        <f>IF(B275="","",IF(ENTRADA!$L275="",R275*INDEX(PRECIOS!$G$6:$G$55,K275),ENTRADA!$L275))</f>
      </c>
      <c r="X275" s="37">
        <f>IF(B275="","",R275*Km_Puerto_Viaje*INDEX(PRECIOS!$N$6:$N$55,K275))</f>
      </c>
      <c r="Y275" s="70">
        <f>IF(B275="","",S275+V275+W275+X275)</f>
      </c>
      <c r="Z275" s="71">
        <f>IF(B275="","",IF(J275=0,0,ROUNDUP(J275/Rend_Desagrupe,0)))</f>
      </c>
      <c r="AA275" s="71">
        <f>IF(B275="","",IF(ENTRADA!$M275="",Z275,ENTRADA!$M275))</f>
      </c>
      <c r="AB275" s="37">
        <f>IF(B275="","",AA275*INDEX(PRECIOS!$H$6:$H$55,K275))</f>
      </c>
      <c r="AC275" s="37">
        <f>IF(B275="","",IF(E275="ENCI",INDEX(PRECIOS!$J$6:$J$55,K275),IF(E275="A.V",INDEX(PRECIOS!$K$6:$K$55,K275),0)))</f>
      </c>
      <c r="AD275" s="37">
        <f>IF(B275="","",N(ENTRADA!$N275))</f>
      </c>
      <c r="AE275" s="70">
        <f>IF(B275="","",AB275+AC275+AD275)</f>
      </c>
      <c r="AF275" s="71">
        <f>IF(B275="","",IF(G275=0,0,ROUNDUP(G275/Cap_Camion_OCC,0)))</f>
      </c>
      <c r="AG275" s="71">
        <f>IF(B275="","",AF275*L_Dist_OCC)</f>
      </c>
      <c r="AH275" s="71">
        <f>IF(B275="","",IF(ENTRADA!$O275="",AG275,ENTRADA!$O275))</f>
      </c>
      <c r="AI275" s="37">
        <f>IF(B275="","",AH275*INDEX(PRECIOS!$E$6:$E$55,K275))</f>
      </c>
      <c r="AJ275" s="71">
        <f>IF(B275="","",IF(H275=0,0,ROUNDUP(H275/Cap_Camion_CEN,0)))</f>
      </c>
      <c r="AK275" s="71">
        <f>IF(B275="","",AJ275*L_Tras_CEN)</f>
      </c>
      <c r="AL275" s="71">
        <f>IF(B275="","",IF(ENTRADA!$P275="",AK275,ENTRADA!$P275))</f>
      </c>
      <c r="AM275" s="71">
        <f>IF(B275="","",AJ275*L_Dist_CEN)</f>
      </c>
      <c r="AN275" s="71">
        <f>IF(B275="","",IF(ENTRADA!$Q275="",AM275,ENTRADA!$Q275))</f>
      </c>
      <c r="AO275" s="37">
        <f>IF(B275="","",(AL275+AN275)*INDEX(PRECIOS!$E$6:$E$55,K275))</f>
      </c>
      <c r="AP275" s="71">
        <f>IF(B275="","",IF(H275=0,0,ROUNDUP(H275/Rend_Desagrupe_CT,0)))</f>
      </c>
      <c r="AQ275" s="71">
        <f>IF(B275="","",IF(ENTRADA!$R275="",AP275,ENTRADA!$R275))</f>
      </c>
      <c r="AR275" s="37">
        <f>IF(B275="","",AQ275*INDEX(PRECIOS!$I$6:$I$55,K275))</f>
      </c>
      <c r="AS275" s="37">
        <f>IF(B275="","",AO275+AR275)</f>
      </c>
      <c r="AT275" s="71">
        <f>IF(B275="","",IF(I275=0,0,ROUNDUP(I275/Cap_Camion_ORI,0)))</f>
      </c>
      <c r="AU275" s="71">
        <f>IF(B275="","",AT275*L_Tras_ORI)</f>
      </c>
      <c r="AV275" s="71">
        <f>IF(B275="","",IF(ENTRADA!$S275="",AU275,ENTRADA!$S275))</f>
      </c>
      <c r="AW275" s="71">
        <f>IF(B275="","",AT275*L_Dist_ORI)</f>
      </c>
      <c r="AX275" s="71">
        <f>IF(B275="","",IF(ENTRADA!$T275="",AW275,ENTRADA!$T275))</f>
      </c>
      <c r="AY275" s="37">
        <f>IF(B275="","",(AV275+AX275)*INDEX(PRECIOS!$E$6:$E$55,K275))</f>
      </c>
      <c r="AZ275" s="71">
        <f>IF(B275="","",IF(I275=0,0,ROUNDUP(I275/Rend_Desagrupe_CT,0)))</f>
      </c>
      <c r="BA275" s="71">
        <f>IF(B275="","",IF(ENTRADA!$U275="",AZ275,ENTRADA!$U275))</f>
      </c>
      <c r="BB275" s="37">
        <f>IF(B275="","",BA275*INDEX(PRECIOS!$I$6:$I$55,K275))</f>
      </c>
      <c r="BC275" s="37">
        <f>IF(B275="","",AY275+BB275)</f>
      </c>
      <c r="BD275" s="70">
        <f>IF(B275="","",AI275+AS275+BC275)</f>
      </c>
      <c r="BE275" s="37">
        <f>IF(B275="","",IF(Base_Comision="% DEL INGRESO",M275*INDEX(PRECIOS!$L$6:$L$55,K275),G275*INDEX(PRECIOS!$M$6:$M$55,K275)))</f>
      </c>
      <c r="BF275" s="37">
        <f>IF(B275="","",IF(Base_Comision="% DEL INGRESO",N275*INDEX(PRECIOS!$L$6:$L$55,K275),H275*INDEX(PRECIOS!$M$6:$M$55,K275)))</f>
      </c>
      <c r="BG275" s="37">
        <f>IF(B275="","",IF(Base_Comision="% DEL INGRESO",O275*INDEX(PRECIOS!$L$6:$L$55,K275),I275*INDEX(PRECIOS!$M$6:$M$55,K275)))</f>
      </c>
      <c r="BH275" s="70">
        <f>IF(B275="","",BE275+BF275+BG275)</f>
      </c>
      <c r="BI275" s="37">
        <f>IF(B275="","",Q275*Pct_Reclamaciones)</f>
      </c>
      <c r="BJ275" s="37">
        <f>IF(B275="","",Q275*Pct_Banco)</f>
      </c>
      <c r="BK275" s="37">
        <f>IF(B275="","",N(ENTRADA!$V275))</f>
      </c>
      <c r="BL275" s="70">
        <f>IF(B275="","",Y275+AE275+BD275+BH275+BI275+BJ275+BK275)</f>
      </c>
      <c r="BM275" s="70">
        <f>IF(B275="","",Q275-BL275)</f>
      </c>
      <c r="BN275" s="72">
        <f>IF(B275="","",IF(Q275=0,0,BM275/Q275))</f>
      </c>
      <c r="BO275" s="73">
        <f>IF(B275="","",IF(J275=0,0,BM275/J275))</f>
      </c>
      <c r="BP275" s="60">
        <f>IF(B275="","",IFERROR(MATCH(D275,COSTOS_FIJOS!$G$5:$AD$5,0),0))</f>
      </c>
      <c r="BQ275" s="60">
        <f>IF(B275="","",COUNTIFS($D$6:$D$305,D275))</f>
      </c>
      <c r="BR275" s="67">
        <f>IF(B275="","",SUMIFS($J$6:$J$305,$D$6:$D$305,D275))</f>
      </c>
      <c r="BS275" s="72">
        <f>IF(B275="","",IF(Metodo_Prorrateo="KG",IF(BR275=0,0,J275/BR275),1/BQ275))</f>
      </c>
      <c r="BT275" s="37">
        <f>IF(B275="","",IF(BP275=0,0,INDEX(COSTOS_FIJOS!$G$38:$AD$38,BP275))*BS275)</f>
      </c>
      <c r="BU275" s="72">
        <f>IF(B275="","",IF(Metodo_Prorrateo="KG",IF(SUMIFS($G$6:$G$305,$D$6:$D$305,D275)=0,0,G275/SUMIFS($G$6:$G$305,$D$6:$D$305,D275)),IF(G275&gt;0,1/COUNTIFS($D$6:$D$305,D275,$G$6:$G$305,"&gt;0"),0)))</f>
      </c>
      <c r="BV275" s="37">
        <f>IF(B275="","",IF(BP275=0,0,INDEX(COSTOS_FIJOS!$G$39:$AD$39,BP275))*BU275)</f>
      </c>
      <c r="BW275" s="72">
        <f>IF(B275="","",IF(Metodo_Prorrateo="KG",IF(SUMIFS($H$6:$H$305,$D$6:$D$305,D275)=0,0,H275/SUMIFS($H$6:$H$305,$D$6:$D$305,D275)),IF(H275&gt;0,1/COUNTIFS($D$6:$D$305,D275,$H$6:$H$305,"&gt;0"),0)))</f>
      </c>
      <c r="BX275" s="37">
        <f>IF(B275="","",IF(BP275=0,0,INDEX(COSTOS_FIJOS!$G$40:$AD$40,BP275))*BW275)</f>
      </c>
      <c r="BY275" s="72">
        <f>IF(B275="","",IF(Metodo_Prorrateo="KG",IF(SUMIFS($I$6:$I$305,$D$6:$D$305,D275)=0,0,I275/SUMIFS($I$6:$I$305,$D$6:$D$305,D275)),IF(I275&gt;0,1/COUNTIFS($D$6:$D$305,D275,$I$6:$I$305,"&gt;0"),0)))</f>
      </c>
      <c r="BZ275" s="37">
        <f>IF(B275="","",IF(BP275=0,0,INDEX(COSTOS_FIJOS!$G$41:$AD$41,BP275))*BY275)</f>
      </c>
      <c r="CA275" s="70">
        <f>IF(B275="","",BT275+BV275+BX275+BZ275)</f>
      </c>
      <c r="CB275" s="37">
        <f>IF(B275="","",Q275*Imp_Ventas_Serv)</f>
      </c>
      <c r="CC275" s="37">
        <f>IF(B275="","",Q275*Contrib_Territorial)</f>
      </c>
      <c r="CD275" s="70">
        <f>IF(B275="","",BM275-CA275-CB275-CC275)</f>
      </c>
      <c r="CE275" s="37">
        <f>IF(B275="","",MAX(0,CD275)*Imp_Utilidades)</f>
      </c>
      <c r="CF275" s="70">
        <f>IF(B275="","",CD275-CE275)</f>
      </c>
      <c r="CG275" s="72">
        <f>IF(B275="","",IF(Q275=0,0,CF275/Q275))</f>
      </c>
      <c r="CH275" s="73">
        <f>IF(B275="","",IF(J275=0,0,(BL275+CA275+CB275+CC275)/J275))</f>
      </c>
      <c r="CI275" s="73">
        <f>IF(B275="","",IF(J275=0,0,Q275/J275))</f>
      </c>
      <c r="CJ275" s="73">
        <f>IF(B275="","",IF(J275=0,0,CD275/J275))</f>
      </c>
      <c r="CK275" s="37">
        <f>IF(B275="","",Y275+AE275+BK275+BT275)</f>
      </c>
      <c r="CL275" s="37">
        <f>IF(B275="","",IF(J275=0,0,(M275+P275*G275/J275)*(1-Pct_Reclamaciones-Pct_Banco-Imp_Ventas_Serv-Contrib_Territorial)-AI275-BE275-BV275-CK275*G275/J275))</f>
      </c>
      <c r="CM275" s="37">
        <f>IF(B275="","",IF(J275=0,0,(N275+P275*H275/J275)*(1-Pct_Reclamaciones-Pct_Banco-Imp_Ventas_Serv-Contrib_Territorial)-AS275-BF275-BX275-CK275*H275/J275))</f>
      </c>
      <c r="CN275" s="37">
        <f>IF(B275="","",IF(J275=0,0,(O275+P275*I275/J275)*(1-Pct_Reclamaciones-Pct_Banco-Imp_Ventas_Serv-Contrib_Territorial)-BC275-BG275-BZ275-CK275*I275/J275))</f>
      </c>
      <c r="CO275" s="37">
        <f>IF(B275="","",IF(J275=0,0,ROUND(CD275-CL275-CM275-CN275,4)))</f>
      </c>
      <c r="CP275" s="71">
        <f>IF(B275="","",T275+AG275+AK275+AM275+AU275+AW275)</f>
      </c>
      <c r="CQ275" s="71">
        <f>IF(B275="","",U275+AH275+AL275+AN275+AV275+AX275)</f>
      </c>
      <c r="CR275" s="72">
        <f>IF(B275="","",IF(CP275=0,0,CQ275/CP275-1))</f>
      </c>
      <c r="CS275" s="60">
        <f>IF(B275="","",IF(ENTRADA!$Y275="","",ENTRADA!$Y275-C275))</f>
      </c>
      <c r="CT275" s="66">
        <f>IF(B275="","",IF(ENTRADA!$C275="","Falta fecha. ","")&amp;IF(BP275=0,"Mes fuera del rango de COSTOS_FIJOS. ","")&amp;IF(J275=0,"Sin kg. ","")&amp;IF(E275="","Falta transitaria. ","")&amp;IF(AND(T275&gt;0,U275/T275-1&gt;Tolerancia_Comb),"Combustible al puerto "&amp;TEXT(U275/T275-1,"+0%")&amp;" sobre norma. ","")&amp;IF(AND(AG275&gt;0,AH275/AG275-1&gt;Tolerancia_Comb),"Combustible distribución Occidente "&amp;TEXT(AH275/AG275-1,"+0%")&amp;" sobre norma. ","")&amp;IF(AND(AK275&gt;0,AL275/AK275-1&gt;Tolerancia_Comb),"Combustible traslado Centro "&amp;TEXT(AL275/AK275-1,"+0%")&amp;" sobre norma. ","")&amp;IF(AND(AM275&gt;0,AN275/AM275-1&gt;Tolerancia_Comb),"Combustible distribución Centro "&amp;TEXT(AN275/AM275-1,"+0%")&amp;" sobre norma. ","")&amp;IF(AND(AU275&gt;0,AV275/AU275-1&gt;Tolerancia_Comb),"Combustible traslado Oriente "&amp;TEXT(AV275/AU275-1,"+0%")&amp;" sobre norma. ","")&amp;IF(AND(AW275&gt;0,AX275/AW275-1&gt;Tolerancia_Comb),"Combustible distribución Oriente "&amp;TEXT(AX275/AW275-1,"+0%")&amp;" sobre norma. ","")&amp;IF(AND(ENTRADA!$C275&lt;&gt;"",C275&lt;PRECIOS!$A$6),"Fecha anterior a la 1ª vigencia de precios. ","")&amp;IF(CD275&lt;0,"Contenedor con pérdida. ",""))</f>
      </c>
    </row>
    <row r="276">
      <c r="A276" s="60">
        <f>IF(B276="","",ROW()-5)</f>
      </c>
      <c r="B276" s="63">
        <f>IF(ENTRADA!$B276="","",ENTRADA!$B276)</f>
      </c>
      <c r="C276" s="64">
        <f>IF(B276="","",ENTRADA!$C276)</f>
      </c>
      <c r="D276" s="65">
        <f>IF(B276="","",DATE(YEAR(C276),MONTH(C276),1))</f>
      </c>
      <c r="E276" s="66">
        <f>IF(B276="","",ENTRADA!$D276&amp;"")</f>
      </c>
      <c r="F276" s="66">
        <f>IF(B276="","",ENTRADA!$Z276&amp;"")</f>
      </c>
      <c r="G276" s="67">
        <f>IF(B276="","",N(ENTRADA!$G276))</f>
      </c>
      <c r="H276" s="67">
        <f>IF(B276="","",N(ENTRADA!$H276))</f>
      </c>
      <c r="I276" s="67">
        <f>IF(B276="","",N(ENTRADA!$I276))</f>
      </c>
      <c r="J276" s="68">
        <f>IF(B276="","",G276+H276+I276)</f>
      </c>
      <c r="K276" s="60">
        <f>IF(B276="","",IFERROR(MATCH(SUMPRODUCT(MAX((PRECIOS!$A$6:$A$55&lt;=C276)*PRECIOS!$A$6:$A$55)),PRECIOS!$A$6:$A$55,0),1))</f>
      </c>
      <c r="L276" s="69">
        <f>IF(B276="","",INDEX(PRECIOS!$A$6:$A$55,K276))</f>
      </c>
      <c r="M276" s="37">
        <f>IF(B276="","",G276*INDEX(PRECIOS!$B$6:$B$55,K276))</f>
      </c>
      <c r="N276" s="37">
        <f>IF(B276="","",H276*INDEX(PRECIOS!$C$6:$C$55,K276))</f>
      </c>
      <c r="O276" s="37">
        <f>IF(B276="","",I276*INDEX(PRECIOS!$D$6:$D$55,K276))</f>
      </c>
      <c r="P276" s="37">
        <f>IF(B276="","",N(ENTRADA!$X276))</f>
      </c>
      <c r="Q276" s="70">
        <f>IF(B276="","",M276+N276+O276+P276)</f>
      </c>
      <c r="R276" s="71">
        <f>IF(B276="","",IF(ENTRADA!$J276="",Std_Viajes_Puerto,ENTRADA!$J276))</f>
      </c>
      <c r="S276" s="37">
        <f>IF(B276="","",R276*INDEX(PRECIOS!$F$6:$F$55,K276))</f>
      </c>
      <c r="T276" s="71">
        <f>IF(B276="","",R276*Litros_Puerto_Viaje)</f>
      </c>
      <c r="U276" s="71">
        <f>IF(B276="","",IF(ENTRADA!$K276="",T276,ENTRADA!$K276))</f>
      </c>
      <c r="V276" s="37">
        <f>IF(B276="","",U276*INDEX(PRECIOS!$E$6:$E$55,K276))</f>
      </c>
      <c r="W276" s="37">
        <f>IF(B276="","",IF(ENTRADA!$L276="",R276*INDEX(PRECIOS!$G$6:$G$55,K276),ENTRADA!$L276))</f>
      </c>
      <c r="X276" s="37">
        <f>IF(B276="","",R276*Km_Puerto_Viaje*INDEX(PRECIOS!$N$6:$N$55,K276))</f>
      </c>
      <c r="Y276" s="70">
        <f>IF(B276="","",S276+V276+W276+X276)</f>
      </c>
      <c r="Z276" s="71">
        <f>IF(B276="","",IF(J276=0,0,ROUNDUP(J276/Rend_Desagrupe,0)))</f>
      </c>
      <c r="AA276" s="71">
        <f>IF(B276="","",IF(ENTRADA!$M276="",Z276,ENTRADA!$M276))</f>
      </c>
      <c r="AB276" s="37">
        <f>IF(B276="","",AA276*INDEX(PRECIOS!$H$6:$H$55,K276))</f>
      </c>
      <c r="AC276" s="37">
        <f>IF(B276="","",IF(E276="ENCI",INDEX(PRECIOS!$J$6:$J$55,K276),IF(E276="A.V",INDEX(PRECIOS!$K$6:$K$55,K276),0)))</f>
      </c>
      <c r="AD276" s="37">
        <f>IF(B276="","",N(ENTRADA!$N276))</f>
      </c>
      <c r="AE276" s="70">
        <f>IF(B276="","",AB276+AC276+AD276)</f>
      </c>
      <c r="AF276" s="71">
        <f>IF(B276="","",IF(G276=0,0,ROUNDUP(G276/Cap_Camion_OCC,0)))</f>
      </c>
      <c r="AG276" s="71">
        <f>IF(B276="","",AF276*L_Dist_OCC)</f>
      </c>
      <c r="AH276" s="71">
        <f>IF(B276="","",IF(ENTRADA!$O276="",AG276,ENTRADA!$O276))</f>
      </c>
      <c r="AI276" s="37">
        <f>IF(B276="","",AH276*INDEX(PRECIOS!$E$6:$E$55,K276))</f>
      </c>
      <c r="AJ276" s="71">
        <f>IF(B276="","",IF(H276=0,0,ROUNDUP(H276/Cap_Camion_CEN,0)))</f>
      </c>
      <c r="AK276" s="71">
        <f>IF(B276="","",AJ276*L_Tras_CEN)</f>
      </c>
      <c r="AL276" s="71">
        <f>IF(B276="","",IF(ENTRADA!$P276="",AK276,ENTRADA!$P276))</f>
      </c>
      <c r="AM276" s="71">
        <f>IF(B276="","",AJ276*L_Dist_CEN)</f>
      </c>
      <c r="AN276" s="71">
        <f>IF(B276="","",IF(ENTRADA!$Q276="",AM276,ENTRADA!$Q276))</f>
      </c>
      <c r="AO276" s="37">
        <f>IF(B276="","",(AL276+AN276)*INDEX(PRECIOS!$E$6:$E$55,K276))</f>
      </c>
      <c r="AP276" s="71">
        <f>IF(B276="","",IF(H276=0,0,ROUNDUP(H276/Rend_Desagrupe_CT,0)))</f>
      </c>
      <c r="AQ276" s="71">
        <f>IF(B276="","",IF(ENTRADA!$R276="",AP276,ENTRADA!$R276))</f>
      </c>
      <c r="AR276" s="37">
        <f>IF(B276="","",AQ276*INDEX(PRECIOS!$I$6:$I$55,K276))</f>
      </c>
      <c r="AS276" s="37">
        <f>IF(B276="","",AO276+AR276)</f>
      </c>
      <c r="AT276" s="71">
        <f>IF(B276="","",IF(I276=0,0,ROUNDUP(I276/Cap_Camion_ORI,0)))</f>
      </c>
      <c r="AU276" s="71">
        <f>IF(B276="","",AT276*L_Tras_ORI)</f>
      </c>
      <c r="AV276" s="71">
        <f>IF(B276="","",IF(ENTRADA!$S276="",AU276,ENTRADA!$S276))</f>
      </c>
      <c r="AW276" s="71">
        <f>IF(B276="","",AT276*L_Dist_ORI)</f>
      </c>
      <c r="AX276" s="71">
        <f>IF(B276="","",IF(ENTRADA!$T276="",AW276,ENTRADA!$T276))</f>
      </c>
      <c r="AY276" s="37">
        <f>IF(B276="","",(AV276+AX276)*INDEX(PRECIOS!$E$6:$E$55,K276))</f>
      </c>
      <c r="AZ276" s="71">
        <f>IF(B276="","",IF(I276=0,0,ROUNDUP(I276/Rend_Desagrupe_CT,0)))</f>
      </c>
      <c r="BA276" s="71">
        <f>IF(B276="","",IF(ENTRADA!$U276="",AZ276,ENTRADA!$U276))</f>
      </c>
      <c r="BB276" s="37">
        <f>IF(B276="","",BA276*INDEX(PRECIOS!$I$6:$I$55,K276))</f>
      </c>
      <c r="BC276" s="37">
        <f>IF(B276="","",AY276+BB276)</f>
      </c>
      <c r="BD276" s="70">
        <f>IF(B276="","",AI276+AS276+BC276)</f>
      </c>
      <c r="BE276" s="37">
        <f>IF(B276="","",IF(Base_Comision="% DEL INGRESO",M276*INDEX(PRECIOS!$L$6:$L$55,K276),G276*INDEX(PRECIOS!$M$6:$M$55,K276)))</f>
      </c>
      <c r="BF276" s="37">
        <f>IF(B276="","",IF(Base_Comision="% DEL INGRESO",N276*INDEX(PRECIOS!$L$6:$L$55,K276),H276*INDEX(PRECIOS!$M$6:$M$55,K276)))</f>
      </c>
      <c r="BG276" s="37">
        <f>IF(B276="","",IF(Base_Comision="% DEL INGRESO",O276*INDEX(PRECIOS!$L$6:$L$55,K276),I276*INDEX(PRECIOS!$M$6:$M$55,K276)))</f>
      </c>
      <c r="BH276" s="70">
        <f>IF(B276="","",BE276+BF276+BG276)</f>
      </c>
      <c r="BI276" s="37">
        <f>IF(B276="","",Q276*Pct_Reclamaciones)</f>
      </c>
      <c r="BJ276" s="37">
        <f>IF(B276="","",Q276*Pct_Banco)</f>
      </c>
      <c r="BK276" s="37">
        <f>IF(B276="","",N(ENTRADA!$V276))</f>
      </c>
      <c r="BL276" s="70">
        <f>IF(B276="","",Y276+AE276+BD276+BH276+BI276+BJ276+BK276)</f>
      </c>
      <c r="BM276" s="70">
        <f>IF(B276="","",Q276-BL276)</f>
      </c>
      <c r="BN276" s="72">
        <f>IF(B276="","",IF(Q276=0,0,BM276/Q276))</f>
      </c>
      <c r="BO276" s="73">
        <f>IF(B276="","",IF(J276=0,0,BM276/J276))</f>
      </c>
      <c r="BP276" s="60">
        <f>IF(B276="","",IFERROR(MATCH(D276,COSTOS_FIJOS!$G$5:$AD$5,0),0))</f>
      </c>
      <c r="BQ276" s="60">
        <f>IF(B276="","",COUNTIFS($D$6:$D$305,D276))</f>
      </c>
      <c r="BR276" s="67">
        <f>IF(B276="","",SUMIFS($J$6:$J$305,$D$6:$D$305,D276))</f>
      </c>
      <c r="BS276" s="72">
        <f>IF(B276="","",IF(Metodo_Prorrateo="KG",IF(BR276=0,0,J276/BR276),1/BQ276))</f>
      </c>
      <c r="BT276" s="37">
        <f>IF(B276="","",IF(BP276=0,0,INDEX(COSTOS_FIJOS!$G$38:$AD$38,BP276))*BS276)</f>
      </c>
      <c r="BU276" s="72">
        <f>IF(B276="","",IF(Metodo_Prorrateo="KG",IF(SUMIFS($G$6:$G$305,$D$6:$D$305,D276)=0,0,G276/SUMIFS($G$6:$G$305,$D$6:$D$305,D276)),IF(G276&gt;0,1/COUNTIFS($D$6:$D$305,D276,$G$6:$G$305,"&gt;0"),0)))</f>
      </c>
      <c r="BV276" s="37">
        <f>IF(B276="","",IF(BP276=0,0,INDEX(COSTOS_FIJOS!$G$39:$AD$39,BP276))*BU276)</f>
      </c>
      <c r="BW276" s="72">
        <f>IF(B276="","",IF(Metodo_Prorrateo="KG",IF(SUMIFS($H$6:$H$305,$D$6:$D$305,D276)=0,0,H276/SUMIFS($H$6:$H$305,$D$6:$D$305,D276)),IF(H276&gt;0,1/COUNTIFS($D$6:$D$305,D276,$H$6:$H$305,"&gt;0"),0)))</f>
      </c>
      <c r="BX276" s="37">
        <f>IF(B276="","",IF(BP276=0,0,INDEX(COSTOS_FIJOS!$G$40:$AD$40,BP276))*BW276)</f>
      </c>
      <c r="BY276" s="72">
        <f>IF(B276="","",IF(Metodo_Prorrateo="KG",IF(SUMIFS($I$6:$I$305,$D$6:$D$305,D276)=0,0,I276/SUMIFS($I$6:$I$305,$D$6:$D$305,D276)),IF(I276&gt;0,1/COUNTIFS($D$6:$D$305,D276,$I$6:$I$305,"&gt;0"),0)))</f>
      </c>
      <c r="BZ276" s="37">
        <f>IF(B276="","",IF(BP276=0,0,INDEX(COSTOS_FIJOS!$G$41:$AD$41,BP276))*BY276)</f>
      </c>
      <c r="CA276" s="70">
        <f>IF(B276="","",BT276+BV276+BX276+BZ276)</f>
      </c>
      <c r="CB276" s="37">
        <f>IF(B276="","",Q276*Imp_Ventas_Serv)</f>
      </c>
      <c r="CC276" s="37">
        <f>IF(B276="","",Q276*Contrib_Territorial)</f>
      </c>
      <c r="CD276" s="70">
        <f>IF(B276="","",BM276-CA276-CB276-CC276)</f>
      </c>
      <c r="CE276" s="37">
        <f>IF(B276="","",MAX(0,CD276)*Imp_Utilidades)</f>
      </c>
      <c r="CF276" s="70">
        <f>IF(B276="","",CD276-CE276)</f>
      </c>
      <c r="CG276" s="72">
        <f>IF(B276="","",IF(Q276=0,0,CF276/Q276))</f>
      </c>
      <c r="CH276" s="73">
        <f>IF(B276="","",IF(J276=0,0,(BL276+CA276+CB276+CC276)/J276))</f>
      </c>
      <c r="CI276" s="73">
        <f>IF(B276="","",IF(J276=0,0,Q276/J276))</f>
      </c>
      <c r="CJ276" s="73">
        <f>IF(B276="","",IF(J276=0,0,CD276/J276))</f>
      </c>
      <c r="CK276" s="37">
        <f>IF(B276="","",Y276+AE276+BK276+BT276)</f>
      </c>
      <c r="CL276" s="37">
        <f>IF(B276="","",IF(J276=0,0,(M276+P276*G276/J276)*(1-Pct_Reclamaciones-Pct_Banco-Imp_Ventas_Serv-Contrib_Territorial)-AI276-BE276-BV276-CK276*G276/J276))</f>
      </c>
      <c r="CM276" s="37">
        <f>IF(B276="","",IF(J276=0,0,(N276+P276*H276/J276)*(1-Pct_Reclamaciones-Pct_Banco-Imp_Ventas_Serv-Contrib_Territorial)-AS276-BF276-BX276-CK276*H276/J276))</f>
      </c>
      <c r="CN276" s="37">
        <f>IF(B276="","",IF(J276=0,0,(O276+P276*I276/J276)*(1-Pct_Reclamaciones-Pct_Banco-Imp_Ventas_Serv-Contrib_Territorial)-BC276-BG276-BZ276-CK276*I276/J276))</f>
      </c>
      <c r="CO276" s="37">
        <f>IF(B276="","",IF(J276=0,0,ROUND(CD276-CL276-CM276-CN276,4)))</f>
      </c>
      <c r="CP276" s="71">
        <f>IF(B276="","",T276+AG276+AK276+AM276+AU276+AW276)</f>
      </c>
      <c r="CQ276" s="71">
        <f>IF(B276="","",U276+AH276+AL276+AN276+AV276+AX276)</f>
      </c>
      <c r="CR276" s="72">
        <f>IF(B276="","",IF(CP276=0,0,CQ276/CP276-1))</f>
      </c>
      <c r="CS276" s="60">
        <f>IF(B276="","",IF(ENTRADA!$Y276="","",ENTRADA!$Y276-C276))</f>
      </c>
      <c r="CT276" s="66">
        <f>IF(B276="","",IF(ENTRADA!$C276="","Falta fecha. ","")&amp;IF(BP276=0,"Mes fuera del rango de COSTOS_FIJOS. ","")&amp;IF(J276=0,"Sin kg. ","")&amp;IF(E276="","Falta transitaria. ","")&amp;IF(AND(T276&gt;0,U276/T276-1&gt;Tolerancia_Comb),"Combustible al puerto "&amp;TEXT(U276/T276-1,"+0%")&amp;" sobre norma. ","")&amp;IF(AND(AG276&gt;0,AH276/AG276-1&gt;Tolerancia_Comb),"Combustible distribución Occidente "&amp;TEXT(AH276/AG276-1,"+0%")&amp;" sobre norma. ","")&amp;IF(AND(AK276&gt;0,AL276/AK276-1&gt;Tolerancia_Comb),"Combustible traslado Centro "&amp;TEXT(AL276/AK276-1,"+0%")&amp;" sobre norma. ","")&amp;IF(AND(AM276&gt;0,AN276/AM276-1&gt;Tolerancia_Comb),"Combustible distribución Centro "&amp;TEXT(AN276/AM276-1,"+0%")&amp;" sobre norma. ","")&amp;IF(AND(AU276&gt;0,AV276/AU276-1&gt;Tolerancia_Comb),"Combustible traslado Oriente "&amp;TEXT(AV276/AU276-1,"+0%")&amp;" sobre norma. ","")&amp;IF(AND(AW276&gt;0,AX276/AW276-1&gt;Tolerancia_Comb),"Combustible distribución Oriente "&amp;TEXT(AX276/AW276-1,"+0%")&amp;" sobre norma. ","")&amp;IF(AND(ENTRADA!$C276&lt;&gt;"",C276&lt;PRECIOS!$A$6),"Fecha anterior a la 1ª vigencia de precios. ","")&amp;IF(CD276&lt;0,"Contenedor con pérdida. ",""))</f>
      </c>
    </row>
    <row r="277">
      <c r="A277" s="60">
        <f>IF(B277="","",ROW()-5)</f>
      </c>
      <c r="B277" s="63">
        <f>IF(ENTRADA!$B277="","",ENTRADA!$B277)</f>
      </c>
      <c r="C277" s="64">
        <f>IF(B277="","",ENTRADA!$C277)</f>
      </c>
      <c r="D277" s="65">
        <f>IF(B277="","",DATE(YEAR(C277),MONTH(C277),1))</f>
      </c>
      <c r="E277" s="66">
        <f>IF(B277="","",ENTRADA!$D277&amp;"")</f>
      </c>
      <c r="F277" s="66">
        <f>IF(B277="","",ENTRADA!$Z277&amp;"")</f>
      </c>
      <c r="G277" s="67">
        <f>IF(B277="","",N(ENTRADA!$G277))</f>
      </c>
      <c r="H277" s="67">
        <f>IF(B277="","",N(ENTRADA!$H277))</f>
      </c>
      <c r="I277" s="67">
        <f>IF(B277="","",N(ENTRADA!$I277))</f>
      </c>
      <c r="J277" s="68">
        <f>IF(B277="","",G277+H277+I277)</f>
      </c>
      <c r="K277" s="60">
        <f>IF(B277="","",IFERROR(MATCH(SUMPRODUCT(MAX((PRECIOS!$A$6:$A$55&lt;=C277)*PRECIOS!$A$6:$A$55)),PRECIOS!$A$6:$A$55,0),1))</f>
      </c>
      <c r="L277" s="69">
        <f>IF(B277="","",INDEX(PRECIOS!$A$6:$A$55,K277))</f>
      </c>
      <c r="M277" s="37">
        <f>IF(B277="","",G277*INDEX(PRECIOS!$B$6:$B$55,K277))</f>
      </c>
      <c r="N277" s="37">
        <f>IF(B277="","",H277*INDEX(PRECIOS!$C$6:$C$55,K277))</f>
      </c>
      <c r="O277" s="37">
        <f>IF(B277="","",I277*INDEX(PRECIOS!$D$6:$D$55,K277))</f>
      </c>
      <c r="P277" s="37">
        <f>IF(B277="","",N(ENTRADA!$X277))</f>
      </c>
      <c r="Q277" s="70">
        <f>IF(B277="","",M277+N277+O277+P277)</f>
      </c>
      <c r="R277" s="71">
        <f>IF(B277="","",IF(ENTRADA!$J277="",Std_Viajes_Puerto,ENTRADA!$J277))</f>
      </c>
      <c r="S277" s="37">
        <f>IF(B277="","",R277*INDEX(PRECIOS!$F$6:$F$55,K277))</f>
      </c>
      <c r="T277" s="71">
        <f>IF(B277="","",R277*Litros_Puerto_Viaje)</f>
      </c>
      <c r="U277" s="71">
        <f>IF(B277="","",IF(ENTRADA!$K277="",T277,ENTRADA!$K277))</f>
      </c>
      <c r="V277" s="37">
        <f>IF(B277="","",U277*INDEX(PRECIOS!$E$6:$E$55,K277))</f>
      </c>
      <c r="W277" s="37">
        <f>IF(B277="","",IF(ENTRADA!$L277="",R277*INDEX(PRECIOS!$G$6:$G$55,K277),ENTRADA!$L277))</f>
      </c>
      <c r="X277" s="37">
        <f>IF(B277="","",R277*Km_Puerto_Viaje*INDEX(PRECIOS!$N$6:$N$55,K277))</f>
      </c>
      <c r="Y277" s="70">
        <f>IF(B277="","",S277+V277+W277+X277)</f>
      </c>
      <c r="Z277" s="71">
        <f>IF(B277="","",IF(J277=0,0,ROUNDUP(J277/Rend_Desagrupe,0)))</f>
      </c>
      <c r="AA277" s="71">
        <f>IF(B277="","",IF(ENTRADA!$M277="",Z277,ENTRADA!$M277))</f>
      </c>
      <c r="AB277" s="37">
        <f>IF(B277="","",AA277*INDEX(PRECIOS!$H$6:$H$55,K277))</f>
      </c>
      <c r="AC277" s="37">
        <f>IF(B277="","",IF(E277="ENCI",INDEX(PRECIOS!$J$6:$J$55,K277),IF(E277="A.V",INDEX(PRECIOS!$K$6:$K$55,K277),0)))</f>
      </c>
      <c r="AD277" s="37">
        <f>IF(B277="","",N(ENTRADA!$N277))</f>
      </c>
      <c r="AE277" s="70">
        <f>IF(B277="","",AB277+AC277+AD277)</f>
      </c>
      <c r="AF277" s="71">
        <f>IF(B277="","",IF(G277=0,0,ROUNDUP(G277/Cap_Camion_OCC,0)))</f>
      </c>
      <c r="AG277" s="71">
        <f>IF(B277="","",AF277*L_Dist_OCC)</f>
      </c>
      <c r="AH277" s="71">
        <f>IF(B277="","",IF(ENTRADA!$O277="",AG277,ENTRADA!$O277))</f>
      </c>
      <c r="AI277" s="37">
        <f>IF(B277="","",AH277*INDEX(PRECIOS!$E$6:$E$55,K277))</f>
      </c>
      <c r="AJ277" s="71">
        <f>IF(B277="","",IF(H277=0,0,ROUNDUP(H277/Cap_Camion_CEN,0)))</f>
      </c>
      <c r="AK277" s="71">
        <f>IF(B277="","",AJ277*L_Tras_CEN)</f>
      </c>
      <c r="AL277" s="71">
        <f>IF(B277="","",IF(ENTRADA!$P277="",AK277,ENTRADA!$P277))</f>
      </c>
      <c r="AM277" s="71">
        <f>IF(B277="","",AJ277*L_Dist_CEN)</f>
      </c>
      <c r="AN277" s="71">
        <f>IF(B277="","",IF(ENTRADA!$Q277="",AM277,ENTRADA!$Q277))</f>
      </c>
      <c r="AO277" s="37">
        <f>IF(B277="","",(AL277+AN277)*INDEX(PRECIOS!$E$6:$E$55,K277))</f>
      </c>
      <c r="AP277" s="71">
        <f>IF(B277="","",IF(H277=0,0,ROUNDUP(H277/Rend_Desagrupe_CT,0)))</f>
      </c>
      <c r="AQ277" s="71">
        <f>IF(B277="","",IF(ENTRADA!$R277="",AP277,ENTRADA!$R277))</f>
      </c>
      <c r="AR277" s="37">
        <f>IF(B277="","",AQ277*INDEX(PRECIOS!$I$6:$I$55,K277))</f>
      </c>
      <c r="AS277" s="37">
        <f>IF(B277="","",AO277+AR277)</f>
      </c>
      <c r="AT277" s="71">
        <f>IF(B277="","",IF(I277=0,0,ROUNDUP(I277/Cap_Camion_ORI,0)))</f>
      </c>
      <c r="AU277" s="71">
        <f>IF(B277="","",AT277*L_Tras_ORI)</f>
      </c>
      <c r="AV277" s="71">
        <f>IF(B277="","",IF(ENTRADA!$S277="",AU277,ENTRADA!$S277))</f>
      </c>
      <c r="AW277" s="71">
        <f>IF(B277="","",AT277*L_Dist_ORI)</f>
      </c>
      <c r="AX277" s="71">
        <f>IF(B277="","",IF(ENTRADA!$T277="",AW277,ENTRADA!$T277))</f>
      </c>
      <c r="AY277" s="37">
        <f>IF(B277="","",(AV277+AX277)*INDEX(PRECIOS!$E$6:$E$55,K277))</f>
      </c>
      <c r="AZ277" s="71">
        <f>IF(B277="","",IF(I277=0,0,ROUNDUP(I277/Rend_Desagrupe_CT,0)))</f>
      </c>
      <c r="BA277" s="71">
        <f>IF(B277="","",IF(ENTRADA!$U277="",AZ277,ENTRADA!$U277))</f>
      </c>
      <c r="BB277" s="37">
        <f>IF(B277="","",BA277*INDEX(PRECIOS!$I$6:$I$55,K277))</f>
      </c>
      <c r="BC277" s="37">
        <f>IF(B277="","",AY277+BB277)</f>
      </c>
      <c r="BD277" s="70">
        <f>IF(B277="","",AI277+AS277+BC277)</f>
      </c>
      <c r="BE277" s="37">
        <f>IF(B277="","",IF(Base_Comision="% DEL INGRESO",M277*INDEX(PRECIOS!$L$6:$L$55,K277),G277*INDEX(PRECIOS!$M$6:$M$55,K277)))</f>
      </c>
      <c r="BF277" s="37">
        <f>IF(B277="","",IF(Base_Comision="% DEL INGRESO",N277*INDEX(PRECIOS!$L$6:$L$55,K277),H277*INDEX(PRECIOS!$M$6:$M$55,K277)))</f>
      </c>
      <c r="BG277" s="37">
        <f>IF(B277="","",IF(Base_Comision="% DEL INGRESO",O277*INDEX(PRECIOS!$L$6:$L$55,K277),I277*INDEX(PRECIOS!$M$6:$M$55,K277)))</f>
      </c>
      <c r="BH277" s="70">
        <f>IF(B277="","",BE277+BF277+BG277)</f>
      </c>
      <c r="BI277" s="37">
        <f>IF(B277="","",Q277*Pct_Reclamaciones)</f>
      </c>
      <c r="BJ277" s="37">
        <f>IF(B277="","",Q277*Pct_Banco)</f>
      </c>
      <c r="BK277" s="37">
        <f>IF(B277="","",N(ENTRADA!$V277))</f>
      </c>
      <c r="BL277" s="70">
        <f>IF(B277="","",Y277+AE277+BD277+BH277+BI277+BJ277+BK277)</f>
      </c>
      <c r="BM277" s="70">
        <f>IF(B277="","",Q277-BL277)</f>
      </c>
      <c r="BN277" s="72">
        <f>IF(B277="","",IF(Q277=0,0,BM277/Q277))</f>
      </c>
      <c r="BO277" s="73">
        <f>IF(B277="","",IF(J277=0,0,BM277/J277))</f>
      </c>
      <c r="BP277" s="60">
        <f>IF(B277="","",IFERROR(MATCH(D277,COSTOS_FIJOS!$G$5:$AD$5,0),0))</f>
      </c>
      <c r="BQ277" s="60">
        <f>IF(B277="","",COUNTIFS($D$6:$D$305,D277))</f>
      </c>
      <c r="BR277" s="67">
        <f>IF(B277="","",SUMIFS($J$6:$J$305,$D$6:$D$305,D277))</f>
      </c>
      <c r="BS277" s="72">
        <f>IF(B277="","",IF(Metodo_Prorrateo="KG",IF(BR277=0,0,J277/BR277),1/BQ277))</f>
      </c>
      <c r="BT277" s="37">
        <f>IF(B277="","",IF(BP277=0,0,INDEX(COSTOS_FIJOS!$G$38:$AD$38,BP277))*BS277)</f>
      </c>
      <c r="BU277" s="72">
        <f>IF(B277="","",IF(Metodo_Prorrateo="KG",IF(SUMIFS($G$6:$G$305,$D$6:$D$305,D277)=0,0,G277/SUMIFS($G$6:$G$305,$D$6:$D$305,D277)),IF(G277&gt;0,1/COUNTIFS($D$6:$D$305,D277,$G$6:$G$305,"&gt;0"),0)))</f>
      </c>
      <c r="BV277" s="37">
        <f>IF(B277="","",IF(BP277=0,0,INDEX(COSTOS_FIJOS!$G$39:$AD$39,BP277))*BU277)</f>
      </c>
      <c r="BW277" s="72">
        <f>IF(B277="","",IF(Metodo_Prorrateo="KG",IF(SUMIFS($H$6:$H$305,$D$6:$D$305,D277)=0,0,H277/SUMIFS($H$6:$H$305,$D$6:$D$305,D277)),IF(H277&gt;0,1/COUNTIFS($D$6:$D$305,D277,$H$6:$H$305,"&gt;0"),0)))</f>
      </c>
      <c r="BX277" s="37">
        <f>IF(B277="","",IF(BP277=0,0,INDEX(COSTOS_FIJOS!$G$40:$AD$40,BP277))*BW277)</f>
      </c>
      <c r="BY277" s="72">
        <f>IF(B277="","",IF(Metodo_Prorrateo="KG",IF(SUMIFS($I$6:$I$305,$D$6:$D$305,D277)=0,0,I277/SUMIFS($I$6:$I$305,$D$6:$D$305,D277)),IF(I277&gt;0,1/COUNTIFS($D$6:$D$305,D277,$I$6:$I$305,"&gt;0"),0)))</f>
      </c>
      <c r="BZ277" s="37">
        <f>IF(B277="","",IF(BP277=0,0,INDEX(COSTOS_FIJOS!$G$41:$AD$41,BP277))*BY277)</f>
      </c>
      <c r="CA277" s="70">
        <f>IF(B277="","",BT277+BV277+BX277+BZ277)</f>
      </c>
      <c r="CB277" s="37">
        <f>IF(B277="","",Q277*Imp_Ventas_Serv)</f>
      </c>
      <c r="CC277" s="37">
        <f>IF(B277="","",Q277*Contrib_Territorial)</f>
      </c>
      <c r="CD277" s="70">
        <f>IF(B277="","",BM277-CA277-CB277-CC277)</f>
      </c>
      <c r="CE277" s="37">
        <f>IF(B277="","",MAX(0,CD277)*Imp_Utilidades)</f>
      </c>
      <c r="CF277" s="70">
        <f>IF(B277="","",CD277-CE277)</f>
      </c>
      <c r="CG277" s="72">
        <f>IF(B277="","",IF(Q277=0,0,CF277/Q277))</f>
      </c>
      <c r="CH277" s="73">
        <f>IF(B277="","",IF(J277=0,0,(BL277+CA277+CB277+CC277)/J277))</f>
      </c>
      <c r="CI277" s="73">
        <f>IF(B277="","",IF(J277=0,0,Q277/J277))</f>
      </c>
      <c r="CJ277" s="73">
        <f>IF(B277="","",IF(J277=0,0,CD277/J277))</f>
      </c>
      <c r="CK277" s="37">
        <f>IF(B277="","",Y277+AE277+BK277+BT277)</f>
      </c>
      <c r="CL277" s="37">
        <f>IF(B277="","",IF(J277=0,0,(M277+P277*G277/J277)*(1-Pct_Reclamaciones-Pct_Banco-Imp_Ventas_Serv-Contrib_Territorial)-AI277-BE277-BV277-CK277*G277/J277))</f>
      </c>
      <c r="CM277" s="37">
        <f>IF(B277="","",IF(J277=0,0,(N277+P277*H277/J277)*(1-Pct_Reclamaciones-Pct_Banco-Imp_Ventas_Serv-Contrib_Territorial)-AS277-BF277-BX277-CK277*H277/J277))</f>
      </c>
      <c r="CN277" s="37">
        <f>IF(B277="","",IF(J277=0,0,(O277+P277*I277/J277)*(1-Pct_Reclamaciones-Pct_Banco-Imp_Ventas_Serv-Contrib_Territorial)-BC277-BG277-BZ277-CK277*I277/J277))</f>
      </c>
      <c r="CO277" s="37">
        <f>IF(B277="","",IF(J277=0,0,ROUND(CD277-CL277-CM277-CN277,4)))</f>
      </c>
      <c r="CP277" s="71">
        <f>IF(B277="","",T277+AG277+AK277+AM277+AU277+AW277)</f>
      </c>
      <c r="CQ277" s="71">
        <f>IF(B277="","",U277+AH277+AL277+AN277+AV277+AX277)</f>
      </c>
      <c r="CR277" s="72">
        <f>IF(B277="","",IF(CP277=0,0,CQ277/CP277-1))</f>
      </c>
      <c r="CS277" s="60">
        <f>IF(B277="","",IF(ENTRADA!$Y277="","",ENTRADA!$Y277-C277))</f>
      </c>
      <c r="CT277" s="66">
        <f>IF(B277="","",IF(ENTRADA!$C277="","Falta fecha. ","")&amp;IF(BP277=0,"Mes fuera del rango de COSTOS_FIJOS. ","")&amp;IF(J277=0,"Sin kg. ","")&amp;IF(E277="","Falta transitaria. ","")&amp;IF(AND(T277&gt;0,U277/T277-1&gt;Tolerancia_Comb),"Combustible al puerto "&amp;TEXT(U277/T277-1,"+0%")&amp;" sobre norma. ","")&amp;IF(AND(AG277&gt;0,AH277/AG277-1&gt;Tolerancia_Comb),"Combustible distribución Occidente "&amp;TEXT(AH277/AG277-1,"+0%")&amp;" sobre norma. ","")&amp;IF(AND(AK277&gt;0,AL277/AK277-1&gt;Tolerancia_Comb),"Combustible traslado Centro "&amp;TEXT(AL277/AK277-1,"+0%")&amp;" sobre norma. ","")&amp;IF(AND(AM277&gt;0,AN277/AM277-1&gt;Tolerancia_Comb),"Combustible distribución Centro "&amp;TEXT(AN277/AM277-1,"+0%")&amp;" sobre norma. ","")&amp;IF(AND(AU277&gt;0,AV277/AU277-1&gt;Tolerancia_Comb),"Combustible traslado Oriente "&amp;TEXT(AV277/AU277-1,"+0%")&amp;" sobre norma. ","")&amp;IF(AND(AW277&gt;0,AX277/AW277-1&gt;Tolerancia_Comb),"Combustible distribución Oriente "&amp;TEXT(AX277/AW277-1,"+0%")&amp;" sobre norma. ","")&amp;IF(AND(ENTRADA!$C277&lt;&gt;"",C277&lt;PRECIOS!$A$6),"Fecha anterior a la 1ª vigencia de precios. ","")&amp;IF(CD277&lt;0,"Contenedor con pérdida. ",""))</f>
      </c>
    </row>
    <row r="278">
      <c r="A278" s="60">
        <f>IF(B278="","",ROW()-5)</f>
      </c>
      <c r="B278" s="63">
        <f>IF(ENTRADA!$B278="","",ENTRADA!$B278)</f>
      </c>
      <c r="C278" s="64">
        <f>IF(B278="","",ENTRADA!$C278)</f>
      </c>
      <c r="D278" s="65">
        <f>IF(B278="","",DATE(YEAR(C278),MONTH(C278),1))</f>
      </c>
      <c r="E278" s="66">
        <f>IF(B278="","",ENTRADA!$D278&amp;"")</f>
      </c>
      <c r="F278" s="66">
        <f>IF(B278="","",ENTRADA!$Z278&amp;"")</f>
      </c>
      <c r="G278" s="67">
        <f>IF(B278="","",N(ENTRADA!$G278))</f>
      </c>
      <c r="H278" s="67">
        <f>IF(B278="","",N(ENTRADA!$H278))</f>
      </c>
      <c r="I278" s="67">
        <f>IF(B278="","",N(ENTRADA!$I278))</f>
      </c>
      <c r="J278" s="68">
        <f>IF(B278="","",G278+H278+I278)</f>
      </c>
      <c r="K278" s="60">
        <f>IF(B278="","",IFERROR(MATCH(SUMPRODUCT(MAX((PRECIOS!$A$6:$A$55&lt;=C278)*PRECIOS!$A$6:$A$55)),PRECIOS!$A$6:$A$55,0),1))</f>
      </c>
      <c r="L278" s="69">
        <f>IF(B278="","",INDEX(PRECIOS!$A$6:$A$55,K278))</f>
      </c>
      <c r="M278" s="37">
        <f>IF(B278="","",G278*INDEX(PRECIOS!$B$6:$B$55,K278))</f>
      </c>
      <c r="N278" s="37">
        <f>IF(B278="","",H278*INDEX(PRECIOS!$C$6:$C$55,K278))</f>
      </c>
      <c r="O278" s="37">
        <f>IF(B278="","",I278*INDEX(PRECIOS!$D$6:$D$55,K278))</f>
      </c>
      <c r="P278" s="37">
        <f>IF(B278="","",N(ENTRADA!$X278))</f>
      </c>
      <c r="Q278" s="70">
        <f>IF(B278="","",M278+N278+O278+P278)</f>
      </c>
      <c r="R278" s="71">
        <f>IF(B278="","",IF(ENTRADA!$J278="",Std_Viajes_Puerto,ENTRADA!$J278))</f>
      </c>
      <c r="S278" s="37">
        <f>IF(B278="","",R278*INDEX(PRECIOS!$F$6:$F$55,K278))</f>
      </c>
      <c r="T278" s="71">
        <f>IF(B278="","",R278*Litros_Puerto_Viaje)</f>
      </c>
      <c r="U278" s="71">
        <f>IF(B278="","",IF(ENTRADA!$K278="",T278,ENTRADA!$K278))</f>
      </c>
      <c r="V278" s="37">
        <f>IF(B278="","",U278*INDEX(PRECIOS!$E$6:$E$55,K278))</f>
      </c>
      <c r="W278" s="37">
        <f>IF(B278="","",IF(ENTRADA!$L278="",R278*INDEX(PRECIOS!$G$6:$G$55,K278),ENTRADA!$L278))</f>
      </c>
      <c r="X278" s="37">
        <f>IF(B278="","",R278*Km_Puerto_Viaje*INDEX(PRECIOS!$N$6:$N$55,K278))</f>
      </c>
      <c r="Y278" s="70">
        <f>IF(B278="","",S278+V278+W278+X278)</f>
      </c>
      <c r="Z278" s="71">
        <f>IF(B278="","",IF(J278=0,0,ROUNDUP(J278/Rend_Desagrupe,0)))</f>
      </c>
      <c r="AA278" s="71">
        <f>IF(B278="","",IF(ENTRADA!$M278="",Z278,ENTRADA!$M278))</f>
      </c>
      <c r="AB278" s="37">
        <f>IF(B278="","",AA278*INDEX(PRECIOS!$H$6:$H$55,K278))</f>
      </c>
      <c r="AC278" s="37">
        <f>IF(B278="","",IF(E278="ENCI",INDEX(PRECIOS!$J$6:$J$55,K278),IF(E278="A.V",INDEX(PRECIOS!$K$6:$K$55,K278),0)))</f>
      </c>
      <c r="AD278" s="37">
        <f>IF(B278="","",N(ENTRADA!$N278))</f>
      </c>
      <c r="AE278" s="70">
        <f>IF(B278="","",AB278+AC278+AD278)</f>
      </c>
      <c r="AF278" s="71">
        <f>IF(B278="","",IF(G278=0,0,ROUNDUP(G278/Cap_Camion_OCC,0)))</f>
      </c>
      <c r="AG278" s="71">
        <f>IF(B278="","",AF278*L_Dist_OCC)</f>
      </c>
      <c r="AH278" s="71">
        <f>IF(B278="","",IF(ENTRADA!$O278="",AG278,ENTRADA!$O278))</f>
      </c>
      <c r="AI278" s="37">
        <f>IF(B278="","",AH278*INDEX(PRECIOS!$E$6:$E$55,K278))</f>
      </c>
      <c r="AJ278" s="71">
        <f>IF(B278="","",IF(H278=0,0,ROUNDUP(H278/Cap_Camion_CEN,0)))</f>
      </c>
      <c r="AK278" s="71">
        <f>IF(B278="","",AJ278*L_Tras_CEN)</f>
      </c>
      <c r="AL278" s="71">
        <f>IF(B278="","",IF(ENTRADA!$P278="",AK278,ENTRADA!$P278))</f>
      </c>
      <c r="AM278" s="71">
        <f>IF(B278="","",AJ278*L_Dist_CEN)</f>
      </c>
      <c r="AN278" s="71">
        <f>IF(B278="","",IF(ENTRADA!$Q278="",AM278,ENTRADA!$Q278))</f>
      </c>
      <c r="AO278" s="37">
        <f>IF(B278="","",(AL278+AN278)*INDEX(PRECIOS!$E$6:$E$55,K278))</f>
      </c>
      <c r="AP278" s="71">
        <f>IF(B278="","",IF(H278=0,0,ROUNDUP(H278/Rend_Desagrupe_CT,0)))</f>
      </c>
      <c r="AQ278" s="71">
        <f>IF(B278="","",IF(ENTRADA!$R278="",AP278,ENTRADA!$R278))</f>
      </c>
      <c r="AR278" s="37">
        <f>IF(B278="","",AQ278*INDEX(PRECIOS!$I$6:$I$55,K278))</f>
      </c>
      <c r="AS278" s="37">
        <f>IF(B278="","",AO278+AR278)</f>
      </c>
      <c r="AT278" s="71">
        <f>IF(B278="","",IF(I278=0,0,ROUNDUP(I278/Cap_Camion_ORI,0)))</f>
      </c>
      <c r="AU278" s="71">
        <f>IF(B278="","",AT278*L_Tras_ORI)</f>
      </c>
      <c r="AV278" s="71">
        <f>IF(B278="","",IF(ENTRADA!$S278="",AU278,ENTRADA!$S278))</f>
      </c>
      <c r="AW278" s="71">
        <f>IF(B278="","",AT278*L_Dist_ORI)</f>
      </c>
      <c r="AX278" s="71">
        <f>IF(B278="","",IF(ENTRADA!$T278="",AW278,ENTRADA!$T278))</f>
      </c>
      <c r="AY278" s="37">
        <f>IF(B278="","",(AV278+AX278)*INDEX(PRECIOS!$E$6:$E$55,K278))</f>
      </c>
      <c r="AZ278" s="71">
        <f>IF(B278="","",IF(I278=0,0,ROUNDUP(I278/Rend_Desagrupe_CT,0)))</f>
      </c>
      <c r="BA278" s="71">
        <f>IF(B278="","",IF(ENTRADA!$U278="",AZ278,ENTRADA!$U278))</f>
      </c>
      <c r="BB278" s="37">
        <f>IF(B278="","",BA278*INDEX(PRECIOS!$I$6:$I$55,K278))</f>
      </c>
      <c r="BC278" s="37">
        <f>IF(B278="","",AY278+BB278)</f>
      </c>
      <c r="BD278" s="70">
        <f>IF(B278="","",AI278+AS278+BC278)</f>
      </c>
      <c r="BE278" s="37">
        <f>IF(B278="","",IF(Base_Comision="% DEL INGRESO",M278*INDEX(PRECIOS!$L$6:$L$55,K278),G278*INDEX(PRECIOS!$M$6:$M$55,K278)))</f>
      </c>
      <c r="BF278" s="37">
        <f>IF(B278="","",IF(Base_Comision="% DEL INGRESO",N278*INDEX(PRECIOS!$L$6:$L$55,K278),H278*INDEX(PRECIOS!$M$6:$M$55,K278)))</f>
      </c>
      <c r="BG278" s="37">
        <f>IF(B278="","",IF(Base_Comision="% DEL INGRESO",O278*INDEX(PRECIOS!$L$6:$L$55,K278),I278*INDEX(PRECIOS!$M$6:$M$55,K278)))</f>
      </c>
      <c r="BH278" s="70">
        <f>IF(B278="","",BE278+BF278+BG278)</f>
      </c>
      <c r="BI278" s="37">
        <f>IF(B278="","",Q278*Pct_Reclamaciones)</f>
      </c>
      <c r="BJ278" s="37">
        <f>IF(B278="","",Q278*Pct_Banco)</f>
      </c>
      <c r="BK278" s="37">
        <f>IF(B278="","",N(ENTRADA!$V278))</f>
      </c>
      <c r="BL278" s="70">
        <f>IF(B278="","",Y278+AE278+BD278+BH278+BI278+BJ278+BK278)</f>
      </c>
      <c r="BM278" s="70">
        <f>IF(B278="","",Q278-BL278)</f>
      </c>
      <c r="BN278" s="72">
        <f>IF(B278="","",IF(Q278=0,0,BM278/Q278))</f>
      </c>
      <c r="BO278" s="73">
        <f>IF(B278="","",IF(J278=0,0,BM278/J278))</f>
      </c>
      <c r="BP278" s="60">
        <f>IF(B278="","",IFERROR(MATCH(D278,COSTOS_FIJOS!$G$5:$AD$5,0),0))</f>
      </c>
      <c r="BQ278" s="60">
        <f>IF(B278="","",COUNTIFS($D$6:$D$305,D278))</f>
      </c>
      <c r="BR278" s="67">
        <f>IF(B278="","",SUMIFS($J$6:$J$305,$D$6:$D$305,D278))</f>
      </c>
      <c r="BS278" s="72">
        <f>IF(B278="","",IF(Metodo_Prorrateo="KG",IF(BR278=0,0,J278/BR278),1/BQ278))</f>
      </c>
      <c r="BT278" s="37">
        <f>IF(B278="","",IF(BP278=0,0,INDEX(COSTOS_FIJOS!$G$38:$AD$38,BP278))*BS278)</f>
      </c>
      <c r="BU278" s="72">
        <f>IF(B278="","",IF(Metodo_Prorrateo="KG",IF(SUMIFS($G$6:$G$305,$D$6:$D$305,D278)=0,0,G278/SUMIFS($G$6:$G$305,$D$6:$D$305,D278)),IF(G278&gt;0,1/COUNTIFS($D$6:$D$305,D278,$G$6:$G$305,"&gt;0"),0)))</f>
      </c>
      <c r="BV278" s="37">
        <f>IF(B278="","",IF(BP278=0,0,INDEX(COSTOS_FIJOS!$G$39:$AD$39,BP278))*BU278)</f>
      </c>
      <c r="BW278" s="72">
        <f>IF(B278="","",IF(Metodo_Prorrateo="KG",IF(SUMIFS($H$6:$H$305,$D$6:$D$305,D278)=0,0,H278/SUMIFS($H$6:$H$305,$D$6:$D$305,D278)),IF(H278&gt;0,1/COUNTIFS($D$6:$D$305,D278,$H$6:$H$305,"&gt;0"),0)))</f>
      </c>
      <c r="BX278" s="37">
        <f>IF(B278="","",IF(BP278=0,0,INDEX(COSTOS_FIJOS!$G$40:$AD$40,BP278))*BW278)</f>
      </c>
      <c r="BY278" s="72">
        <f>IF(B278="","",IF(Metodo_Prorrateo="KG",IF(SUMIFS($I$6:$I$305,$D$6:$D$305,D278)=0,0,I278/SUMIFS($I$6:$I$305,$D$6:$D$305,D278)),IF(I278&gt;0,1/COUNTIFS($D$6:$D$305,D278,$I$6:$I$305,"&gt;0"),0)))</f>
      </c>
      <c r="BZ278" s="37">
        <f>IF(B278="","",IF(BP278=0,0,INDEX(COSTOS_FIJOS!$G$41:$AD$41,BP278))*BY278)</f>
      </c>
      <c r="CA278" s="70">
        <f>IF(B278="","",BT278+BV278+BX278+BZ278)</f>
      </c>
      <c r="CB278" s="37">
        <f>IF(B278="","",Q278*Imp_Ventas_Serv)</f>
      </c>
      <c r="CC278" s="37">
        <f>IF(B278="","",Q278*Contrib_Territorial)</f>
      </c>
      <c r="CD278" s="70">
        <f>IF(B278="","",BM278-CA278-CB278-CC278)</f>
      </c>
      <c r="CE278" s="37">
        <f>IF(B278="","",MAX(0,CD278)*Imp_Utilidades)</f>
      </c>
      <c r="CF278" s="70">
        <f>IF(B278="","",CD278-CE278)</f>
      </c>
      <c r="CG278" s="72">
        <f>IF(B278="","",IF(Q278=0,0,CF278/Q278))</f>
      </c>
      <c r="CH278" s="73">
        <f>IF(B278="","",IF(J278=0,0,(BL278+CA278+CB278+CC278)/J278))</f>
      </c>
      <c r="CI278" s="73">
        <f>IF(B278="","",IF(J278=0,0,Q278/J278))</f>
      </c>
      <c r="CJ278" s="73">
        <f>IF(B278="","",IF(J278=0,0,CD278/J278))</f>
      </c>
      <c r="CK278" s="37">
        <f>IF(B278="","",Y278+AE278+BK278+BT278)</f>
      </c>
      <c r="CL278" s="37">
        <f>IF(B278="","",IF(J278=0,0,(M278+P278*G278/J278)*(1-Pct_Reclamaciones-Pct_Banco-Imp_Ventas_Serv-Contrib_Territorial)-AI278-BE278-BV278-CK278*G278/J278))</f>
      </c>
      <c r="CM278" s="37">
        <f>IF(B278="","",IF(J278=0,0,(N278+P278*H278/J278)*(1-Pct_Reclamaciones-Pct_Banco-Imp_Ventas_Serv-Contrib_Territorial)-AS278-BF278-BX278-CK278*H278/J278))</f>
      </c>
      <c r="CN278" s="37">
        <f>IF(B278="","",IF(J278=0,0,(O278+P278*I278/J278)*(1-Pct_Reclamaciones-Pct_Banco-Imp_Ventas_Serv-Contrib_Territorial)-BC278-BG278-BZ278-CK278*I278/J278))</f>
      </c>
      <c r="CO278" s="37">
        <f>IF(B278="","",IF(J278=0,0,ROUND(CD278-CL278-CM278-CN278,4)))</f>
      </c>
      <c r="CP278" s="71">
        <f>IF(B278="","",T278+AG278+AK278+AM278+AU278+AW278)</f>
      </c>
      <c r="CQ278" s="71">
        <f>IF(B278="","",U278+AH278+AL278+AN278+AV278+AX278)</f>
      </c>
      <c r="CR278" s="72">
        <f>IF(B278="","",IF(CP278=0,0,CQ278/CP278-1))</f>
      </c>
      <c r="CS278" s="60">
        <f>IF(B278="","",IF(ENTRADA!$Y278="","",ENTRADA!$Y278-C278))</f>
      </c>
      <c r="CT278" s="66">
        <f>IF(B278="","",IF(ENTRADA!$C278="","Falta fecha. ","")&amp;IF(BP278=0,"Mes fuera del rango de COSTOS_FIJOS. ","")&amp;IF(J278=0,"Sin kg. ","")&amp;IF(E278="","Falta transitaria. ","")&amp;IF(AND(T278&gt;0,U278/T278-1&gt;Tolerancia_Comb),"Combustible al puerto "&amp;TEXT(U278/T278-1,"+0%")&amp;" sobre norma. ","")&amp;IF(AND(AG278&gt;0,AH278/AG278-1&gt;Tolerancia_Comb),"Combustible distribución Occidente "&amp;TEXT(AH278/AG278-1,"+0%")&amp;" sobre norma. ","")&amp;IF(AND(AK278&gt;0,AL278/AK278-1&gt;Tolerancia_Comb),"Combustible traslado Centro "&amp;TEXT(AL278/AK278-1,"+0%")&amp;" sobre norma. ","")&amp;IF(AND(AM278&gt;0,AN278/AM278-1&gt;Tolerancia_Comb),"Combustible distribución Centro "&amp;TEXT(AN278/AM278-1,"+0%")&amp;" sobre norma. ","")&amp;IF(AND(AU278&gt;0,AV278/AU278-1&gt;Tolerancia_Comb),"Combustible traslado Oriente "&amp;TEXT(AV278/AU278-1,"+0%")&amp;" sobre norma. ","")&amp;IF(AND(AW278&gt;0,AX278/AW278-1&gt;Tolerancia_Comb),"Combustible distribución Oriente "&amp;TEXT(AX278/AW278-1,"+0%")&amp;" sobre norma. ","")&amp;IF(AND(ENTRADA!$C278&lt;&gt;"",C278&lt;PRECIOS!$A$6),"Fecha anterior a la 1ª vigencia de precios. ","")&amp;IF(CD278&lt;0,"Contenedor con pérdida. ",""))</f>
      </c>
    </row>
    <row r="279">
      <c r="A279" s="60">
        <f>IF(B279="","",ROW()-5)</f>
      </c>
      <c r="B279" s="63">
        <f>IF(ENTRADA!$B279="","",ENTRADA!$B279)</f>
      </c>
      <c r="C279" s="64">
        <f>IF(B279="","",ENTRADA!$C279)</f>
      </c>
      <c r="D279" s="65">
        <f>IF(B279="","",DATE(YEAR(C279),MONTH(C279),1))</f>
      </c>
      <c r="E279" s="66">
        <f>IF(B279="","",ENTRADA!$D279&amp;"")</f>
      </c>
      <c r="F279" s="66">
        <f>IF(B279="","",ENTRADA!$Z279&amp;"")</f>
      </c>
      <c r="G279" s="67">
        <f>IF(B279="","",N(ENTRADA!$G279))</f>
      </c>
      <c r="H279" s="67">
        <f>IF(B279="","",N(ENTRADA!$H279))</f>
      </c>
      <c r="I279" s="67">
        <f>IF(B279="","",N(ENTRADA!$I279))</f>
      </c>
      <c r="J279" s="68">
        <f>IF(B279="","",G279+H279+I279)</f>
      </c>
      <c r="K279" s="60">
        <f>IF(B279="","",IFERROR(MATCH(SUMPRODUCT(MAX((PRECIOS!$A$6:$A$55&lt;=C279)*PRECIOS!$A$6:$A$55)),PRECIOS!$A$6:$A$55,0),1))</f>
      </c>
      <c r="L279" s="69">
        <f>IF(B279="","",INDEX(PRECIOS!$A$6:$A$55,K279))</f>
      </c>
      <c r="M279" s="37">
        <f>IF(B279="","",G279*INDEX(PRECIOS!$B$6:$B$55,K279))</f>
      </c>
      <c r="N279" s="37">
        <f>IF(B279="","",H279*INDEX(PRECIOS!$C$6:$C$55,K279))</f>
      </c>
      <c r="O279" s="37">
        <f>IF(B279="","",I279*INDEX(PRECIOS!$D$6:$D$55,K279))</f>
      </c>
      <c r="P279" s="37">
        <f>IF(B279="","",N(ENTRADA!$X279))</f>
      </c>
      <c r="Q279" s="70">
        <f>IF(B279="","",M279+N279+O279+P279)</f>
      </c>
      <c r="R279" s="71">
        <f>IF(B279="","",IF(ENTRADA!$J279="",Std_Viajes_Puerto,ENTRADA!$J279))</f>
      </c>
      <c r="S279" s="37">
        <f>IF(B279="","",R279*INDEX(PRECIOS!$F$6:$F$55,K279))</f>
      </c>
      <c r="T279" s="71">
        <f>IF(B279="","",R279*Litros_Puerto_Viaje)</f>
      </c>
      <c r="U279" s="71">
        <f>IF(B279="","",IF(ENTRADA!$K279="",T279,ENTRADA!$K279))</f>
      </c>
      <c r="V279" s="37">
        <f>IF(B279="","",U279*INDEX(PRECIOS!$E$6:$E$55,K279))</f>
      </c>
      <c r="W279" s="37">
        <f>IF(B279="","",IF(ENTRADA!$L279="",R279*INDEX(PRECIOS!$G$6:$G$55,K279),ENTRADA!$L279))</f>
      </c>
      <c r="X279" s="37">
        <f>IF(B279="","",R279*Km_Puerto_Viaje*INDEX(PRECIOS!$N$6:$N$55,K279))</f>
      </c>
      <c r="Y279" s="70">
        <f>IF(B279="","",S279+V279+W279+X279)</f>
      </c>
      <c r="Z279" s="71">
        <f>IF(B279="","",IF(J279=0,0,ROUNDUP(J279/Rend_Desagrupe,0)))</f>
      </c>
      <c r="AA279" s="71">
        <f>IF(B279="","",IF(ENTRADA!$M279="",Z279,ENTRADA!$M279))</f>
      </c>
      <c r="AB279" s="37">
        <f>IF(B279="","",AA279*INDEX(PRECIOS!$H$6:$H$55,K279))</f>
      </c>
      <c r="AC279" s="37">
        <f>IF(B279="","",IF(E279="ENCI",INDEX(PRECIOS!$J$6:$J$55,K279),IF(E279="A.V",INDEX(PRECIOS!$K$6:$K$55,K279),0)))</f>
      </c>
      <c r="AD279" s="37">
        <f>IF(B279="","",N(ENTRADA!$N279))</f>
      </c>
      <c r="AE279" s="70">
        <f>IF(B279="","",AB279+AC279+AD279)</f>
      </c>
      <c r="AF279" s="71">
        <f>IF(B279="","",IF(G279=0,0,ROUNDUP(G279/Cap_Camion_OCC,0)))</f>
      </c>
      <c r="AG279" s="71">
        <f>IF(B279="","",AF279*L_Dist_OCC)</f>
      </c>
      <c r="AH279" s="71">
        <f>IF(B279="","",IF(ENTRADA!$O279="",AG279,ENTRADA!$O279))</f>
      </c>
      <c r="AI279" s="37">
        <f>IF(B279="","",AH279*INDEX(PRECIOS!$E$6:$E$55,K279))</f>
      </c>
      <c r="AJ279" s="71">
        <f>IF(B279="","",IF(H279=0,0,ROUNDUP(H279/Cap_Camion_CEN,0)))</f>
      </c>
      <c r="AK279" s="71">
        <f>IF(B279="","",AJ279*L_Tras_CEN)</f>
      </c>
      <c r="AL279" s="71">
        <f>IF(B279="","",IF(ENTRADA!$P279="",AK279,ENTRADA!$P279))</f>
      </c>
      <c r="AM279" s="71">
        <f>IF(B279="","",AJ279*L_Dist_CEN)</f>
      </c>
      <c r="AN279" s="71">
        <f>IF(B279="","",IF(ENTRADA!$Q279="",AM279,ENTRADA!$Q279))</f>
      </c>
      <c r="AO279" s="37">
        <f>IF(B279="","",(AL279+AN279)*INDEX(PRECIOS!$E$6:$E$55,K279))</f>
      </c>
      <c r="AP279" s="71">
        <f>IF(B279="","",IF(H279=0,0,ROUNDUP(H279/Rend_Desagrupe_CT,0)))</f>
      </c>
      <c r="AQ279" s="71">
        <f>IF(B279="","",IF(ENTRADA!$R279="",AP279,ENTRADA!$R279))</f>
      </c>
      <c r="AR279" s="37">
        <f>IF(B279="","",AQ279*INDEX(PRECIOS!$I$6:$I$55,K279))</f>
      </c>
      <c r="AS279" s="37">
        <f>IF(B279="","",AO279+AR279)</f>
      </c>
      <c r="AT279" s="71">
        <f>IF(B279="","",IF(I279=0,0,ROUNDUP(I279/Cap_Camion_ORI,0)))</f>
      </c>
      <c r="AU279" s="71">
        <f>IF(B279="","",AT279*L_Tras_ORI)</f>
      </c>
      <c r="AV279" s="71">
        <f>IF(B279="","",IF(ENTRADA!$S279="",AU279,ENTRADA!$S279))</f>
      </c>
      <c r="AW279" s="71">
        <f>IF(B279="","",AT279*L_Dist_ORI)</f>
      </c>
      <c r="AX279" s="71">
        <f>IF(B279="","",IF(ENTRADA!$T279="",AW279,ENTRADA!$T279))</f>
      </c>
      <c r="AY279" s="37">
        <f>IF(B279="","",(AV279+AX279)*INDEX(PRECIOS!$E$6:$E$55,K279))</f>
      </c>
      <c r="AZ279" s="71">
        <f>IF(B279="","",IF(I279=0,0,ROUNDUP(I279/Rend_Desagrupe_CT,0)))</f>
      </c>
      <c r="BA279" s="71">
        <f>IF(B279="","",IF(ENTRADA!$U279="",AZ279,ENTRADA!$U279))</f>
      </c>
      <c r="BB279" s="37">
        <f>IF(B279="","",BA279*INDEX(PRECIOS!$I$6:$I$55,K279))</f>
      </c>
      <c r="BC279" s="37">
        <f>IF(B279="","",AY279+BB279)</f>
      </c>
      <c r="BD279" s="70">
        <f>IF(B279="","",AI279+AS279+BC279)</f>
      </c>
      <c r="BE279" s="37">
        <f>IF(B279="","",IF(Base_Comision="% DEL INGRESO",M279*INDEX(PRECIOS!$L$6:$L$55,K279),G279*INDEX(PRECIOS!$M$6:$M$55,K279)))</f>
      </c>
      <c r="BF279" s="37">
        <f>IF(B279="","",IF(Base_Comision="% DEL INGRESO",N279*INDEX(PRECIOS!$L$6:$L$55,K279),H279*INDEX(PRECIOS!$M$6:$M$55,K279)))</f>
      </c>
      <c r="BG279" s="37">
        <f>IF(B279="","",IF(Base_Comision="% DEL INGRESO",O279*INDEX(PRECIOS!$L$6:$L$55,K279),I279*INDEX(PRECIOS!$M$6:$M$55,K279)))</f>
      </c>
      <c r="BH279" s="70">
        <f>IF(B279="","",BE279+BF279+BG279)</f>
      </c>
      <c r="BI279" s="37">
        <f>IF(B279="","",Q279*Pct_Reclamaciones)</f>
      </c>
      <c r="BJ279" s="37">
        <f>IF(B279="","",Q279*Pct_Banco)</f>
      </c>
      <c r="BK279" s="37">
        <f>IF(B279="","",N(ENTRADA!$V279))</f>
      </c>
      <c r="BL279" s="70">
        <f>IF(B279="","",Y279+AE279+BD279+BH279+BI279+BJ279+BK279)</f>
      </c>
      <c r="BM279" s="70">
        <f>IF(B279="","",Q279-BL279)</f>
      </c>
      <c r="BN279" s="72">
        <f>IF(B279="","",IF(Q279=0,0,BM279/Q279))</f>
      </c>
      <c r="BO279" s="73">
        <f>IF(B279="","",IF(J279=0,0,BM279/J279))</f>
      </c>
      <c r="BP279" s="60">
        <f>IF(B279="","",IFERROR(MATCH(D279,COSTOS_FIJOS!$G$5:$AD$5,0),0))</f>
      </c>
      <c r="BQ279" s="60">
        <f>IF(B279="","",COUNTIFS($D$6:$D$305,D279))</f>
      </c>
      <c r="BR279" s="67">
        <f>IF(B279="","",SUMIFS($J$6:$J$305,$D$6:$D$305,D279))</f>
      </c>
      <c r="BS279" s="72">
        <f>IF(B279="","",IF(Metodo_Prorrateo="KG",IF(BR279=0,0,J279/BR279),1/BQ279))</f>
      </c>
      <c r="BT279" s="37">
        <f>IF(B279="","",IF(BP279=0,0,INDEX(COSTOS_FIJOS!$G$38:$AD$38,BP279))*BS279)</f>
      </c>
      <c r="BU279" s="72">
        <f>IF(B279="","",IF(Metodo_Prorrateo="KG",IF(SUMIFS($G$6:$G$305,$D$6:$D$305,D279)=0,0,G279/SUMIFS($G$6:$G$305,$D$6:$D$305,D279)),IF(G279&gt;0,1/COUNTIFS($D$6:$D$305,D279,$G$6:$G$305,"&gt;0"),0)))</f>
      </c>
      <c r="BV279" s="37">
        <f>IF(B279="","",IF(BP279=0,0,INDEX(COSTOS_FIJOS!$G$39:$AD$39,BP279))*BU279)</f>
      </c>
      <c r="BW279" s="72">
        <f>IF(B279="","",IF(Metodo_Prorrateo="KG",IF(SUMIFS($H$6:$H$305,$D$6:$D$305,D279)=0,0,H279/SUMIFS($H$6:$H$305,$D$6:$D$305,D279)),IF(H279&gt;0,1/COUNTIFS($D$6:$D$305,D279,$H$6:$H$305,"&gt;0"),0)))</f>
      </c>
      <c r="BX279" s="37">
        <f>IF(B279="","",IF(BP279=0,0,INDEX(COSTOS_FIJOS!$G$40:$AD$40,BP279))*BW279)</f>
      </c>
      <c r="BY279" s="72">
        <f>IF(B279="","",IF(Metodo_Prorrateo="KG",IF(SUMIFS($I$6:$I$305,$D$6:$D$305,D279)=0,0,I279/SUMIFS($I$6:$I$305,$D$6:$D$305,D279)),IF(I279&gt;0,1/COUNTIFS($D$6:$D$305,D279,$I$6:$I$305,"&gt;0"),0)))</f>
      </c>
      <c r="BZ279" s="37">
        <f>IF(B279="","",IF(BP279=0,0,INDEX(COSTOS_FIJOS!$G$41:$AD$41,BP279))*BY279)</f>
      </c>
      <c r="CA279" s="70">
        <f>IF(B279="","",BT279+BV279+BX279+BZ279)</f>
      </c>
      <c r="CB279" s="37">
        <f>IF(B279="","",Q279*Imp_Ventas_Serv)</f>
      </c>
      <c r="CC279" s="37">
        <f>IF(B279="","",Q279*Contrib_Territorial)</f>
      </c>
      <c r="CD279" s="70">
        <f>IF(B279="","",BM279-CA279-CB279-CC279)</f>
      </c>
      <c r="CE279" s="37">
        <f>IF(B279="","",MAX(0,CD279)*Imp_Utilidades)</f>
      </c>
      <c r="CF279" s="70">
        <f>IF(B279="","",CD279-CE279)</f>
      </c>
      <c r="CG279" s="72">
        <f>IF(B279="","",IF(Q279=0,0,CF279/Q279))</f>
      </c>
      <c r="CH279" s="73">
        <f>IF(B279="","",IF(J279=0,0,(BL279+CA279+CB279+CC279)/J279))</f>
      </c>
      <c r="CI279" s="73">
        <f>IF(B279="","",IF(J279=0,0,Q279/J279))</f>
      </c>
      <c r="CJ279" s="73">
        <f>IF(B279="","",IF(J279=0,0,CD279/J279))</f>
      </c>
      <c r="CK279" s="37">
        <f>IF(B279="","",Y279+AE279+BK279+BT279)</f>
      </c>
      <c r="CL279" s="37">
        <f>IF(B279="","",IF(J279=0,0,(M279+P279*G279/J279)*(1-Pct_Reclamaciones-Pct_Banco-Imp_Ventas_Serv-Contrib_Territorial)-AI279-BE279-BV279-CK279*G279/J279))</f>
      </c>
      <c r="CM279" s="37">
        <f>IF(B279="","",IF(J279=0,0,(N279+P279*H279/J279)*(1-Pct_Reclamaciones-Pct_Banco-Imp_Ventas_Serv-Contrib_Territorial)-AS279-BF279-BX279-CK279*H279/J279))</f>
      </c>
      <c r="CN279" s="37">
        <f>IF(B279="","",IF(J279=0,0,(O279+P279*I279/J279)*(1-Pct_Reclamaciones-Pct_Banco-Imp_Ventas_Serv-Contrib_Territorial)-BC279-BG279-BZ279-CK279*I279/J279))</f>
      </c>
      <c r="CO279" s="37">
        <f>IF(B279="","",IF(J279=0,0,ROUND(CD279-CL279-CM279-CN279,4)))</f>
      </c>
      <c r="CP279" s="71">
        <f>IF(B279="","",T279+AG279+AK279+AM279+AU279+AW279)</f>
      </c>
      <c r="CQ279" s="71">
        <f>IF(B279="","",U279+AH279+AL279+AN279+AV279+AX279)</f>
      </c>
      <c r="CR279" s="72">
        <f>IF(B279="","",IF(CP279=0,0,CQ279/CP279-1))</f>
      </c>
      <c r="CS279" s="60">
        <f>IF(B279="","",IF(ENTRADA!$Y279="","",ENTRADA!$Y279-C279))</f>
      </c>
      <c r="CT279" s="66">
        <f>IF(B279="","",IF(ENTRADA!$C279="","Falta fecha. ","")&amp;IF(BP279=0,"Mes fuera del rango de COSTOS_FIJOS. ","")&amp;IF(J279=0,"Sin kg. ","")&amp;IF(E279="","Falta transitaria. ","")&amp;IF(AND(T279&gt;0,U279/T279-1&gt;Tolerancia_Comb),"Combustible al puerto "&amp;TEXT(U279/T279-1,"+0%")&amp;" sobre norma. ","")&amp;IF(AND(AG279&gt;0,AH279/AG279-1&gt;Tolerancia_Comb),"Combustible distribución Occidente "&amp;TEXT(AH279/AG279-1,"+0%")&amp;" sobre norma. ","")&amp;IF(AND(AK279&gt;0,AL279/AK279-1&gt;Tolerancia_Comb),"Combustible traslado Centro "&amp;TEXT(AL279/AK279-1,"+0%")&amp;" sobre norma. ","")&amp;IF(AND(AM279&gt;0,AN279/AM279-1&gt;Tolerancia_Comb),"Combustible distribución Centro "&amp;TEXT(AN279/AM279-1,"+0%")&amp;" sobre norma. ","")&amp;IF(AND(AU279&gt;0,AV279/AU279-1&gt;Tolerancia_Comb),"Combustible traslado Oriente "&amp;TEXT(AV279/AU279-1,"+0%")&amp;" sobre norma. ","")&amp;IF(AND(AW279&gt;0,AX279/AW279-1&gt;Tolerancia_Comb),"Combustible distribución Oriente "&amp;TEXT(AX279/AW279-1,"+0%")&amp;" sobre norma. ","")&amp;IF(AND(ENTRADA!$C279&lt;&gt;"",C279&lt;PRECIOS!$A$6),"Fecha anterior a la 1ª vigencia de precios. ","")&amp;IF(CD279&lt;0,"Contenedor con pérdida. ",""))</f>
      </c>
    </row>
    <row r="280">
      <c r="A280" s="60">
        <f>IF(B280="","",ROW()-5)</f>
      </c>
      <c r="B280" s="63">
        <f>IF(ENTRADA!$B280="","",ENTRADA!$B280)</f>
      </c>
      <c r="C280" s="64">
        <f>IF(B280="","",ENTRADA!$C280)</f>
      </c>
      <c r="D280" s="65">
        <f>IF(B280="","",DATE(YEAR(C280),MONTH(C280),1))</f>
      </c>
      <c r="E280" s="66">
        <f>IF(B280="","",ENTRADA!$D280&amp;"")</f>
      </c>
      <c r="F280" s="66">
        <f>IF(B280="","",ENTRADA!$Z280&amp;"")</f>
      </c>
      <c r="G280" s="67">
        <f>IF(B280="","",N(ENTRADA!$G280))</f>
      </c>
      <c r="H280" s="67">
        <f>IF(B280="","",N(ENTRADA!$H280))</f>
      </c>
      <c r="I280" s="67">
        <f>IF(B280="","",N(ENTRADA!$I280))</f>
      </c>
      <c r="J280" s="68">
        <f>IF(B280="","",G280+H280+I280)</f>
      </c>
      <c r="K280" s="60">
        <f>IF(B280="","",IFERROR(MATCH(SUMPRODUCT(MAX((PRECIOS!$A$6:$A$55&lt;=C280)*PRECIOS!$A$6:$A$55)),PRECIOS!$A$6:$A$55,0),1))</f>
      </c>
      <c r="L280" s="69">
        <f>IF(B280="","",INDEX(PRECIOS!$A$6:$A$55,K280))</f>
      </c>
      <c r="M280" s="37">
        <f>IF(B280="","",G280*INDEX(PRECIOS!$B$6:$B$55,K280))</f>
      </c>
      <c r="N280" s="37">
        <f>IF(B280="","",H280*INDEX(PRECIOS!$C$6:$C$55,K280))</f>
      </c>
      <c r="O280" s="37">
        <f>IF(B280="","",I280*INDEX(PRECIOS!$D$6:$D$55,K280))</f>
      </c>
      <c r="P280" s="37">
        <f>IF(B280="","",N(ENTRADA!$X280))</f>
      </c>
      <c r="Q280" s="70">
        <f>IF(B280="","",M280+N280+O280+P280)</f>
      </c>
      <c r="R280" s="71">
        <f>IF(B280="","",IF(ENTRADA!$J280="",Std_Viajes_Puerto,ENTRADA!$J280))</f>
      </c>
      <c r="S280" s="37">
        <f>IF(B280="","",R280*INDEX(PRECIOS!$F$6:$F$55,K280))</f>
      </c>
      <c r="T280" s="71">
        <f>IF(B280="","",R280*Litros_Puerto_Viaje)</f>
      </c>
      <c r="U280" s="71">
        <f>IF(B280="","",IF(ENTRADA!$K280="",T280,ENTRADA!$K280))</f>
      </c>
      <c r="V280" s="37">
        <f>IF(B280="","",U280*INDEX(PRECIOS!$E$6:$E$55,K280))</f>
      </c>
      <c r="W280" s="37">
        <f>IF(B280="","",IF(ENTRADA!$L280="",R280*INDEX(PRECIOS!$G$6:$G$55,K280),ENTRADA!$L280))</f>
      </c>
      <c r="X280" s="37">
        <f>IF(B280="","",R280*Km_Puerto_Viaje*INDEX(PRECIOS!$N$6:$N$55,K280))</f>
      </c>
      <c r="Y280" s="70">
        <f>IF(B280="","",S280+V280+W280+X280)</f>
      </c>
      <c r="Z280" s="71">
        <f>IF(B280="","",IF(J280=0,0,ROUNDUP(J280/Rend_Desagrupe,0)))</f>
      </c>
      <c r="AA280" s="71">
        <f>IF(B280="","",IF(ENTRADA!$M280="",Z280,ENTRADA!$M280))</f>
      </c>
      <c r="AB280" s="37">
        <f>IF(B280="","",AA280*INDEX(PRECIOS!$H$6:$H$55,K280))</f>
      </c>
      <c r="AC280" s="37">
        <f>IF(B280="","",IF(E280="ENCI",INDEX(PRECIOS!$J$6:$J$55,K280),IF(E280="A.V",INDEX(PRECIOS!$K$6:$K$55,K280),0)))</f>
      </c>
      <c r="AD280" s="37">
        <f>IF(B280="","",N(ENTRADA!$N280))</f>
      </c>
      <c r="AE280" s="70">
        <f>IF(B280="","",AB280+AC280+AD280)</f>
      </c>
      <c r="AF280" s="71">
        <f>IF(B280="","",IF(G280=0,0,ROUNDUP(G280/Cap_Camion_OCC,0)))</f>
      </c>
      <c r="AG280" s="71">
        <f>IF(B280="","",AF280*L_Dist_OCC)</f>
      </c>
      <c r="AH280" s="71">
        <f>IF(B280="","",IF(ENTRADA!$O280="",AG280,ENTRADA!$O280))</f>
      </c>
      <c r="AI280" s="37">
        <f>IF(B280="","",AH280*INDEX(PRECIOS!$E$6:$E$55,K280))</f>
      </c>
      <c r="AJ280" s="71">
        <f>IF(B280="","",IF(H280=0,0,ROUNDUP(H280/Cap_Camion_CEN,0)))</f>
      </c>
      <c r="AK280" s="71">
        <f>IF(B280="","",AJ280*L_Tras_CEN)</f>
      </c>
      <c r="AL280" s="71">
        <f>IF(B280="","",IF(ENTRADA!$P280="",AK280,ENTRADA!$P280))</f>
      </c>
      <c r="AM280" s="71">
        <f>IF(B280="","",AJ280*L_Dist_CEN)</f>
      </c>
      <c r="AN280" s="71">
        <f>IF(B280="","",IF(ENTRADA!$Q280="",AM280,ENTRADA!$Q280))</f>
      </c>
      <c r="AO280" s="37">
        <f>IF(B280="","",(AL280+AN280)*INDEX(PRECIOS!$E$6:$E$55,K280))</f>
      </c>
      <c r="AP280" s="71">
        <f>IF(B280="","",IF(H280=0,0,ROUNDUP(H280/Rend_Desagrupe_CT,0)))</f>
      </c>
      <c r="AQ280" s="71">
        <f>IF(B280="","",IF(ENTRADA!$R280="",AP280,ENTRADA!$R280))</f>
      </c>
      <c r="AR280" s="37">
        <f>IF(B280="","",AQ280*INDEX(PRECIOS!$I$6:$I$55,K280))</f>
      </c>
      <c r="AS280" s="37">
        <f>IF(B280="","",AO280+AR280)</f>
      </c>
      <c r="AT280" s="71">
        <f>IF(B280="","",IF(I280=0,0,ROUNDUP(I280/Cap_Camion_ORI,0)))</f>
      </c>
      <c r="AU280" s="71">
        <f>IF(B280="","",AT280*L_Tras_ORI)</f>
      </c>
      <c r="AV280" s="71">
        <f>IF(B280="","",IF(ENTRADA!$S280="",AU280,ENTRADA!$S280))</f>
      </c>
      <c r="AW280" s="71">
        <f>IF(B280="","",AT280*L_Dist_ORI)</f>
      </c>
      <c r="AX280" s="71">
        <f>IF(B280="","",IF(ENTRADA!$T280="",AW280,ENTRADA!$T280))</f>
      </c>
      <c r="AY280" s="37">
        <f>IF(B280="","",(AV280+AX280)*INDEX(PRECIOS!$E$6:$E$55,K280))</f>
      </c>
      <c r="AZ280" s="71">
        <f>IF(B280="","",IF(I280=0,0,ROUNDUP(I280/Rend_Desagrupe_CT,0)))</f>
      </c>
      <c r="BA280" s="71">
        <f>IF(B280="","",IF(ENTRADA!$U280="",AZ280,ENTRADA!$U280))</f>
      </c>
      <c r="BB280" s="37">
        <f>IF(B280="","",BA280*INDEX(PRECIOS!$I$6:$I$55,K280))</f>
      </c>
      <c r="BC280" s="37">
        <f>IF(B280="","",AY280+BB280)</f>
      </c>
      <c r="BD280" s="70">
        <f>IF(B280="","",AI280+AS280+BC280)</f>
      </c>
      <c r="BE280" s="37">
        <f>IF(B280="","",IF(Base_Comision="% DEL INGRESO",M280*INDEX(PRECIOS!$L$6:$L$55,K280),G280*INDEX(PRECIOS!$M$6:$M$55,K280)))</f>
      </c>
      <c r="BF280" s="37">
        <f>IF(B280="","",IF(Base_Comision="% DEL INGRESO",N280*INDEX(PRECIOS!$L$6:$L$55,K280),H280*INDEX(PRECIOS!$M$6:$M$55,K280)))</f>
      </c>
      <c r="BG280" s="37">
        <f>IF(B280="","",IF(Base_Comision="% DEL INGRESO",O280*INDEX(PRECIOS!$L$6:$L$55,K280),I280*INDEX(PRECIOS!$M$6:$M$55,K280)))</f>
      </c>
      <c r="BH280" s="70">
        <f>IF(B280="","",BE280+BF280+BG280)</f>
      </c>
      <c r="BI280" s="37">
        <f>IF(B280="","",Q280*Pct_Reclamaciones)</f>
      </c>
      <c r="BJ280" s="37">
        <f>IF(B280="","",Q280*Pct_Banco)</f>
      </c>
      <c r="BK280" s="37">
        <f>IF(B280="","",N(ENTRADA!$V280))</f>
      </c>
      <c r="BL280" s="70">
        <f>IF(B280="","",Y280+AE280+BD280+BH280+BI280+BJ280+BK280)</f>
      </c>
      <c r="BM280" s="70">
        <f>IF(B280="","",Q280-BL280)</f>
      </c>
      <c r="BN280" s="72">
        <f>IF(B280="","",IF(Q280=0,0,BM280/Q280))</f>
      </c>
      <c r="BO280" s="73">
        <f>IF(B280="","",IF(J280=0,0,BM280/J280))</f>
      </c>
      <c r="BP280" s="60">
        <f>IF(B280="","",IFERROR(MATCH(D280,COSTOS_FIJOS!$G$5:$AD$5,0),0))</f>
      </c>
      <c r="BQ280" s="60">
        <f>IF(B280="","",COUNTIFS($D$6:$D$305,D280))</f>
      </c>
      <c r="BR280" s="67">
        <f>IF(B280="","",SUMIFS($J$6:$J$305,$D$6:$D$305,D280))</f>
      </c>
      <c r="BS280" s="72">
        <f>IF(B280="","",IF(Metodo_Prorrateo="KG",IF(BR280=0,0,J280/BR280),1/BQ280))</f>
      </c>
      <c r="BT280" s="37">
        <f>IF(B280="","",IF(BP280=0,0,INDEX(COSTOS_FIJOS!$G$38:$AD$38,BP280))*BS280)</f>
      </c>
      <c r="BU280" s="72">
        <f>IF(B280="","",IF(Metodo_Prorrateo="KG",IF(SUMIFS($G$6:$G$305,$D$6:$D$305,D280)=0,0,G280/SUMIFS($G$6:$G$305,$D$6:$D$305,D280)),IF(G280&gt;0,1/COUNTIFS($D$6:$D$305,D280,$G$6:$G$305,"&gt;0"),0)))</f>
      </c>
      <c r="BV280" s="37">
        <f>IF(B280="","",IF(BP280=0,0,INDEX(COSTOS_FIJOS!$G$39:$AD$39,BP280))*BU280)</f>
      </c>
      <c r="BW280" s="72">
        <f>IF(B280="","",IF(Metodo_Prorrateo="KG",IF(SUMIFS($H$6:$H$305,$D$6:$D$305,D280)=0,0,H280/SUMIFS($H$6:$H$305,$D$6:$D$305,D280)),IF(H280&gt;0,1/COUNTIFS($D$6:$D$305,D280,$H$6:$H$305,"&gt;0"),0)))</f>
      </c>
      <c r="BX280" s="37">
        <f>IF(B280="","",IF(BP280=0,0,INDEX(COSTOS_FIJOS!$G$40:$AD$40,BP280))*BW280)</f>
      </c>
      <c r="BY280" s="72">
        <f>IF(B280="","",IF(Metodo_Prorrateo="KG",IF(SUMIFS($I$6:$I$305,$D$6:$D$305,D280)=0,0,I280/SUMIFS($I$6:$I$305,$D$6:$D$305,D280)),IF(I280&gt;0,1/COUNTIFS($D$6:$D$305,D280,$I$6:$I$305,"&gt;0"),0)))</f>
      </c>
      <c r="BZ280" s="37">
        <f>IF(B280="","",IF(BP280=0,0,INDEX(COSTOS_FIJOS!$G$41:$AD$41,BP280))*BY280)</f>
      </c>
      <c r="CA280" s="70">
        <f>IF(B280="","",BT280+BV280+BX280+BZ280)</f>
      </c>
      <c r="CB280" s="37">
        <f>IF(B280="","",Q280*Imp_Ventas_Serv)</f>
      </c>
      <c r="CC280" s="37">
        <f>IF(B280="","",Q280*Contrib_Territorial)</f>
      </c>
      <c r="CD280" s="70">
        <f>IF(B280="","",BM280-CA280-CB280-CC280)</f>
      </c>
      <c r="CE280" s="37">
        <f>IF(B280="","",MAX(0,CD280)*Imp_Utilidades)</f>
      </c>
      <c r="CF280" s="70">
        <f>IF(B280="","",CD280-CE280)</f>
      </c>
      <c r="CG280" s="72">
        <f>IF(B280="","",IF(Q280=0,0,CF280/Q280))</f>
      </c>
      <c r="CH280" s="73">
        <f>IF(B280="","",IF(J280=0,0,(BL280+CA280+CB280+CC280)/J280))</f>
      </c>
      <c r="CI280" s="73">
        <f>IF(B280="","",IF(J280=0,0,Q280/J280))</f>
      </c>
      <c r="CJ280" s="73">
        <f>IF(B280="","",IF(J280=0,0,CD280/J280))</f>
      </c>
      <c r="CK280" s="37">
        <f>IF(B280="","",Y280+AE280+BK280+BT280)</f>
      </c>
      <c r="CL280" s="37">
        <f>IF(B280="","",IF(J280=0,0,(M280+P280*G280/J280)*(1-Pct_Reclamaciones-Pct_Banco-Imp_Ventas_Serv-Contrib_Territorial)-AI280-BE280-BV280-CK280*G280/J280))</f>
      </c>
      <c r="CM280" s="37">
        <f>IF(B280="","",IF(J280=0,0,(N280+P280*H280/J280)*(1-Pct_Reclamaciones-Pct_Banco-Imp_Ventas_Serv-Contrib_Territorial)-AS280-BF280-BX280-CK280*H280/J280))</f>
      </c>
      <c r="CN280" s="37">
        <f>IF(B280="","",IF(J280=0,0,(O280+P280*I280/J280)*(1-Pct_Reclamaciones-Pct_Banco-Imp_Ventas_Serv-Contrib_Territorial)-BC280-BG280-BZ280-CK280*I280/J280))</f>
      </c>
      <c r="CO280" s="37">
        <f>IF(B280="","",IF(J280=0,0,ROUND(CD280-CL280-CM280-CN280,4)))</f>
      </c>
      <c r="CP280" s="71">
        <f>IF(B280="","",T280+AG280+AK280+AM280+AU280+AW280)</f>
      </c>
      <c r="CQ280" s="71">
        <f>IF(B280="","",U280+AH280+AL280+AN280+AV280+AX280)</f>
      </c>
      <c r="CR280" s="72">
        <f>IF(B280="","",IF(CP280=0,0,CQ280/CP280-1))</f>
      </c>
      <c r="CS280" s="60">
        <f>IF(B280="","",IF(ENTRADA!$Y280="","",ENTRADA!$Y280-C280))</f>
      </c>
      <c r="CT280" s="66">
        <f>IF(B280="","",IF(ENTRADA!$C280="","Falta fecha. ","")&amp;IF(BP280=0,"Mes fuera del rango de COSTOS_FIJOS. ","")&amp;IF(J280=0,"Sin kg. ","")&amp;IF(E280="","Falta transitaria. ","")&amp;IF(AND(T280&gt;0,U280/T280-1&gt;Tolerancia_Comb),"Combustible al puerto "&amp;TEXT(U280/T280-1,"+0%")&amp;" sobre norma. ","")&amp;IF(AND(AG280&gt;0,AH280/AG280-1&gt;Tolerancia_Comb),"Combustible distribución Occidente "&amp;TEXT(AH280/AG280-1,"+0%")&amp;" sobre norma. ","")&amp;IF(AND(AK280&gt;0,AL280/AK280-1&gt;Tolerancia_Comb),"Combustible traslado Centro "&amp;TEXT(AL280/AK280-1,"+0%")&amp;" sobre norma. ","")&amp;IF(AND(AM280&gt;0,AN280/AM280-1&gt;Tolerancia_Comb),"Combustible distribución Centro "&amp;TEXT(AN280/AM280-1,"+0%")&amp;" sobre norma. ","")&amp;IF(AND(AU280&gt;0,AV280/AU280-1&gt;Tolerancia_Comb),"Combustible traslado Oriente "&amp;TEXT(AV280/AU280-1,"+0%")&amp;" sobre norma. ","")&amp;IF(AND(AW280&gt;0,AX280/AW280-1&gt;Tolerancia_Comb),"Combustible distribución Oriente "&amp;TEXT(AX280/AW280-1,"+0%")&amp;" sobre norma. ","")&amp;IF(AND(ENTRADA!$C280&lt;&gt;"",C280&lt;PRECIOS!$A$6),"Fecha anterior a la 1ª vigencia de precios. ","")&amp;IF(CD280&lt;0,"Contenedor con pérdida. ",""))</f>
      </c>
    </row>
    <row r="281">
      <c r="A281" s="60">
        <f>IF(B281="","",ROW()-5)</f>
      </c>
      <c r="B281" s="63">
        <f>IF(ENTRADA!$B281="","",ENTRADA!$B281)</f>
      </c>
      <c r="C281" s="64">
        <f>IF(B281="","",ENTRADA!$C281)</f>
      </c>
      <c r="D281" s="65">
        <f>IF(B281="","",DATE(YEAR(C281),MONTH(C281),1))</f>
      </c>
      <c r="E281" s="66">
        <f>IF(B281="","",ENTRADA!$D281&amp;"")</f>
      </c>
      <c r="F281" s="66">
        <f>IF(B281="","",ENTRADA!$Z281&amp;"")</f>
      </c>
      <c r="G281" s="67">
        <f>IF(B281="","",N(ENTRADA!$G281))</f>
      </c>
      <c r="H281" s="67">
        <f>IF(B281="","",N(ENTRADA!$H281))</f>
      </c>
      <c r="I281" s="67">
        <f>IF(B281="","",N(ENTRADA!$I281))</f>
      </c>
      <c r="J281" s="68">
        <f>IF(B281="","",G281+H281+I281)</f>
      </c>
      <c r="K281" s="60">
        <f>IF(B281="","",IFERROR(MATCH(SUMPRODUCT(MAX((PRECIOS!$A$6:$A$55&lt;=C281)*PRECIOS!$A$6:$A$55)),PRECIOS!$A$6:$A$55,0),1))</f>
      </c>
      <c r="L281" s="69">
        <f>IF(B281="","",INDEX(PRECIOS!$A$6:$A$55,K281))</f>
      </c>
      <c r="M281" s="37">
        <f>IF(B281="","",G281*INDEX(PRECIOS!$B$6:$B$55,K281))</f>
      </c>
      <c r="N281" s="37">
        <f>IF(B281="","",H281*INDEX(PRECIOS!$C$6:$C$55,K281))</f>
      </c>
      <c r="O281" s="37">
        <f>IF(B281="","",I281*INDEX(PRECIOS!$D$6:$D$55,K281))</f>
      </c>
      <c r="P281" s="37">
        <f>IF(B281="","",N(ENTRADA!$X281))</f>
      </c>
      <c r="Q281" s="70">
        <f>IF(B281="","",M281+N281+O281+P281)</f>
      </c>
      <c r="R281" s="71">
        <f>IF(B281="","",IF(ENTRADA!$J281="",Std_Viajes_Puerto,ENTRADA!$J281))</f>
      </c>
      <c r="S281" s="37">
        <f>IF(B281="","",R281*INDEX(PRECIOS!$F$6:$F$55,K281))</f>
      </c>
      <c r="T281" s="71">
        <f>IF(B281="","",R281*Litros_Puerto_Viaje)</f>
      </c>
      <c r="U281" s="71">
        <f>IF(B281="","",IF(ENTRADA!$K281="",T281,ENTRADA!$K281))</f>
      </c>
      <c r="V281" s="37">
        <f>IF(B281="","",U281*INDEX(PRECIOS!$E$6:$E$55,K281))</f>
      </c>
      <c r="W281" s="37">
        <f>IF(B281="","",IF(ENTRADA!$L281="",R281*INDEX(PRECIOS!$G$6:$G$55,K281),ENTRADA!$L281))</f>
      </c>
      <c r="X281" s="37">
        <f>IF(B281="","",R281*Km_Puerto_Viaje*INDEX(PRECIOS!$N$6:$N$55,K281))</f>
      </c>
      <c r="Y281" s="70">
        <f>IF(B281="","",S281+V281+W281+X281)</f>
      </c>
      <c r="Z281" s="71">
        <f>IF(B281="","",IF(J281=0,0,ROUNDUP(J281/Rend_Desagrupe,0)))</f>
      </c>
      <c r="AA281" s="71">
        <f>IF(B281="","",IF(ENTRADA!$M281="",Z281,ENTRADA!$M281))</f>
      </c>
      <c r="AB281" s="37">
        <f>IF(B281="","",AA281*INDEX(PRECIOS!$H$6:$H$55,K281))</f>
      </c>
      <c r="AC281" s="37">
        <f>IF(B281="","",IF(E281="ENCI",INDEX(PRECIOS!$J$6:$J$55,K281),IF(E281="A.V",INDEX(PRECIOS!$K$6:$K$55,K281),0)))</f>
      </c>
      <c r="AD281" s="37">
        <f>IF(B281="","",N(ENTRADA!$N281))</f>
      </c>
      <c r="AE281" s="70">
        <f>IF(B281="","",AB281+AC281+AD281)</f>
      </c>
      <c r="AF281" s="71">
        <f>IF(B281="","",IF(G281=0,0,ROUNDUP(G281/Cap_Camion_OCC,0)))</f>
      </c>
      <c r="AG281" s="71">
        <f>IF(B281="","",AF281*L_Dist_OCC)</f>
      </c>
      <c r="AH281" s="71">
        <f>IF(B281="","",IF(ENTRADA!$O281="",AG281,ENTRADA!$O281))</f>
      </c>
      <c r="AI281" s="37">
        <f>IF(B281="","",AH281*INDEX(PRECIOS!$E$6:$E$55,K281))</f>
      </c>
      <c r="AJ281" s="71">
        <f>IF(B281="","",IF(H281=0,0,ROUNDUP(H281/Cap_Camion_CEN,0)))</f>
      </c>
      <c r="AK281" s="71">
        <f>IF(B281="","",AJ281*L_Tras_CEN)</f>
      </c>
      <c r="AL281" s="71">
        <f>IF(B281="","",IF(ENTRADA!$P281="",AK281,ENTRADA!$P281))</f>
      </c>
      <c r="AM281" s="71">
        <f>IF(B281="","",AJ281*L_Dist_CEN)</f>
      </c>
      <c r="AN281" s="71">
        <f>IF(B281="","",IF(ENTRADA!$Q281="",AM281,ENTRADA!$Q281))</f>
      </c>
      <c r="AO281" s="37">
        <f>IF(B281="","",(AL281+AN281)*INDEX(PRECIOS!$E$6:$E$55,K281))</f>
      </c>
      <c r="AP281" s="71">
        <f>IF(B281="","",IF(H281=0,0,ROUNDUP(H281/Rend_Desagrupe_CT,0)))</f>
      </c>
      <c r="AQ281" s="71">
        <f>IF(B281="","",IF(ENTRADA!$R281="",AP281,ENTRADA!$R281))</f>
      </c>
      <c r="AR281" s="37">
        <f>IF(B281="","",AQ281*INDEX(PRECIOS!$I$6:$I$55,K281))</f>
      </c>
      <c r="AS281" s="37">
        <f>IF(B281="","",AO281+AR281)</f>
      </c>
      <c r="AT281" s="71">
        <f>IF(B281="","",IF(I281=0,0,ROUNDUP(I281/Cap_Camion_ORI,0)))</f>
      </c>
      <c r="AU281" s="71">
        <f>IF(B281="","",AT281*L_Tras_ORI)</f>
      </c>
      <c r="AV281" s="71">
        <f>IF(B281="","",IF(ENTRADA!$S281="",AU281,ENTRADA!$S281))</f>
      </c>
      <c r="AW281" s="71">
        <f>IF(B281="","",AT281*L_Dist_ORI)</f>
      </c>
      <c r="AX281" s="71">
        <f>IF(B281="","",IF(ENTRADA!$T281="",AW281,ENTRADA!$T281))</f>
      </c>
      <c r="AY281" s="37">
        <f>IF(B281="","",(AV281+AX281)*INDEX(PRECIOS!$E$6:$E$55,K281))</f>
      </c>
      <c r="AZ281" s="71">
        <f>IF(B281="","",IF(I281=0,0,ROUNDUP(I281/Rend_Desagrupe_CT,0)))</f>
      </c>
      <c r="BA281" s="71">
        <f>IF(B281="","",IF(ENTRADA!$U281="",AZ281,ENTRADA!$U281))</f>
      </c>
      <c r="BB281" s="37">
        <f>IF(B281="","",BA281*INDEX(PRECIOS!$I$6:$I$55,K281))</f>
      </c>
      <c r="BC281" s="37">
        <f>IF(B281="","",AY281+BB281)</f>
      </c>
      <c r="BD281" s="70">
        <f>IF(B281="","",AI281+AS281+BC281)</f>
      </c>
      <c r="BE281" s="37">
        <f>IF(B281="","",IF(Base_Comision="% DEL INGRESO",M281*INDEX(PRECIOS!$L$6:$L$55,K281),G281*INDEX(PRECIOS!$M$6:$M$55,K281)))</f>
      </c>
      <c r="BF281" s="37">
        <f>IF(B281="","",IF(Base_Comision="% DEL INGRESO",N281*INDEX(PRECIOS!$L$6:$L$55,K281),H281*INDEX(PRECIOS!$M$6:$M$55,K281)))</f>
      </c>
      <c r="BG281" s="37">
        <f>IF(B281="","",IF(Base_Comision="% DEL INGRESO",O281*INDEX(PRECIOS!$L$6:$L$55,K281),I281*INDEX(PRECIOS!$M$6:$M$55,K281)))</f>
      </c>
      <c r="BH281" s="70">
        <f>IF(B281="","",BE281+BF281+BG281)</f>
      </c>
      <c r="BI281" s="37">
        <f>IF(B281="","",Q281*Pct_Reclamaciones)</f>
      </c>
      <c r="BJ281" s="37">
        <f>IF(B281="","",Q281*Pct_Banco)</f>
      </c>
      <c r="BK281" s="37">
        <f>IF(B281="","",N(ENTRADA!$V281))</f>
      </c>
      <c r="BL281" s="70">
        <f>IF(B281="","",Y281+AE281+BD281+BH281+BI281+BJ281+BK281)</f>
      </c>
      <c r="BM281" s="70">
        <f>IF(B281="","",Q281-BL281)</f>
      </c>
      <c r="BN281" s="72">
        <f>IF(B281="","",IF(Q281=0,0,BM281/Q281))</f>
      </c>
      <c r="BO281" s="73">
        <f>IF(B281="","",IF(J281=0,0,BM281/J281))</f>
      </c>
      <c r="BP281" s="60">
        <f>IF(B281="","",IFERROR(MATCH(D281,COSTOS_FIJOS!$G$5:$AD$5,0),0))</f>
      </c>
      <c r="BQ281" s="60">
        <f>IF(B281="","",COUNTIFS($D$6:$D$305,D281))</f>
      </c>
      <c r="BR281" s="67">
        <f>IF(B281="","",SUMIFS($J$6:$J$305,$D$6:$D$305,D281))</f>
      </c>
      <c r="BS281" s="72">
        <f>IF(B281="","",IF(Metodo_Prorrateo="KG",IF(BR281=0,0,J281/BR281),1/BQ281))</f>
      </c>
      <c r="BT281" s="37">
        <f>IF(B281="","",IF(BP281=0,0,INDEX(COSTOS_FIJOS!$G$38:$AD$38,BP281))*BS281)</f>
      </c>
      <c r="BU281" s="72">
        <f>IF(B281="","",IF(Metodo_Prorrateo="KG",IF(SUMIFS($G$6:$G$305,$D$6:$D$305,D281)=0,0,G281/SUMIFS($G$6:$G$305,$D$6:$D$305,D281)),IF(G281&gt;0,1/COUNTIFS($D$6:$D$305,D281,$G$6:$G$305,"&gt;0"),0)))</f>
      </c>
      <c r="BV281" s="37">
        <f>IF(B281="","",IF(BP281=0,0,INDEX(COSTOS_FIJOS!$G$39:$AD$39,BP281))*BU281)</f>
      </c>
      <c r="BW281" s="72">
        <f>IF(B281="","",IF(Metodo_Prorrateo="KG",IF(SUMIFS($H$6:$H$305,$D$6:$D$305,D281)=0,0,H281/SUMIFS($H$6:$H$305,$D$6:$D$305,D281)),IF(H281&gt;0,1/COUNTIFS($D$6:$D$305,D281,$H$6:$H$305,"&gt;0"),0)))</f>
      </c>
      <c r="BX281" s="37">
        <f>IF(B281="","",IF(BP281=0,0,INDEX(COSTOS_FIJOS!$G$40:$AD$40,BP281))*BW281)</f>
      </c>
      <c r="BY281" s="72">
        <f>IF(B281="","",IF(Metodo_Prorrateo="KG",IF(SUMIFS($I$6:$I$305,$D$6:$D$305,D281)=0,0,I281/SUMIFS($I$6:$I$305,$D$6:$D$305,D281)),IF(I281&gt;0,1/COUNTIFS($D$6:$D$305,D281,$I$6:$I$305,"&gt;0"),0)))</f>
      </c>
      <c r="BZ281" s="37">
        <f>IF(B281="","",IF(BP281=0,0,INDEX(COSTOS_FIJOS!$G$41:$AD$41,BP281))*BY281)</f>
      </c>
      <c r="CA281" s="70">
        <f>IF(B281="","",BT281+BV281+BX281+BZ281)</f>
      </c>
      <c r="CB281" s="37">
        <f>IF(B281="","",Q281*Imp_Ventas_Serv)</f>
      </c>
      <c r="CC281" s="37">
        <f>IF(B281="","",Q281*Contrib_Territorial)</f>
      </c>
      <c r="CD281" s="70">
        <f>IF(B281="","",BM281-CA281-CB281-CC281)</f>
      </c>
      <c r="CE281" s="37">
        <f>IF(B281="","",MAX(0,CD281)*Imp_Utilidades)</f>
      </c>
      <c r="CF281" s="70">
        <f>IF(B281="","",CD281-CE281)</f>
      </c>
      <c r="CG281" s="72">
        <f>IF(B281="","",IF(Q281=0,0,CF281/Q281))</f>
      </c>
      <c r="CH281" s="73">
        <f>IF(B281="","",IF(J281=0,0,(BL281+CA281+CB281+CC281)/J281))</f>
      </c>
      <c r="CI281" s="73">
        <f>IF(B281="","",IF(J281=0,0,Q281/J281))</f>
      </c>
      <c r="CJ281" s="73">
        <f>IF(B281="","",IF(J281=0,0,CD281/J281))</f>
      </c>
      <c r="CK281" s="37">
        <f>IF(B281="","",Y281+AE281+BK281+BT281)</f>
      </c>
      <c r="CL281" s="37">
        <f>IF(B281="","",IF(J281=0,0,(M281+P281*G281/J281)*(1-Pct_Reclamaciones-Pct_Banco-Imp_Ventas_Serv-Contrib_Territorial)-AI281-BE281-BV281-CK281*G281/J281))</f>
      </c>
      <c r="CM281" s="37">
        <f>IF(B281="","",IF(J281=0,0,(N281+P281*H281/J281)*(1-Pct_Reclamaciones-Pct_Banco-Imp_Ventas_Serv-Contrib_Territorial)-AS281-BF281-BX281-CK281*H281/J281))</f>
      </c>
      <c r="CN281" s="37">
        <f>IF(B281="","",IF(J281=0,0,(O281+P281*I281/J281)*(1-Pct_Reclamaciones-Pct_Banco-Imp_Ventas_Serv-Contrib_Territorial)-BC281-BG281-BZ281-CK281*I281/J281))</f>
      </c>
      <c r="CO281" s="37">
        <f>IF(B281="","",IF(J281=0,0,ROUND(CD281-CL281-CM281-CN281,4)))</f>
      </c>
      <c r="CP281" s="71">
        <f>IF(B281="","",T281+AG281+AK281+AM281+AU281+AW281)</f>
      </c>
      <c r="CQ281" s="71">
        <f>IF(B281="","",U281+AH281+AL281+AN281+AV281+AX281)</f>
      </c>
      <c r="CR281" s="72">
        <f>IF(B281="","",IF(CP281=0,0,CQ281/CP281-1))</f>
      </c>
      <c r="CS281" s="60">
        <f>IF(B281="","",IF(ENTRADA!$Y281="","",ENTRADA!$Y281-C281))</f>
      </c>
      <c r="CT281" s="66">
        <f>IF(B281="","",IF(ENTRADA!$C281="","Falta fecha. ","")&amp;IF(BP281=0,"Mes fuera del rango de COSTOS_FIJOS. ","")&amp;IF(J281=0,"Sin kg. ","")&amp;IF(E281="","Falta transitaria. ","")&amp;IF(AND(T281&gt;0,U281/T281-1&gt;Tolerancia_Comb),"Combustible al puerto "&amp;TEXT(U281/T281-1,"+0%")&amp;" sobre norma. ","")&amp;IF(AND(AG281&gt;0,AH281/AG281-1&gt;Tolerancia_Comb),"Combustible distribución Occidente "&amp;TEXT(AH281/AG281-1,"+0%")&amp;" sobre norma. ","")&amp;IF(AND(AK281&gt;0,AL281/AK281-1&gt;Tolerancia_Comb),"Combustible traslado Centro "&amp;TEXT(AL281/AK281-1,"+0%")&amp;" sobre norma. ","")&amp;IF(AND(AM281&gt;0,AN281/AM281-1&gt;Tolerancia_Comb),"Combustible distribución Centro "&amp;TEXT(AN281/AM281-1,"+0%")&amp;" sobre norma. ","")&amp;IF(AND(AU281&gt;0,AV281/AU281-1&gt;Tolerancia_Comb),"Combustible traslado Oriente "&amp;TEXT(AV281/AU281-1,"+0%")&amp;" sobre norma. ","")&amp;IF(AND(AW281&gt;0,AX281/AW281-1&gt;Tolerancia_Comb),"Combustible distribución Oriente "&amp;TEXT(AX281/AW281-1,"+0%")&amp;" sobre norma. ","")&amp;IF(AND(ENTRADA!$C281&lt;&gt;"",C281&lt;PRECIOS!$A$6),"Fecha anterior a la 1ª vigencia de precios. ","")&amp;IF(CD281&lt;0,"Contenedor con pérdida. ",""))</f>
      </c>
    </row>
    <row r="282">
      <c r="A282" s="60">
        <f>IF(B282="","",ROW()-5)</f>
      </c>
      <c r="B282" s="63">
        <f>IF(ENTRADA!$B282="","",ENTRADA!$B282)</f>
      </c>
      <c r="C282" s="64">
        <f>IF(B282="","",ENTRADA!$C282)</f>
      </c>
      <c r="D282" s="65">
        <f>IF(B282="","",DATE(YEAR(C282),MONTH(C282),1))</f>
      </c>
      <c r="E282" s="66">
        <f>IF(B282="","",ENTRADA!$D282&amp;"")</f>
      </c>
      <c r="F282" s="66">
        <f>IF(B282="","",ENTRADA!$Z282&amp;"")</f>
      </c>
      <c r="G282" s="67">
        <f>IF(B282="","",N(ENTRADA!$G282))</f>
      </c>
      <c r="H282" s="67">
        <f>IF(B282="","",N(ENTRADA!$H282))</f>
      </c>
      <c r="I282" s="67">
        <f>IF(B282="","",N(ENTRADA!$I282))</f>
      </c>
      <c r="J282" s="68">
        <f>IF(B282="","",G282+H282+I282)</f>
      </c>
      <c r="K282" s="60">
        <f>IF(B282="","",IFERROR(MATCH(SUMPRODUCT(MAX((PRECIOS!$A$6:$A$55&lt;=C282)*PRECIOS!$A$6:$A$55)),PRECIOS!$A$6:$A$55,0),1))</f>
      </c>
      <c r="L282" s="69">
        <f>IF(B282="","",INDEX(PRECIOS!$A$6:$A$55,K282))</f>
      </c>
      <c r="M282" s="37">
        <f>IF(B282="","",G282*INDEX(PRECIOS!$B$6:$B$55,K282))</f>
      </c>
      <c r="N282" s="37">
        <f>IF(B282="","",H282*INDEX(PRECIOS!$C$6:$C$55,K282))</f>
      </c>
      <c r="O282" s="37">
        <f>IF(B282="","",I282*INDEX(PRECIOS!$D$6:$D$55,K282))</f>
      </c>
      <c r="P282" s="37">
        <f>IF(B282="","",N(ENTRADA!$X282))</f>
      </c>
      <c r="Q282" s="70">
        <f>IF(B282="","",M282+N282+O282+P282)</f>
      </c>
      <c r="R282" s="71">
        <f>IF(B282="","",IF(ENTRADA!$J282="",Std_Viajes_Puerto,ENTRADA!$J282))</f>
      </c>
      <c r="S282" s="37">
        <f>IF(B282="","",R282*INDEX(PRECIOS!$F$6:$F$55,K282))</f>
      </c>
      <c r="T282" s="71">
        <f>IF(B282="","",R282*Litros_Puerto_Viaje)</f>
      </c>
      <c r="U282" s="71">
        <f>IF(B282="","",IF(ENTRADA!$K282="",T282,ENTRADA!$K282))</f>
      </c>
      <c r="V282" s="37">
        <f>IF(B282="","",U282*INDEX(PRECIOS!$E$6:$E$55,K282))</f>
      </c>
      <c r="W282" s="37">
        <f>IF(B282="","",IF(ENTRADA!$L282="",R282*INDEX(PRECIOS!$G$6:$G$55,K282),ENTRADA!$L282))</f>
      </c>
      <c r="X282" s="37">
        <f>IF(B282="","",R282*Km_Puerto_Viaje*INDEX(PRECIOS!$N$6:$N$55,K282))</f>
      </c>
      <c r="Y282" s="70">
        <f>IF(B282="","",S282+V282+W282+X282)</f>
      </c>
      <c r="Z282" s="71">
        <f>IF(B282="","",IF(J282=0,0,ROUNDUP(J282/Rend_Desagrupe,0)))</f>
      </c>
      <c r="AA282" s="71">
        <f>IF(B282="","",IF(ENTRADA!$M282="",Z282,ENTRADA!$M282))</f>
      </c>
      <c r="AB282" s="37">
        <f>IF(B282="","",AA282*INDEX(PRECIOS!$H$6:$H$55,K282))</f>
      </c>
      <c r="AC282" s="37">
        <f>IF(B282="","",IF(E282="ENCI",INDEX(PRECIOS!$J$6:$J$55,K282),IF(E282="A.V",INDEX(PRECIOS!$K$6:$K$55,K282),0)))</f>
      </c>
      <c r="AD282" s="37">
        <f>IF(B282="","",N(ENTRADA!$N282))</f>
      </c>
      <c r="AE282" s="70">
        <f>IF(B282="","",AB282+AC282+AD282)</f>
      </c>
      <c r="AF282" s="71">
        <f>IF(B282="","",IF(G282=0,0,ROUNDUP(G282/Cap_Camion_OCC,0)))</f>
      </c>
      <c r="AG282" s="71">
        <f>IF(B282="","",AF282*L_Dist_OCC)</f>
      </c>
      <c r="AH282" s="71">
        <f>IF(B282="","",IF(ENTRADA!$O282="",AG282,ENTRADA!$O282))</f>
      </c>
      <c r="AI282" s="37">
        <f>IF(B282="","",AH282*INDEX(PRECIOS!$E$6:$E$55,K282))</f>
      </c>
      <c r="AJ282" s="71">
        <f>IF(B282="","",IF(H282=0,0,ROUNDUP(H282/Cap_Camion_CEN,0)))</f>
      </c>
      <c r="AK282" s="71">
        <f>IF(B282="","",AJ282*L_Tras_CEN)</f>
      </c>
      <c r="AL282" s="71">
        <f>IF(B282="","",IF(ENTRADA!$P282="",AK282,ENTRADA!$P282))</f>
      </c>
      <c r="AM282" s="71">
        <f>IF(B282="","",AJ282*L_Dist_CEN)</f>
      </c>
      <c r="AN282" s="71">
        <f>IF(B282="","",IF(ENTRADA!$Q282="",AM282,ENTRADA!$Q282))</f>
      </c>
      <c r="AO282" s="37">
        <f>IF(B282="","",(AL282+AN282)*INDEX(PRECIOS!$E$6:$E$55,K282))</f>
      </c>
      <c r="AP282" s="71">
        <f>IF(B282="","",IF(H282=0,0,ROUNDUP(H282/Rend_Desagrupe_CT,0)))</f>
      </c>
      <c r="AQ282" s="71">
        <f>IF(B282="","",IF(ENTRADA!$R282="",AP282,ENTRADA!$R282))</f>
      </c>
      <c r="AR282" s="37">
        <f>IF(B282="","",AQ282*INDEX(PRECIOS!$I$6:$I$55,K282))</f>
      </c>
      <c r="AS282" s="37">
        <f>IF(B282="","",AO282+AR282)</f>
      </c>
      <c r="AT282" s="71">
        <f>IF(B282="","",IF(I282=0,0,ROUNDUP(I282/Cap_Camion_ORI,0)))</f>
      </c>
      <c r="AU282" s="71">
        <f>IF(B282="","",AT282*L_Tras_ORI)</f>
      </c>
      <c r="AV282" s="71">
        <f>IF(B282="","",IF(ENTRADA!$S282="",AU282,ENTRADA!$S282))</f>
      </c>
      <c r="AW282" s="71">
        <f>IF(B282="","",AT282*L_Dist_ORI)</f>
      </c>
      <c r="AX282" s="71">
        <f>IF(B282="","",IF(ENTRADA!$T282="",AW282,ENTRADA!$T282))</f>
      </c>
      <c r="AY282" s="37">
        <f>IF(B282="","",(AV282+AX282)*INDEX(PRECIOS!$E$6:$E$55,K282))</f>
      </c>
      <c r="AZ282" s="71">
        <f>IF(B282="","",IF(I282=0,0,ROUNDUP(I282/Rend_Desagrupe_CT,0)))</f>
      </c>
      <c r="BA282" s="71">
        <f>IF(B282="","",IF(ENTRADA!$U282="",AZ282,ENTRADA!$U282))</f>
      </c>
      <c r="BB282" s="37">
        <f>IF(B282="","",BA282*INDEX(PRECIOS!$I$6:$I$55,K282))</f>
      </c>
      <c r="BC282" s="37">
        <f>IF(B282="","",AY282+BB282)</f>
      </c>
      <c r="BD282" s="70">
        <f>IF(B282="","",AI282+AS282+BC282)</f>
      </c>
      <c r="BE282" s="37">
        <f>IF(B282="","",IF(Base_Comision="% DEL INGRESO",M282*INDEX(PRECIOS!$L$6:$L$55,K282),G282*INDEX(PRECIOS!$M$6:$M$55,K282)))</f>
      </c>
      <c r="BF282" s="37">
        <f>IF(B282="","",IF(Base_Comision="% DEL INGRESO",N282*INDEX(PRECIOS!$L$6:$L$55,K282),H282*INDEX(PRECIOS!$M$6:$M$55,K282)))</f>
      </c>
      <c r="BG282" s="37">
        <f>IF(B282="","",IF(Base_Comision="% DEL INGRESO",O282*INDEX(PRECIOS!$L$6:$L$55,K282),I282*INDEX(PRECIOS!$M$6:$M$55,K282)))</f>
      </c>
      <c r="BH282" s="70">
        <f>IF(B282="","",BE282+BF282+BG282)</f>
      </c>
      <c r="BI282" s="37">
        <f>IF(B282="","",Q282*Pct_Reclamaciones)</f>
      </c>
      <c r="BJ282" s="37">
        <f>IF(B282="","",Q282*Pct_Banco)</f>
      </c>
      <c r="BK282" s="37">
        <f>IF(B282="","",N(ENTRADA!$V282))</f>
      </c>
      <c r="BL282" s="70">
        <f>IF(B282="","",Y282+AE282+BD282+BH282+BI282+BJ282+BK282)</f>
      </c>
      <c r="BM282" s="70">
        <f>IF(B282="","",Q282-BL282)</f>
      </c>
      <c r="BN282" s="72">
        <f>IF(B282="","",IF(Q282=0,0,BM282/Q282))</f>
      </c>
      <c r="BO282" s="73">
        <f>IF(B282="","",IF(J282=0,0,BM282/J282))</f>
      </c>
      <c r="BP282" s="60">
        <f>IF(B282="","",IFERROR(MATCH(D282,COSTOS_FIJOS!$G$5:$AD$5,0),0))</f>
      </c>
      <c r="BQ282" s="60">
        <f>IF(B282="","",COUNTIFS($D$6:$D$305,D282))</f>
      </c>
      <c r="BR282" s="67">
        <f>IF(B282="","",SUMIFS($J$6:$J$305,$D$6:$D$305,D282))</f>
      </c>
      <c r="BS282" s="72">
        <f>IF(B282="","",IF(Metodo_Prorrateo="KG",IF(BR282=0,0,J282/BR282),1/BQ282))</f>
      </c>
      <c r="BT282" s="37">
        <f>IF(B282="","",IF(BP282=0,0,INDEX(COSTOS_FIJOS!$G$38:$AD$38,BP282))*BS282)</f>
      </c>
      <c r="BU282" s="72">
        <f>IF(B282="","",IF(Metodo_Prorrateo="KG",IF(SUMIFS($G$6:$G$305,$D$6:$D$305,D282)=0,0,G282/SUMIFS($G$6:$G$305,$D$6:$D$305,D282)),IF(G282&gt;0,1/COUNTIFS($D$6:$D$305,D282,$G$6:$G$305,"&gt;0"),0)))</f>
      </c>
      <c r="BV282" s="37">
        <f>IF(B282="","",IF(BP282=0,0,INDEX(COSTOS_FIJOS!$G$39:$AD$39,BP282))*BU282)</f>
      </c>
      <c r="BW282" s="72">
        <f>IF(B282="","",IF(Metodo_Prorrateo="KG",IF(SUMIFS($H$6:$H$305,$D$6:$D$305,D282)=0,0,H282/SUMIFS($H$6:$H$305,$D$6:$D$305,D282)),IF(H282&gt;0,1/COUNTIFS($D$6:$D$305,D282,$H$6:$H$305,"&gt;0"),0)))</f>
      </c>
      <c r="BX282" s="37">
        <f>IF(B282="","",IF(BP282=0,0,INDEX(COSTOS_FIJOS!$G$40:$AD$40,BP282))*BW282)</f>
      </c>
      <c r="BY282" s="72">
        <f>IF(B282="","",IF(Metodo_Prorrateo="KG",IF(SUMIFS($I$6:$I$305,$D$6:$D$305,D282)=0,0,I282/SUMIFS($I$6:$I$305,$D$6:$D$305,D282)),IF(I282&gt;0,1/COUNTIFS($D$6:$D$305,D282,$I$6:$I$305,"&gt;0"),0)))</f>
      </c>
      <c r="BZ282" s="37">
        <f>IF(B282="","",IF(BP282=0,0,INDEX(COSTOS_FIJOS!$G$41:$AD$41,BP282))*BY282)</f>
      </c>
      <c r="CA282" s="70">
        <f>IF(B282="","",BT282+BV282+BX282+BZ282)</f>
      </c>
      <c r="CB282" s="37">
        <f>IF(B282="","",Q282*Imp_Ventas_Serv)</f>
      </c>
      <c r="CC282" s="37">
        <f>IF(B282="","",Q282*Contrib_Territorial)</f>
      </c>
      <c r="CD282" s="70">
        <f>IF(B282="","",BM282-CA282-CB282-CC282)</f>
      </c>
      <c r="CE282" s="37">
        <f>IF(B282="","",MAX(0,CD282)*Imp_Utilidades)</f>
      </c>
      <c r="CF282" s="70">
        <f>IF(B282="","",CD282-CE282)</f>
      </c>
      <c r="CG282" s="72">
        <f>IF(B282="","",IF(Q282=0,0,CF282/Q282))</f>
      </c>
      <c r="CH282" s="73">
        <f>IF(B282="","",IF(J282=0,0,(BL282+CA282+CB282+CC282)/J282))</f>
      </c>
      <c r="CI282" s="73">
        <f>IF(B282="","",IF(J282=0,0,Q282/J282))</f>
      </c>
      <c r="CJ282" s="73">
        <f>IF(B282="","",IF(J282=0,0,CD282/J282))</f>
      </c>
      <c r="CK282" s="37">
        <f>IF(B282="","",Y282+AE282+BK282+BT282)</f>
      </c>
      <c r="CL282" s="37">
        <f>IF(B282="","",IF(J282=0,0,(M282+P282*G282/J282)*(1-Pct_Reclamaciones-Pct_Banco-Imp_Ventas_Serv-Contrib_Territorial)-AI282-BE282-BV282-CK282*G282/J282))</f>
      </c>
      <c r="CM282" s="37">
        <f>IF(B282="","",IF(J282=0,0,(N282+P282*H282/J282)*(1-Pct_Reclamaciones-Pct_Banco-Imp_Ventas_Serv-Contrib_Territorial)-AS282-BF282-BX282-CK282*H282/J282))</f>
      </c>
      <c r="CN282" s="37">
        <f>IF(B282="","",IF(J282=0,0,(O282+P282*I282/J282)*(1-Pct_Reclamaciones-Pct_Banco-Imp_Ventas_Serv-Contrib_Territorial)-BC282-BG282-BZ282-CK282*I282/J282))</f>
      </c>
      <c r="CO282" s="37">
        <f>IF(B282="","",IF(J282=0,0,ROUND(CD282-CL282-CM282-CN282,4)))</f>
      </c>
      <c r="CP282" s="71">
        <f>IF(B282="","",T282+AG282+AK282+AM282+AU282+AW282)</f>
      </c>
      <c r="CQ282" s="71">
        <f>IF(B282="","",U282+AH282+AL282+AN282+AV282+AX282)</f>
      </c>
      <c r="CR282" s="72">
        <f>IF(B282="","",IF(CP282=0,0,CQ282/CP282-1))</f>
      </c>
      <c r="CS282" s="60">
        <f>IF(B282="","",IF(ENTRADA!$Y282="","",ENTRADA!$Y282-C282))</f>
      </c>
      <c r="CT282" s="66">
        <f>IF(B282="","",IF(ENTRADA!$C282="","Falta fecha. ","")&amp;IF(BP282=0,"Mes fuera del rango de COSTOS_FIJOS. ","")&amp;IF(J282=0,"Sin kg. ","")&amp;IF(E282="","Falta transitaria. ","")&amp;IF(AND(T282&gt;0,U282/T282-1&gt;Tolerancia_Comb),"Combustible al puerto "&amp;TEXT(U282/T282-1,"+0%")&amp;" sobre norma. ","")&amp;IF(AND(AG282&gt;0,AH282/AG282-1&gt;Tolerancia_Comb),"Combustible distribución Occidente "&amp;TEXT(AH282/AG282-1,"+0%")&amp;" sobre norma. ","")&amp;IF(AND(AK282&gt;0,AL282/AK282-1&gt;Tolerancia_Comb),"Combustible traslado Centro "&amp;TEXT(AL282/AK282-1,"+0%")&amp;" sobre norma. ","")&amp;IF(AND(AM282&gt;0,AN282/AM282-1&gt;Tolerancia_Comb),"Combustible distribución Centro "&amp;TEXT(AN282/AM282-1,"+0%")&amp;" sobre norma. ","")&amp;IF(AND(AU282&gt;0,AV282/AU282-1&gt;Tolerancia_Comb),"Combustible traslado Oriente "&amp;TEXT(AV282/AU282-1,"+0%")&amp;" sobre norma. ","")&amp;IF(AND(AW282&gt;0,AX282/AW282-1&gt;Tolerancia_Comb),"Combustible distribución Oriente "&amp;TEXT(AX282/AW282-1,"+0%")&amp;" sobre norma. ","")&amp;IF(AND(ENTRADA!$C282&lt;&gt;"",C282&lt;PRECIOS!$A$6),"Fecha anterior a la 1ª vigencia de precios. ","")&amp;IF(CD282&lt;0,"Contenedor con pérdida. ",""))</f>
      </c>
    </row>
    <row r="283">
      <c r="A283" s="60">
        <f>IF(B283="","",ROW()-5)</f>
      </c>
      <c r="B283" s="63">
        <f>IF(ENTRADA!$B283="","",ENTRADA!$B283)</f>
      </c>
      <c r="C283" s="64">
        <f>IF(B283="","",ENTRADA!$C283)</f>
      </c>
      <c r="D283" s="65">
        <f>IF(B283="","",DATE(YEAR(C283),MONTH(C283),1))</f>
      </c>
      <c r="E283" s="66">
        <f>IF(B283="","",ENTRADA!$D283&amp;"")</f>
      </c>
      <c r="F283" s="66">
        <f>IF(B283="","",ENTRADA!$Z283&amp;"")</f>
      </c>
      <c r="G283" s="67">
        <f>IF(B283="","",N(ENTRADA!$G283))</f>
      </c>
      <c r="H283" s="67">
        <f>IF(B283="","",N(ENTRADA!$H283))</f>
      </c>
      <c r="I283" s="67">
        <f>IF(B283="","",N(ENTRADA!$I283))</f>
      </c>
      <c r="J283" s="68">
        <f>IF(B283="","",G283+H283+I283)</f>
      </c>
      <c r="K283" s="60">
        <f>IF(B283="","",IFERROR(MATCH(SUMPRODUCT(MAX((PRECIOS!$A$6:$A$55&lt;=C283)*PRECIOS!$A$6:$A$55)),PRECIOS!$A$6:$A$55,0),1))</f>
      </c>
      <c r="L283" s="69">
        <f>IF(B283="","",INDEX(PRECIOS!$A$6:$A$55,K283))</f>
      </c>
      <c r="M283" s="37">
        <f>IF(B283="","",G283*INDEX(PRECIOS!$B$6:$B$55,K283))</f>
      </c>
      <c r="N283" s="37">
        <f>IF(B283="","",H283*INDEX(PRECIOS!$C$6:$C$55,K283))</f>
      </c>
      <c r="O283" s="37">
        <f>IF(B283="","",I283*INDEX(PRECIOS!$D$6:$D$55,K283))</f>
      </c>
      <c r="P283" s="37">
        <f>IF(B283="","",N(ENTRADA!$X283))</f>
      </c>
      <c r="Q283" s="70">
        <f>IF(B283="","",M283+N283+O283+P283)</f>
      </c>
      <c r="R283" s="71">
        <f>IF(B283="","",IF(ENTRADA!$J283="",Std_Viajes_Puerto,ENTRADA!$J283))</f>
      </c>
      <c r="S283" s="37">
        <f>IF(B283="","",R283*INDEX(PRECIOS!$F$6:$F$55,K283))</f>
      </c>
      <c r="T283" s="71">
        <f>IF(B283="","",R283*Litros_Puerto_Viaje)</f>
      </c>
      <c r="U283" s="71">
        <f>IF(B283="","",IF(ENTRADA!$K283="",T283,ENTRADA!$K283))</f>
      </c>
      <c r="V283" s="37">
        <f>IF(B283="","",U283*INDEX(PRECIOS!$E$6:$E$55,K283))</f>
      </c>
      <c r="W283" s="37">
        <f>IF(B283="","",IF(ENTRADA!$L283="",R283*INDEX(PRECIOS!$G$6:$G$55,K283),ENTRADA!$L283))</f>
      </c>
      <c r="X283" s="37">
        <f>IF(B283="","",R283*Km_Puerto_Viaje*INDEX(PRECIOS!$N$6:$N$55,K283))</f>
      </c>
      <c r="Y283" s="70">
        <f>IF(B283="","",S283+V283+W283+X283)</f>
      </c>
      <c r="Z283" s="71">
        <f>IF(B283="","",IF(J283=0,0,ROUNDUP(J283/Rend_Desagrupe,0)))</f>
      </c>
      <c r="AA283" s="71">
        <f>IF(B283="","",IF(ENTRADA!$M283="",Z283,ENTRADA!$M283))</f>
      </c>
      <c r="AB283" s="37">
        <f>IF(B283="","",AA283*INDEX(PRECIOS!$H$6:$H$55,K283))</f>
      </c>
      <c r="AC283" s="37">
        <f>IF(B283="","",IF(E283="ENCI",INDEX(PRECIOS!$J$6:$J$55,K283),IF(E283="A.V",INDEX(PRECIOS!$K$6:$K$55,K283),0)))</f>
      </c>
      <c r="AD283" s="37">
        <f>IF(B283="","",N(ENTRADA!$N283))</f>
      </c>
      <c r="AE283" s="70">
        <f>IF(B283="","",AB283+AC283+AD283)</f>
      </c>
      <c r="AF283" s="71">
        <f>IF(B283="","",IF(G283=0,0,ROUNDUP(G283/Cap_Camion_OCC,0)))</f>
      </c>
      <c r="AG283" s="71">
        <f>IF(B283="","",AF283*L_Dist_OCC)</f>
      </c>
      <c r="AH283" s="71">
        <f>IF(B283="","",IF(ENTRADA!$O283="",AG283,ENTRADA!$O283))</f>
      </c>
      <c r="AI283" s="37">
        <f>IF(B283="","",AH283*INDEX(PRECIOS!$E$6:$E$55,K283))</f>
      </c>
      <c r="AJ283" s="71">
        <f>IF(B283="","",IF(H283=0,0,ROUNDUP(H283/Cap_Camion_CEN,0)))</f>
      </c>
      <c r="AK283" s="71">
        <f>IF(B283="","",AJ283*L_Tras_CEN)</f>
      </c>
      <c r="AL283" s="71">
        <f>IF(B283="","",IF(ENTRADA!$P283="",AK283,ENTRADA!$P283))</f>
      </c>
      <c r="AM283" s="71">
        <f>IF(B283="","",AJ283*L_Dist_CEN)</f>
      </c>
      <c r="AN283" s="71">
        <f>IF(B283="","",IF(ENTRADA!$Q283="",AM283,ENTRADA!$Q283))</f>
      </c>
      <c r="AO283" s="37">
        <f>IF(B283="","",(AL283+AN283)*INDEX(PRECIOS!$E$6:$E$55,K283))</f>
      </c>
      <c r="AP283" s="71">
        <f>IF(B283="","",IF(H283=0,0,ROUNDUP(H283/Rend_Desagrupe_CT,0)))</f>
      </c>
      <c r="AQ283" s="71">
        <f>IF(B283="","",IF(ENTRADA!$R283="",AP283,ENTRADA!$R283))</f>
      </c>
      <c r="AR283" s="37">
        <f>IF(B283="","",AQ283*INDEX(PRECIOS!$I$6:$I$55,K283))</f>
      </c>
      <c r="AS283" s="37">
        <f>IF(B283="","",AO283+AR283)</f>
      </c>
      <c r="AT283" s="71">
        <f>IF(B283="","",IF(I283=0,0,ROUNDUP(I283/Cap_Camion_ORI,0)))</f>
      </c>
      <c r="AU283" s="71">
        <f>IF(B283="","",AT283*L_Tras_ORI)</f>
      </c>
      <c r="AV283" s="71">
        <f>IF(B283="","",IF(ENTRADA!$S283="",AU283,ENTRADA!$S283))</f>
      </c>
      <c r="AW283" s="71">
        <f>IF(B283="","",AT283*L_Dist_ORI)</f>
      </c>
      <c r="AX283" s="71">
        <f>IF(B283="","",IF(ENTRADA!$T283="",AW283,ENTRADA!$T283))</f>
      </c>
      <c r="AY283" s="37">
        <f>IF(B283="","",(AV283+AX283)*INDEX(PRECIOS!$E$6:$E$55,K283))</f>
      </c>
      <c r="AZ283" s="71">
        <f>IF(B283="","",IF(I283=0,0,ROUNDUP(I283/Rend_Desagrupe_CT,0)))</f>
      </c>
      <c r="BA283" s="71">
        <f>IF(B283="","",IF(ENTRADA!$U283="",AZ283,ENTRADA!$U283))</f>
      </c>
      <c r="BB283" s="37">
        <f>IF(B283="","",BA283*INDEX(PRECIOS!$I$6:$I$55,K283))</f>
      </c>
      <c r="BC283" s="37">
        <f>IF(B283="","",AY283+BB283)</f>
      </c>
      <c r="BD283" s="70">
        <f>IF(B283="","",AI283+AS283+BC283)</f>
      </c>
      <c r="BE283" s="37">
        <f>IF(B283="","",IF(Base_Comision="% DEL INGRESO",M283*INDEX(PRECIOS!$L$6:$L$55,K283),G283*INDEX(PRECIOS!$M$6:$M$55,K283)))</f>
      </c>
      <c r="BF283" s="37">
        <f>IF(B283="","",IF(Base_Comision="% DEL INGRESO",N283*INDEX(PRECIOS!$L$6:$L$55,K283),H283*INDEX(PRECIOS!$M$6:$M$55,K283)))</f>
      </c>
      <c r="BG283" s="37">
        <f>IF(B283="","",IF(Base_Comision="% DEL INGRESO",O283*INDEX(PRECIOS!$L$6:$L$55,K283),I283*INDEX(PRECIOS!$M$6:$M$55,K283)))</f>
      </c>
      <c r="BH283" s="70">
        <f>IF(B283="","",BE283+BF283+BG283)</f>
      </c>
      <c r="BI283" s="37">
        <f>IF(B283="","",Q283*Pct_Reclamaciones)</f>
      </c>
      <c r="BJ283" s="37">
        <f>IF(B283="","",Q283*Pct_Banco)</f>
      </c>
      <c r="BK283" s="37">
        <f>IF(B283="","",N(ENTRADA!$V283))</f>
      </c>
      <c r="BL283" s="70">
        <f>IF(B283="","",Y283+AE283+BD283+BH283+BI283+BJ283+BK283)</f>
      </c>
      <c r="BM283" s="70">
        <f>IF(B283="","",Q283-BL283)</f>
      </c>
      <c r="BN283" s="72">
        <f>IF(B283="","",IF(Q283=0,0,BM283/Q283))</f>
      </c>
      <c r="BO283" s="73">
        <f>IF(B283="","",IF(J283=0,0,BM283/J283))</f>
      </c>
      <c r="BP283" s="60">
        <f>IF(B283="","",IFERROR(MATCH(D283,COSTOS_FIJOS!$G$5:$AD$5,0),0))</f>
      </c>
      <c r="BQ283" s="60">
        <f>IF(B283="","",COUNTIFS($D$6:$D$305,D283))</f>
      </c>
      <c r="BR283" s="67">
        <f>IF(B283="","",SUMIFS($J$6:$J$305,$D$6:$D$305,D283))</f>
      </c>
      <c r="BS283" s="72">
        <f>IF(B283="","",IF(Metodo_Prorrateo="KG",IF(BR283=0,0,J283/BR283),1/BQ283))</f>
      </c>
      <c r="BT283" s="37">
        <f>IF(B283="","",IF(BP283=0,0,INDEX(COSTOS_FIJOS!$G$38:$AD$38,BP283))*BS283)</f>
      </c>
      <c r="BU283" s="72">
        <f>IF(B283="","",IF(Metodo_Prorrateo="KG",IF(SUMIFS($G$6:$G$305,$D$6:$D$305,D283)=0,0,G283/SUMIFS($G$6:$G$305,$D$6:$D$305,D283)),IF(G283&gt;0,1/COUNTIFS($D$6:$D$305,D283,$G$6:$G$305,"&gt;0"),0)))</f>
      </c>
      <c r="BV283" s="37">
        <f>IF(B283="","",IF(BP283=0,0,INDEX(COSTOS_FIJOS!$G$39:$AD$39,BP283))*BU283)</f>
      </c>
      <c r="BW283" s="72">
        <f>IF(B283="","",IF(Metodo_Prorrateo="KG",IF(SUMIFS($H$6:$H$305,$D$6:$D$305,D283)=0,0,H283/SUMIFS($H$6:$H$305,$D$6:$D$305,D283)),IF(H283&gt;0,1/COUNTIFS($D$6:$D$305,D283,$H$6:$H$305,"&gt;0"),0)))</f>
      </c>
      <c r="BX283" s="37">
        <f>IF(B283="","",IF(BP283=0,0,INDEX(COSTOS_FIJOS!$G$40:$AD$40,BP283))*BW283)</f>
      </c>
      <c r="BY283" s="72">
        <f>IF(B283="","",IF(Metodo_Prorrateo="KG",IF(SUMIFS($I$6:$I$305,$D$6:$D$305,D283)=0,0,I283/SUMIFS($I$6:$I$305,$D$6:$D$305,D283)),IF(I283&gt;0,1/COUNTIFS($D$6:$D$305,D283,$I$6:$I$305,"&gt;0"),0)))</f>
      </c>
      <c r="BZ283" s="37">
        <f>IF(B283="","",IF(BP283=0,0,INDEX(COSTOS_FIJOS!$G$41:$AD$41,BP283))*BY283)</f>
      </c>
      <c r="CA283" s="70">
        <f>IF(B283="","",BT283+BV283+BX283+BZ283)</f>
      </c>
      <c r="CB283" s="37">
        <f>IF(B283="","",Q283*Imp_Ventas_Serv)</f>
      </c>
      <c r="CC283" s="37">
        <f>IF(B283="","",Q283*Contrib_Territorial)</f>
      </c>
      <c r="CD283" s="70">
        <f>IF(B283="","",BM283-CA283-CB283-CC283)</f>
      </c>
      <c r="CE283" s="37">
        <f>IF(B283="","",MAX(0,CD283)*Imp_Utilidades)</f>
      </c>
      <c r="CF283" s="70">
        <f>IF(B283="","",CD283-CE283)</f>
      </c>
      <c r="CG283" s="72">
        <f>IF(B283="","",IF(Q283=0,0,CF283/Q283))</f>
      </c>
      <c r="CH283" s="73">
        <f>IF(B283="","",IF(J283=0,0,(BL283+CA283+CB283+CC283)/J283))</f>
      </c>
      <c r="CI283" s="73">
        <f>IF(B283="","",IF(J283=0,0,Q283/J283))</f>
      </c>
      <c r="CJ283" s="73">
        <f>IF(B283="","",IF(J283=0,0,CD283/J283))</f>
      </c>
      <c r="CK283" s="37">
        <f>IF(B283="","",Y283+AE283+BK283+BT283)</f>
      </c>
      <c r="CL283" s="37">
        <f>IF(B283="","",IF(J283=0,0,(M283+P283*G283/J283)*(1-Pct_Reclamaciones-Pct_Banco-Imp_Ventas_Serv-Contrib_Territorial)-AI283-BE283-BV283-CK283*G283/J283))</f>
      </c>
      <c r="CM283" s="37">
        <f>IF(B283="","",IF(J283=0,0,(N283+P283*H283/J283)*(1-Pct_Reclamaciones-Pct_Banco-Imp_Ventas_Serv-Contrib_Territorial)-AS283-BF283-BX283-CK283*H283/J283))</f>
      </c>
      <c r="CN283" s="37">
        <f>IF(B283="","",IF(J283=0,0,(O283+P283*I283/J283)*(1-Pct_Reclamaciones-Pct_Banco-Imp_Ventas_Serv-Contrib_Territorial)-BC283-BG283-BZ283-CK283*I283/J283))</f>
      </c>
      <c r="CO283" s="37">
        <f>IF(B283="","",IF(J283=0,0,ROUND(CD283-CL283-CM283-CN283,4)))</f>
      </c>
      <c r="CP283" s="71">
        <f>IF(B283="","",T283+AG283+AK283+AM283+AU283+AW283)</f>
      </c>
      <c r="CQ283" s="71">
        <f>IF(B283="","",U283+AH283+AL283+AN283+AV283+AX283)</f>
      </c>
      <c r="CR283" s="72">
        <f>IF(B283="","",IF(CP283=0,0,CQ283/CP283-1))</f>
      </c>
      <c r="CS283" s="60">
        <f>IF(B283="","",IF(ENTRADA!$Y283="","",ENTRADA!$Y283-C283))</f>
      </c>
      <c r="CT283" s="66">
        <f>IF(B283="","",IF(ENTRADA!$C283="","Falta fecha. ","")&amp;IF(BP283=0,"Mes fuera del rango de COSTOS_FIJOS. ","")&amp;IF(J283=0,"Sin kg. ","")&amp;IF(E283="","Falta transitaria. ","")&amp;IF(AND(T283&gt;0,U283/T283-1&gt;Tolerancia_Comb),"Combustible al puerto "&amp;TEXT(U283/T283-1,"+0%")&amp;" sobre norma. ","")&amp;IF(AND(AG283&gt;0,AH283/AG283-1&gt;Tolerancia_Comb),"Combustible distribución Occidente "&amp;TEXT(AH283/AG283-1,"+0%")&amp;" sobre norma. ","")&amp;IF(AND(AK283&gt;0,AL283/AK283-1&gt;Tolerancia_Comb),"Combustible traslado Centro "&amp;TEXT(AL283/AK283-1,"+0%")&amp;" sobre norma. ","")&amp;IF(AND(AM283&gt;0,AN283/AM283-1&gt;Tolerancia_Comb),"Combustible distribución Centro "&amp;TEXT(AN283/AM283-1,"+0%")&amp;" sobre norma. ","")&amp;IF(AND(AU283&gt;0,AV283/AU283-1&gt;Tolerancia_Comb),"Combustible traslado Oriente "&amp;TEXT(AV283/AU283-1,"+0%")&amp;" sobre norma. ","")&amp;IF(AND(AW283&gt;0,AX283/AW283-1&gt;Tolerancia_Comb),"Combustible distribución Oriente "&amp;TEXT(AX283/AW283-1,"+0%")&amp;" sobre norma. ","")&amp;IF(AND(ENTRADA!$C283&lt;&gt;"",C283&lt;PRECIOS!$A$6),"Fecha anterior a la 1ª vigencia de precios. ","")&amp;IF(CD283&lt;0,"Contenedor con pérdida. ",""))</f>
      </c>
    </row>
    <row r="284">
      <c r="A284" s="60">
        <f>IF(B284="","",ROW()-5)</f>
      </c>
      <c r="B284" s="63">
        <f>IF(ENTRADA!$B284="","",ENTRADA!$B284)</f>
      </c>
      <c r="C284" s="64">
        <f>IF(B284="","",ENTRADA!$C284)</f>
      </c>
      <c r="D284" s="65">
        <f>IF(B284="","",DATE(YEAR(C284),MONTH(C284),1))</f>
      </c>
      <c r="E284" s="66">
        <f>IF(B284="","",ENTRADA!$D284&amp;"")</f>
      </c>
      <c r="F284" s="66">
        <f>IF(B284="","",ENTRADA!$Z284&amp;"")</f>
      </c>
      <c r="G284" s="67">
        <f>IF(B284="","",N(ENTRADA!$G284))</f>
      </c>
      <c r="H284" s="67">
        <f>IF(B284="","",N(ENTRADA!$H284))</f>
      </c>
      <c r="I284" s="67">
        <f>IF(B284="","",N(ENTRADA!$I284))</f>
      </c>
      <c r="J284" s="68">
        <f>IF(B284="","",G284+H284+I284)</f>
      </c>
      <c r="K284" s="60">
        <f>IF(B284="","",IFERROR(MATCH(SUMPRODUCT(MAX((PRECIOS!$A$6:$A$55&lt;=C284)*PRECIOS!$A$6:$A$55)),PRECIOS!$A$6:$A$55,0),1))</f>
      </c>
      <c r="L284" s="69">
        <f>IF(B284="","",INDEX(PRECIOS!$A$6:$A$55,K284))</f>
      </c>
      <c r="M284" s="37">
        <f>IF(B284="","",G284*INDEX(PRECIOS!$B$6:$B$55,K284))</f>
      </c>
      <c r="N284" s="37">
        <f>IF(B284="","",H284*INDEX(PRECIOS!$C$6:$C$55,K284))</f>
      </c>
      <c r="O284" s="37">
        <f>IF(B284="","",I284*INDEX(PRECIOS!$D$6:$D$55,K284))</f>
      </c>
      <c r="P284" s="37">
        <f>IF(B284="","",N(ENTRADA!$X284))</f>
      </c>
      <c r="Q284" s="70">
        <f>IF(B284="","",M284+N284+O284+P284)</f>
      </c>
      <c r="R284" s="71">
        <f>IF(B284="","",IF(ENTRADA!$J284="",Std_Viajes_Puerto,ENTRADA!$J284))</f>
      </c>
      <c r="S284" s="37">
        <f>IF(B284="","",R284*INDEX(PRECIOS!$F$6:$F$55,K284))</f>
      </c>
      <c r="T284" s="71">
        <f>IF(B284="","",R284*Litros_Puerto_Viaje)</f>
      </c>
      <c r="U284" s="71">
        <f>IF(B284="","",IF(ENTRADA!$K284="",T284,ENTRADA!$K284))</f>
      </c>
      <c r="V284" s="37">
        <f>IF(B284="","",U284*INDEX(PRECIOS!$E$6:$E$55,K284))</f>
      </c>
      <c r="W284" s="37">
        <f>IF(B284="","",IF(ENTRADA!$L284="",R284*INDEX(PRECIOS!$G$6:$G$55,K284),ENTRADA!$L284))</f>
      </c>
      <c r="X284" s="37">
        <f>IF(B284="","",R284*Km_Puerto_Viaje*INDEX(PRECIOS!$N$6:$N$55,K284))</f>
      </c>
      <c r="Y284" s="70">
        <f>IF(B284="","",S284+V284+W284+X284)</f>
      </c>
      <c r="Z284" s="71">
        <f>IF(B284="","",IF(J284=0,0,ROUNDUP(J284/Rend_Desagrupe,0)))</f>
      </c>
      <c r="AA284" s="71">
        <f>IF(B284="","",IF(ENTRADA!$M284="",Z284,ENTRADA!$M284))</f>
      </c>
      <c r="AB284" s="37">
        <f>IF(B284="","",AA284*INDEX(PRECIOS!$H$6:$H$55,K284))</f>
      </c>
      <c r="AC284" s="37">
        <f>IF(B284="","",IF(E284="ENCI",INDEX(PRECIOS!$J$6:$J$55,K284),IF(E284="A.V",INDEX(PRECIOS!$K$6:$K$55,K284),0)))</f>
      </c>
      <c r="AD284" s="37">
        <f>IF(B284="","",N(ENTRADA!$N284))</f>
      </c>
      <c r="AE284" s="70">
        <f>IF(B284="","",AB284+AC284+AD284)</f>
      </c>
      <c r="AF284" s="71">
        <f>IF(B284="","",IF(G284=0,0,ROUNDUP(G284/Cap_Camion_OCC,0)))</f>
      </c>
      <c r="AG284" s="71">
        <f>IF(B284="","",AF284*L_Dist_OCC)</f>
      </c>
      <c r="AH284" s="71">
        <f>IF(B284="","",IF(ENTRADA!$O284="",AG284,ENTRADA!$O284))</f>
      </c>
      <c r="AI284" s="37">
        <f>IF(B284="","",AH284*INDEX(PRECIOS!$E$6:$E$55,K284))</f>
      </c>
      <c r="AJ284" s="71">
        <f>IF(B284="","",IF(H284=0,0,ROUNDUP(H284/Cap_Camion_CEN,0)))</f>
      </c>
      <c r="AK284" s="71">
        <f>IF(B284="","",AJ284*L_Tras_CEN)</f>
      </c>
      <c r="AL284" s="71">
        <f>IF(B284="","",IF(ENTRADA!$P284="",AK284,ENTRADA!$P284))</f>
      </c>
      <c r="AM284" s="71">
        <f>IF(B284="","",AJ284*L_Dist_CEN)</f>
      </c>
      <c r="AN284" s="71">
        <f>IF(B284="","",IF(ENTRADA!$Q284="",AM284,ENTRADA!$Q284))</f>
      </c>
      <c r="AO284" s="37">
        <f>IF(B284="","",(AL284+AN284)*INDEX(PRECIOS!$E$6:$E$55,K284))</f>
      </c>
      <c r="AP284" s="71">
        <f>IF(B284="","",IF(H284=0,0,ROUNDUP(H284/Rend_Desagrupe_CT,0)))</f>
      </c>
      <c r="AQ284" s="71">
        <f>IF(B284="","",IF(ENTRADA!$R284="",AP284,ENTRADA!$R284))</f>
      </c>
      <c r="AR284" s="37">
        <f>IF(B284="","",AQ284*INDEX(PRECIOS!$I$6:$I$55,K284))</f>
      </c>
      <c r="AS284" s="37">
        <f>IF(B284="","",AO284+AR284)</f>
      </c>
      <c r="AT284" s="71">
        <f>IF(B284="","",IF(I284=0,0,ROUNDUP(I284/Cap_Camion_ORI,0)))</f>
      </c>
      <c r="AU284" s="71">
        <f>IF(B284="","",AT284*L_Tras_ORI)</f>
      </c>
      <c r="AV284" s="71">
        <f>IF(B284="","",IF(ENTRADA!$S284="",AU284,ENTRADA!$S284))</f>
      </c>
      <c r="AW284" s="71">
        <f>IF(B284="","",AT284*L_Dist_ORI)</f>
      </c>
      <c r="AX284" s="71">
        <f>IF(B284="","",IF(ENTRADA!$T284="",AW284,ENTRADA!$T284))</f>
      </c>
      <c r="AY284" s="37">
        <f>IF(B284="","",(AV284+AX284)*INDEX(PRECIOS!$E$6:$E$55,K284))</f>
      </c>
      <c r="AZ284" s="71">
        <f>IF(B284="","",IF(I284=0,0,ROUNDUP(I284/Rend_Desagrupe_CT,0)))</f>
      </c>
      <c r="BA284" s="71">
        <f>IF(B284="","",IF(ENTRADA!$U284="",AZ284,ENTRADA!$U284))</f>
      </c>
      <c r="BB284" s="37">
        <f>IF(B284="","",BA284*INDEX(PRECIOS!$I$6:$I$55,K284))</f>
      </c>
      <c r="BC284" s="37">
        <f>IF(B284="","",AY284+BB284)</f>
      </c>
      <c r="BD284" s="70">
        <f>IF(B284="","",AI284+AS284+BC284)</f>
      </c>
      <c r="BE284" s="37">
        <f>IF(B284="","",IF(Base_Comision="% DEL INGRESO",M284*INDEX(PRECIOS!$L$6:$L$55,K284),G284*INDEX(PRECIOS!$M$6:$M$55,K284)))</f>
      </c>
      <c r="BF284" s="37">
        <f>IF(B284="","",IF(Base_Comision="% DEL INGRESO",N284*INDEX(PRECIOS!$L$6:$L$55,K284),H284*INDEX(PRECIOS!$M$6:$M$55,K284)))</f>
      </c>
      <c r="BG284" s="37">
        <f>IF(B284="","",IF(Base_Comision="% DEL INGRESO",O284*INDEX(PRECIOS!$L$6:$L$55,K284),I284*INDEX(PRECIOS!$M$6:$M$55,K284)))</f>
      </c>
      <c r="BH284" s="70">
        <f>IF(B284="","",BE284+BF284+BG284)</f>
      </c>
      <c r="BI284" s="37">
        <f>IF(B284="","",Q284*Pct_Reclamaciones)</f>
      </c>
      <c r="BJ284" s="37">
        <f>IF(B284="","",Q284*Pct_Banco)</f>
      </c>
      <c r="BK284" s="37">
        <f>IF(B284="","",N(ENTRADA!$V284))</f>
      </c>
      <c r="BL284" s="70">
        <f>IF(B284="","",Y284+AE284+BD284+BH284+BI284+BJ284+BK284)</f>
      </c>
      <c r="BM284" s="70">
        <f>IF(B284="","",Q284-BL284)</f>
      </c>
      <c r="BN284" s="72">
        <f>IF(B284="","",IF(Q284=0,0,BM284/Q284))</f>
      </c>
      <c r="BO284" s="73">
        <f>IF(B284="","",IF(J284=0,0,BM284/J284))</f>
      </c>
      <c r="BP284" s="60">
        <f>IF(B284="","",IFERROR(MATCH(D284,COSTOS_FIJOS!$G$5:$AD$5,0),0))</f>
      </c>
      <c r="BQ284" s="60">
        <f>IF(B284="","",COUNTIFS($D$6:$D$305,D284))</f>
      </c>
      <c r="BR284" s="67">
        <f>IF(B284="","",SUMIFS($J$6:$J$305,$D$6:$D$305,D284))</f>
      </c>
      <c r="BS284" s="72">
        <f>IF(B284="","",IF(Metodo_Prorrateo="KG",IF(BR284=0,0,J284/BR284),1/BQ284))</f>
      </c>
      <c r="BT284" s="37">
        <f>IF(B284="","",IF(BP284=0,0,INDEX(COSTOS_FIJOS!$G$38:$AD$38,BP284))*BS284)</f>
      </c>
      <c r="BU284" s="72">
        <f>IF(B284="","",IF(Metodo_Prorrateo="KG",IF(SUMIFS($G$6:$G$305,$D$6:$D$305,D284)=0,0,G284/SUMIFS($G$6:$G$305,$D$6:$D$305,D284)),IF(G284&gt;0,1/COUNTIFS($D$6:$D$305,D284,$G$6:$G$305,"&gt;0"),0)))</f>
      </c>
      <c r="BV284" s="37">
        <f>IF(B284="","",IF(BP284=0,0,INDEX(COSTOS_FIJOS!$G$39:$AD$39,BP284))*BU284)</f>
      </c>
      <c r="BW284" s="72">
        <f>IF(B284="","",IF(Metodo_Prorrateo="KG",IF(SUMIFS($H$6:$H$305,$D$6:$D$305,D284)=0,0,H284/SUMIFS($H$6:$H$305,$D$6:$D$305,D284)),IF(H284&gt;0,1/COUNTIFS($D$6:$D$305,D284,$H$6:$H$305,"&gt;0"),0)))</f>
      </c>
      <c r="BX284" s="37">
        <f>IF(B284="","",IF(BP284=0,0,INDEX(COSTOS_FIJOS!$G$40:$AD$40,BP284))*BW284)</f>
      </c>
      <c r="BY284" s="72">
        <f>IF(B284="","",IF(Metodo_Prorrateo="KG",IF(SUMIFS($I$6:$I$305,$D$6:$D$305,D284)=0,0,I284/SUMIFS($I$6:$I$305,$D$6:$D$305,D284)),IF(I284&gt;0,1/COUNTIFS($D$6:$D$305,D284,$I$6:$I$305,"&gt;0"),0)))</f>
      </c>
      <c r="BZ284" s="37">
        <f>IF(B284="","",IF(BP284=0,0,INDEX(COSTOS_FIJOS!$G$41:$AD$41,BP284))*BY284)</f>
      </c>
      <c r="CA284" s="70">
        <f>IF(B284="","",BT284+BV284+BX284+BZ284)</f>
      </c>
      <c r="CB284" s="37">
        <f>IF(B284="","",Q284*Imp_Ventas_Serv)</f>
      </c>
      <c r="CC284" s="37">
        <f>IF(B284="","",Q284*Contrib_Territorial)</f>
      </c>
      <c r="CD284" s="70">
        <f>IF(B284="","",BM284-CA284-CB284-CC284)</f>
      </c>
      <c r="CE284" s="37">
        <f>IF(B284="","",MAX(0,CD284)*Imp_Utilidades)</f>
      </c>
      <c r="CF284" s="70">
        <f>IF(B284="","",CD284-CE284)</f>
      </c>
      <c r="CG284" s="72">
        <f>IF(B284="","",IF(Q284=0,0,CF284/Q284))</f>
      </c>
      <c r="CH284" s="73">
        <f>IF(B284="","",IF(J284=0,0,(BL284+CA284+CB284+CC284)/J284))</f>
      </c>
      <c r="CI284" s="73">
        <f>IF(B284="","",IF(J284=0,0,Q284/J284))</f>
      </c>
      <c r="CJ284" s="73">
        <f>IF(B284="","",IF(J284=0,0,CD284/J284))</f>
      </c>
      <c r="CK284" s="37">
        <f>IF(B284="","",Y284+AE284+BK284+BT284)</f>
      </c>
      <c r="CL284" s="37">
        <f>IF(B284="","",IF(J284=0,0,(M284+P284*G284/J284)*(1-Pct_Reclamaciones-Pct_Banco-Imp_Ventas_Serv-Contrib_Territorial)-AI284-BE284-BV284-CK284*G284/J284))</f>
      </c>
      <c r="CM284" s="37">
        <f>IF(B284="","",IF(J284=0,0,(N284+P284*H284/J284)*(1-Pct_Reclamaciones-Pct_Banco-Imp_Ventas_Serv-Contrib_Territorial)-AS284-BF284-BX284-CK284*H284/J284))</f>
      </c>
      <c r="CN284" s="37">
        <f>IF(B284="","",IF(J284=0,0,(O284+P284*I284/J284)*(1-Pct_Reclamaciones-Pct_Banco-Imp_Ventas_Serv-Contrib_Territorial)-BC284-BG284-BZ284-CK284*I284/J284))</f>
      </c>
      <c r="CO284" s="37">
        <f>IF(B284="","",IF(J284=0,0,ROUND(CD284-CL284-CM284-CN284,4)))</f>
      </c>
      <c r="CP284" s="71">
        <f>IF(B284="","",T284+AG284+AK284+AM284+AU284+AW284)</f>
      </c>
      <c r="CQ284" s="71">
        <f>IF(B284="","",U284+AH284+AL284+AN284+AV284+AX284)</f>
      </c>
      <c r="CR284" s="72">
        <f>IF(B284="","",IF(CP284=0,0,CQ284/CP284-1))</f>
      </c>
      <c r="CS284" s="60">
        <f>IF(B284="","",IF(ENTRADA!$Y284="","",ENTRADA!$Y284-C284))</f>
      </c>
      <c r="CT284" s="66">
        <f>IF(B284="","",IF(ENTRADA!$C284="","Falta fecha. ","")&amp;IF(BP284=0,"Mes fuera del rango de COSTOS_FIJOS. ","")&amp;IF(J284=0,"Sin kg. ","")&amp;IF(E284="","Falta transitaria. ","")&amp;IF(AND(T284&gt;0,U284/T284-1&gt;Tolerancia_Comb),"Combustible al puerto "&amp;TEXT(U284/T284-1,"+0%")&amp;" sobre norma. ","")&amp;IF(AND(AG284&gt;0,AH284/AG284-1&gt;Tolerancia_Comb),"Combustible distribución Occidente "&amp;TEXT(AH284/AG284-1,"+0%")&amp;" sobre norma. ","")&amp;IF(AND(AK284&gt;0,AL284/AK284-1&gt;Tolerancia_Comb),"Combustible traslado Centro "&amp;TEXT(AL284/AK284-1,"+0%")&amp;" sobre norma. ","")&amp;IF(AND(AM284&gt;0,AN284/AM284-1&gt;Tolerancia_Comb),"Combustible distribución Centro "&amp;TEXT(AN284/AM284-1,"+0%")&amp;" sobre norma. ","")&amp;IF(AND(AU284&gt;0,AV284/AU284-1&gt;Tolerancia_Comb),"Combustible traslado Oriente "&amp;TEXT(AV284/AU284-1,"+0%")&amp;" sobre norma. ","")&amp;IF(AND(AW284&gt;0,AX284/AW284-1&gt;Tolerancia_Comb),"Combustible distribución Oriente "&amp;TEXT(AX284/AW284-1,"+0%")&amp;" sobre norma. ","")&amp;IF(AND(ENTRADA!$C284&lt;&gt;"",C284&lt;PRECIOS!$A$6),"Fecha anterior a la 1ª vigencia de precios. ","")&amp;IF(CD284&lt;0,"Contenedor con pérdida. ",""))</f>
      </c>
    </row>
    <row r="285">
      <c r="A285" s="60">
        <f>IF(B285="","",ROW()-5)</f>
      </c>
      <c r="B285" s="63">
        <f>IF(ENTRADA!$B285="","",ENTRADA!$B285)</f>
      </c>
      <c r="C285" s="64">
        <f>IF(B285="","",ENTRADA!$C285)</f>
      </c>
      <c r="D285" s="65">
        <f>IF(B285="","",DATE(YEAR(C285),MONTH(C285),1))</f>
      </c>
      <c r="E285" s="66">
        <f>IF(B285="","",ENTRADA!$D285&amp;"")</f>
      </c>
      <c r="F285" s="66">
        <f>IF(B285="","",ENTRADA!$Z285&amp;"")</f>
      </c>
      <c r="G285" s="67">
        <f>IF(B285="","",N(ENTRADA!$G285))</f>
      </c>
      <c r="H285" s="67">
        <f>IF(B285="","",N(ENTRADA!$H285))</f>
      </c>
      <c r="I285" s="67">
        <f>IF(B285="","",N(ENTRADA!$I285))</f>
      </c>
      <c r="J285" s="68">
        <f>IF(B285="","",G285+H285+I285)</f>
      </c>
      <c r="K285" s="60">
        <f>IF(B285="","",IFERROR(MATCH(SUMPRODUCT(MAX((PRECIOS!$A$6:$A$55&lt;=C285)*PRECIOS!$A$6:$A$55)),PRECIOS!$A$6:$A$55,0),1))</f>
      </c>
      <c r="L285" s="69">
        <f>IF(B285="","",INDEX(PRECIOS!$A$6:$A$55,K285))</f>
      </c>
      <c r="M285" s="37">
        <f>IF(B285="","",G285*INDEX(PRECIOS!$B$6:$B$55,K285))</f>
      </c>
      <c r="N285" s="37">
        <f>IF(B285="","",H285*INDEX(PRECIOS!$C$6:$C$55,K285))</f>
      </c>
      <c r="O285" s="37">
        <f>IF(B285="","",I285*INDEX(PRECIOS!$D$6:$D$55,K285))</f>
      </c>
      <c r="P285" s="37">
        <f>IF(B285="","",N(ENTRADA!$X285))</f>
      </c>
      <c r="Q285" s="70">
        <f>IF(B285="","",M285+N285+O285+P285)</f>
      </c>
      <c r="R285" s="71">
        <f>IF(B285="","",IF(ENTRADA!$J285="",Std_Viajes_Puerto,ENTRADA!$J285))</f>
      </c>
      <c r="S285" s="37">
        <f>IF(B285="","",R285*INDEX(PRECIOS!$F$6:$F$55,K285))</f>
      </c>
      <c r="T285" s="71">
        <f>IF(B285="","",R285*Litros_Puerto_Viaje)</f>
      </c>
      <c r="U285" s="71">
        <f>IF(B285="","",IF(ENTRADA!$K285="",T285,ENTRADA!$K285))</f>
      </c>
      <c r="V285" s="37">
        <f>IF(B285="","",U285*INDEX(PRECIOS!$E$6:$E$55,K285))</f>
      </c>
      <c r="W285" s="37">
        <f>IF(B285="","",IF(ENTRADA!$L285="",R285*INDEX(PRECIOS!$G$6:$G$55,K285),ENTRADA!$L285))</f>
      </c>
      <c r="X285" s="37">
        <f>IF(B285="","",R285*Km_Puerto_Viaje*INDEX(PRECIOS!$N$6:$N$55,K285))</f>
      </c>
      <c r="Y285" s="70">
        <f>IF(B285="","",S285+V285+W285+X285)</f>
      </c>
      <c r="Z285" s="71">
        <f>IF(B285="","",IF(J285=0,0,ROUNDUP(J285/Rend_Desagrupe,0)))</f>
      </c>
      <c r="AA285" s="71">
        <f>IF(B285="","",IF(ENTRADA!$M285="",Z285,ENTRADA!$M285))</f>
      </c>
      <c r="AB285" s="37">
        <f>IF(B285="","",AA285*INDEX(PRECIOS!$H$6:$H$55,K285))</f>
      </c>
      <c r="AC285" s="37">
        <f>IF(B285="","",IF(E285="ENCI",INDEX(PRECIOS!$J$6:$J$55,K285),IF(E285="A.V",INDEX(PRECIOS!$K$6:$K$55,K285),0)))</f>
      </c>
      <c r="AD285" s="37">
        <f>IF(B285="","",N(ENTRADA!$N285))</f>
      </c>
      <c r="AE285" s="70">
        <f>IF(B285="","",AB285+AC285+AD285)</f>
      </c>
      <c r="AF285" s="71">
        <f>IF(B285="","",IF(G285=0,0,ROUNDUP(G285/Cap_Camion_OCC,0)))</f>
      </c>
      <c r="AG285" s="71">
        <f>IF(B285="","",AF285*L_Dist_OCC)</f>
      </c>
      <c r="AH285" s="71">
        <f>IF(B285="","",IF(ENTRADA!$O285="",AG285,ENTRADA!$O285))</f>
      </c>
      <c r="AI285" s="37">
        <f>IF(B285="","",AH285*INDEX(PRECIOS!$E$6:$E$55,K285))</f>
      </c>
      <c r="AJ285" s="71">
        <f>IF(B285="","",IF(H285=0,0,ROUNDUP(H285/Cap_Camion_CEN,0)))</f>
      </c>
      <c r="AK285" s="71">
        <f>IF(B285="","",AJ285*L_Tras_CEN)</f>
      </c>
      <c r="AL285" s="71">
        <f>IF(B285="","",IF(ENTRADA!$P285="",AK285,ENTRADA!$P285))</f>
      </c>
      <c r="AM285" s="71">
        <f>IF(B285="","",AJ285*L_Dist_CEN)</f>
      </c>
      <c r="AN285" s="71">
        <f>IF(B285="","",IF(ENTRADA!$Q285="",AM285,ENTRADA!$Q285))</f>
      </c>
      <c r="AO285" s="37">
        <f>IF(B285="","",(AL285+AN285)*INDEX(PRECIOS!$E$6:$E$55,K285))</f>
      </c>
      <c r="AP285" s="71">
        <f>IF(B285="","",IF(H285=0,0,ROUNDUP(H285/Rend_Desagrupe_CT,0)))</f>
      </c>
      <c r="AQ285" s="71">
        <f>IF(B285="","",IF(ENTRADA!$R285="",AP285,ENTRADA!$R285))</f>
      </c>
      <c r="AR285" s="37">
        <f>IF(B285="","",AQ285*INDEX(PRECIOS!$I$6:$I$55,K285))</f>
      </c>
      <c r="AS285" s="37">
        <f>IF(B285="","",AO285+AR285)</f>
      </c>
      <c r="AT285" s="71">
        <f>IF(B285="","",IF(I285=0,0,ROUNDUP(I285/Cap_Camion_ORI,0)))</f>
      </c>
      <c r="AU285" s="71">
        <f>IF(B285="","",AT285*L_Tras_ORI)</f>
      </c>
      <c r="AV285" s="71">
        <f>IF(B285="","",IF(ENTRADA!$S285="",AU285,ENTRADA!$S285))</f>
      </c>
      <c r="AW285" s="71">
        <f>IF(B285="","",AT285*L_Dist_ORI)</f>
      </c>
      <c r="AX285" s="71">
        <f>IF(B285="","",IF(ENTRADA!$T285="",AW285,ENTRADA!$T285))</f>
      </c>
      <c r="AY285" s="37">
        <f>IF(B285="","",(AV285+AX285)*INDEX(PRECIOS!$E$6:$E$55,K285))</f>
      </c>
      <c r="AZ285" s="71">
        <f>IF(B285="","",IF(I285=0,0,ROUNDUP(I285/Rend_Desagrupe_CT,0)))</f>
      </c>
      <c r="BA285" s="71">
        <f>IF(B285="","",IF(ENTRADA!$U285="",AZ285,ENTRADA!$U285))</f>
      </c>
      <c r="BB285" s="37">
        <f>IF(B285="","",BA285*INDEX(PRECIOS!$I$6:$I$55,K285))</f>
      </c>
      <c r="BC285" s="37">
        <f>IF(B285="","",AY285+BB285)</f>
      </c>
      <c r="BD285" s="70">
        <f>IF(B285="","",AI285+AS285+BC285)</f>
      </c>
      <c r="BE285" s="37">
        <f>IF(B285="","",IF(Base_Comision="% DEL INGRESO",M285*INDEX(PRECIOS!$L$6:$L$55,K285),G285*INDEX(PRECIOS!$M$6:$M$55,K285)))</f>
      </c>
      <c r="BF285" s="37">
        <f>IF(B285="","",IF(Base_Comision="% DEL INGRESO",N285*INDEX(PRECIOS!$L$6:$L$55,K285),H285*INDEX(PRECIOS!$M$6:$M$55,K285)))</f>
      </c>
      <c r="BG285" s="37">
        <f>IF(B285="","",IF(Base_Comision="% DEL INGRESO",O285*INDEX(PRECIOS!$L$6:$L$55,K285),I285*INDEX(PRECIOS!$M$6:$M$55,K285)))</f>
      </c>
      <c r="BH285" s="70">
        <f>IF(B285="","",BE285+BF285+BG285)</f>
      </c>
      <c r="BI285" s="37">
        <f>IF(B285="","",Q285*Pct_Reclamaciones)</f>
      </c>
      <c r="BJ285" s="37">
        <f>IF(B285="","",Q285*Pct_Banco)</f>
      </c>
      <c r="BK285" s="37">
        <f>IF(B285="","",N(ENTRADA!$V285))</f>
      </c>
      <c r="BL285" s="70">
        <f>IF(B285="","",Y285+AE285+BD285+BH285+BI285+BJ285+BK285)</f>
      </c>
      <c r="BM285" s="70">
        <f>IF(B285="","",Q285-BL285)</f>
      </c>
      <c r="BN285" s="72">
        <f>IF(B285="","",IF(Q285=0,0,BM285/Q285))</f>
      </c>
      <c r="BO285" s="73">
        <f>IF(B285="","",IF(J285=0,0,BM285/J285))</f>
      </c>
      <c r="BP285" s="60">
        <f>IF(B285="","",IFERROR(MATCH(D285,COSTOS_FIJOS!$G$5:$AD$5,0),0))</f>
      </c>
      <c r="BQ285" s="60">
        <f>IF(B285="","",COUNTIFS($D$6:$D$305,D285))</f>
      </c>
      <c r="BR285" s="67">
        <f>IF(B285="","",SUMIFS($J$6:$J$305,$D$6:$D$305,D285))</f>
      </c>
      <c r="BS285" s="72">
        <f>IF(B285="","",IF(Metodo_Prorrateo="KG",IF(BR285=0,0,J285/BR285),1/BQ285))</f>
      </c>
      <c r="BT285" s="37">
        <f>IF(B285="","",IF(BP285=0,0,INDEX(COSTOS_FIJOS!$G$38:$AD$38,BP285))*BS285)</f>
      </c>
      <c r="BU285" s="72">
        <f>IF(B285="","",IF(Metodo_Prorrateo="KG",IF(SUMIFS($G$6:$G$305,$D$6:$D$305,D285)=0,0,G285/SUMIFS($G$6:$G$305,$D$6:$D$305,D285)),IF(G285&gt;0,1/COUNTIFS($D$6:$D$305,D285,$G$6:$G$305,"&gt;0"),0)))</f>
      </c>
      <c r="BV285" s="37">
        <f>IF(B285="","",IF(BP285=0,0,INDEX(COSTOS_FIJOS!$G$39:$AD$39,BP285))*BU285)</f>
      </c>
      <c r="BW285" s="72">
        <f>IF(B285="","",IF(Metodo_Prorrateo="KG",IF(SUMIFS($H$6:$H$305,$D$6:$D$305,D285)=0,0,H285/SUMIFS($H$6:$H$305,$D$6:$D$305,D285)),IF(H285&gt;0,1/COUNTIFS($D$6:$D$305,D285,$H$6:$H$305,"&gt;0"),0)))</f>
      </c>
      <c r="BX285" s="37">
        <f>IF(B285="","",IF(BP285=0,0,INDEX(COSTOS_FIJOS!$G$40:$AD$40,BP285))*BW285)</f>
      </c>
      <c r="BY285" s="72">
        <f>IF(B285="","",IF(Metodo_Prorrateo="KG",IF(SUMIFS($I$6:$I$305,$D$6:$D$305,D285)=0,0,I285/SUMIFS($I$6:$I$305,$D$6:$D$305,D285)),IF(I285&gt;0,1/COUNTIFS($D$6:$D$305,D285,$I$6:$I$305,"&gt;0"),0)))</f>
      </c>
      <c r="BZ285" s="37">
        <f>IF(B285="","",IF(BP285=0,0,INDEX(COSTOS_FIJOS!$G$41:$AD$41,BP285))*BY285)</f>
      </c>
      <c r="CA285" s="70">
        <f>IF(B285="","",BT285+BV285+BX285+BZ285)</f>
      </c>
      <c r="CB285" s="37">
        <f>IF(B285="","",Q285*Imp_Ventas_Serv)</f>
      </c>
      <c r="CC285" s="37">
        <f>IF(B285="","",Q285*Contrib_Territorial)</f>
      </c>
      <c r="CD285" s="70">
        <f>IF(B285="","",BM285-CA285-CB285-CC285)</f>
      </c>
      <c r="CE285" s="37">
        <f>IF(B285="","",MAX(0,CD285)*Imp_Utilidades)</f>
      </c>
      <c r="CF285" s="70">
        <f>IF(B285="","",CD285-CE285)</f>
      </c>
      <c r="CG285" s="72">
        <f>IF(B285="","",IF(Q285=0,0,CF285/Q285))</f>
      </c>
      <c r="CH285" s="73">
        <f>IF(B285="","",IF(J285=0,0,(BL285+CA285+CB285+CC285)/J285))</f>
      </c>
      <c r="CI285" s="73">
        <f>IF(B285="","",IF(J285=0,0,Q285/J285))</f>
      </c>
      <c r="CJ285" s="73">
        <f>IF(B285="","",IF(J285=0,0,CD285/J285))</f>
      </c>
      <c r="CK285" s="37">
        <f>IF(B285="","",Y285+AE285+BK285+BT285)</f>
      </c>
      <c r="CL285" s="37">
        <f>IF(B285="","",IF(J285=0,0,(M285+P285*G285/J285)*(1-Pct_Reclamaciones-Pct_Banco-Imp_Ventas_Serv-Contrib_Territorial)-AI285-BE285-BV285-CK285*G285/J285))</f>
      </c>
      <c r="CM285" s="37">
        <f>IF(B285="","",IF(J285=0,0,(N285+P285*H285/J285)*(1-Pct_Reclamaciones-Pct_Banco-Imp_Ventas_Serv-Contrib_Territorial)-AS285-BF285-BX285-CK285*H285/J285))</f>
      </c>
      <c r="CN285" s="37">
        <f>IF(B285="","",IF(J285=0,0,(O285+P285*I285/J285)*(1-Pct_Reclamaciones-Pct_Banco-Imp_Ventas_Serv-Contrib_Territorial)-BC285-BG285-BZ285-CK285*I285/J285))</f>
      </c>
      <c r="CO285" s="37">
        <f>IF(B285="","",IF(J285=0,0,ROUND(CD285-CL285-CM285-CN285,4)))</f>
      </c>
      <c r="CP285" s="71">
        <f>IF(B285="","",T285+AG285+AK285+AM285+AU285+AW285)</f>
      </c>
      <c r="CQ285" s="71">
        <f>IF(B285="","",U285+AH285+AL285+AN285+AV285+AX285)</f>
      </c>
      <c r="CR285" s="72">
        <f>IF(B285="","",IF(CP285=0,0,CQ285/CP285-1))</f>
      </c>
      <c r="CS285" s="60">
        <f>IF(B285="","",IF(ENTRADA!$Y285="","",ENTRADA!$Y285-C285))</f>
      </c>
      <c r="CT285" s="66">
        <f>IF(B285="","",IF(ENTRADA!$C285="","Falta fecha. ","")&amp;IF(BP285=0,"Mes fuera del rango de COSTOS_FIJOS. ","")&amp;IF(J285=0,"Sin kg. ","")&amp;IF(E285="","Falta transitaria. ","")&amp;IF(AND(T285&gt;0,U285/T285-1&gt;Tolerancia_Comb),"Combustible al puerto "&amp;TEXT(U285/T285-1,"+0%")&amp;" sobre norma. ","")&amp;IF(AND(AG285&gt;0,AH285/AG285-1&gt;Tolerancia_Comb),"Combustible distribución Occidente "&amp;TEXT(AH285/AG285-1,"+0%")&amp;" sobre norma. ","")&amp;IF(AND(AK285&gt;0,AL285/AK285-1&gt;Tolerancia_Comb),"Combustible traslado Centro "&amp;TEXT(AL285/AK285-1,"+0%")&amp;" sobre norma. ","")&amp;IF(AND(AM285&gt;0,AN285/AM285-1&gt;Tolerancia_Comb),"Combustible distribución Centro "&amp;TEXT(AN285/AM285-1,"+0%")&amp;" sobre norma. ","")&amp;IF(AND(AU285&gt;0,AV285/AU285-1&gt;Tolerancia_Comb),"Combustible traslado Oriente "&amp;TEXT(AV285/AU285-1,"+0%")&amp;" sobre norma. ","")&amp;IF(AND(AW285&gt;0,AX285/AW285-1&gt;Tolerancia_Comb),"Combustible distribución Oriente "&amp;TEXT(AX285/AW285-1,"+0%")&amp;" sobre norma. ","")&amp;IF(AND(ENTRADA!$C285&lt;&gt;"",C285&lt;PRECIOS!$A$6),"Fecha anterior a la 1ª vigencia de precios. ","")&amp;IF(CD285&lt;0,"Contenedor con pérdida. ",""))</f>
      </c>
    </row>
    <row r="286">
      <c r="A286" s="60">
        <f>IF(B286="","",ROW()-5)</f>
      </c>
      <c r="B286" s="63">
        <f>IF(ENTRADA!$B286="","",ENTRADA!$B286)</f>
      </c>
      <c r="C286" s="64">
        <f>IF(B286="","",ENTRADA!$C286)</f>
      </c>
      <c r="D286" s="65">
        <f>IF(B286="","",DATE(YEAR(C286),MONTH(C286),1))</f>
      </c>
      <c r="E286" s="66">
        <f>IF(B286="","",ENTRADA!$D286&amp;"")</f>
      </c>
      <c r="F286" s="66">
        <f>IF(B286="","",ENTRADA!$Z286&amp;"")</f>
      </c>
      <c r="G286" s="67">
        <f>IF(B286="","",N(ENTRADA!$G286))</f>
      </c>
      <c r="H286" s="67">
        <f>IF(B286="","",N(ENTRADA!$H286))</f>
      </c>
      <c r="I286" s="67">
        <f>IF(B286="","",N(ENTRADA!$I286))</f>
      </c>
      <c r="J286" s="68">
        <f>IF(B286="","",G286+H286+I286)</f>
      </c>
      <c r="K286" s="60">
        <f>IF(B286="","",IFERROR(MATCH(SUMPRODUCT(MAX((PRECIOS!$A$6:$A$55&lt;=C286)*PRECIOS!$A$6:$A$55)),PRECIOS!$A$6:$A$55,0),1))</f>
      </c>
      <c r="L286" s="69">
        <f>IF(B286="","",INDEX(PRECIOS!$A$6:$A$55,K286))</f>
      </c>
      <c r="M286" s="37">
        <f>IF(B286="","",G286*INDEX(PRECIOS!$B$6:$B$55,K286))</f>
      </c>
      <c r="N286" s="37">
        <f>IF(B286="","",H286*INDEX(PRECIOS!$C$6:$C$55,K286))</f>
      </c>
      <c r="O286" s="37">
        <f>IF(B286="","",I286*INDEX(PRECIOS!$D$6:$D$55,K286))</f>
      </c>
      <c r="P286" s="37">
        <f>IF(B286="","",N(ENTRADA!$X286))</f>
      </c>
      <c r="Q286" s="70">
        <f>IF(B286="","",M286+N286+O286+P286)</f>
      </c>
      <c r="R286" s="71">
        <f>IF(B286="","",IF(ENTRADA!$J286="",Std_Viajes_Puerto,ENTRADA!$J286))</f>
      </c>
      <c r="S286" s="37">
        <f>IF(B286="","",R286*INDEX(PRECIOS!$F$6:$F$55,K286))</f>
      </c>
      <c r="T286" s="71">
        <f>IF(B286="","",R286*Litros_Puerto_Viaje)</f>
      </c>
      <c r="U286" s="71">
        <f>IF(B286="","",IF(ENTRADA!$K286="",T286,ENTRADA!$K286))</f>
      </c>
      <c r="V286" s="37">
        <f>IF(B286="","",U286*INDEX(PRECIOS!$E$6:$E$55,K286))</f>
      </c>
      <c r="W286" s="37">
        <f>IF(B286="","",IF(ENTRADA!$L286="",R286*INDEX(PRECIOS!$G$6:$G$55,K286),ENTRADA!$L286))</f>
      </c>
      <c r="X286" s="37">
        <f>IF(B286="","",R286*Km_Puerto_Viaje*INDEX(PRECIOS!$N$6:$N$55,K286))</f>
      </c>
      <c r="Y286" s="70">
        <f>IF(B286="","",S286+V286+W286+X286)</f>
      </c>
      <c r="Z286" s="71">
        <f>IF(B286="","",IF(J286=0,0,ROUNDUP(J286/Rend_Desagrupe,0)))</f>
      </c>
      <c r="AA286" s="71">
        <f>IF(B286="","",IF(ENTRADA!$M286="",Z286,ENTRADA!$M286))</f>
      </c>
      <c r="AB286" s="37">
        <f>IF(B286="","",AA286*INDEX(PRECIOS!$H$6:$H$55,K286))</f>
      </c>
      <c r="AC286" s="37">
        <f>IF(B286="","",IF(E286="ENCI",INDEX(PRECIOS!$J$6:$J$55,K286),IF(E286="A.V",INDEX(PRECIOS!$K$6:$K$55,K286),0)))</f>
      </c>
      <c r="AD286" s="37">
        <f>IF(B286="","",N(ENTRADA!$N286))</f>
      </c>
      <c r="AE286" s="70">
        <f>IF(B286="","",AB286+AC286+AD286)</f>
      </c>
      <c r="AF286" s="71">
        <f>IF(B286="","",IF(G286=0,0,ROUNDUP(G286/Cap_Camion_OCC,0)))</f>
      </c>
      <c r="AG286" s="71">
        <f>IF(B286="","",AF286*L_Dist_OCC)</f>
      </c>
      <c r="AH286" s="71">
        <f>IF(B286="","",IF(ENTRADA!$O286="",AG286,ENTRADA!$O286))</f>
      </c>
      <c r="AI286" s="37">
        <f>IF(B286="","",AH286*INDEX(PRECIOS!$E$6:$E$55,K286))</f>
      </c>
      <c r="AJ286" s="71">
        <f>IF(B286="","",IF(H286=0,0,ROUNDUP(H286/Cap_Camion_CEN,0)))</f>
      </c>
      <c r="AK286" s="71">
        <f>IF(B286="","",AJ286*L_Tras_CEN)</f>
      </c>
      <c r="AL286" s="71">
        <f>IF(B286="","",IF(ENTRADA!$P286="",AK286,ENTRADA!$P286))</f>
      </c>
      <c r="AM286" s="71">
        <f>IF(B286="","",AJ286*L_Dist_CEN)</f>
      </c>
      <c r="AN286" s="71">
        <f>IF(B286="","",IF(ENTRADA!$Q286="",AM286,ENTRADA!$Q286))</f>
      </c>
      <c r="AO286" s="37">
        <f>IF(B286="","",(AL286+AN286)*INDEX(PRECIOS!$E$6:$E$55,K286))</f>
      </c>
      <c r="AP286" s="71">
        <f>IF(B286="","",IF(H286=0,0,ROUNDUP(H286/Rend_Desagrupe_CT,0)))</f>
      </c>
      <c r="AQ286" s="71">
        <f>IF(B286="","",IF(ENTRADA!$R286="",AP286,ENTRADA!$R286))</f>
      </c>
      <c r="AR286" s="37">
        <f>IF(B286="","",AQ286*INDEX(PRECIOS!$I$6:$I$55,K286))</f>
      </c>
      <c r="AS286" s="37">
        <f>IF(B286="","",AO286+AR286)</f>
      </c>
      <c r="AT286" s="71">
        <f>IF(B286="","",IF(I286=0,0,ROUNDUP(I286/Cap_Camion_ORI,0)))</f>
      </c>
      <c r="AU286" s="71">
        <f>IF(B286="","",AT286*L_Tras_ORI)</f>
      </c>
      <c r="AV286" s="71">
        <f>IF(B286="","",IF(ENTRADA!$S286="",AU286,ENTRADA!$S286))</f>
      </c>
      <c r="AW286" s="71">
        <f>IF(B286="","",AT286*L_Dist_ORI)</f>
      </c>
      <c r="AX286" s="71">
        <f>IF(B286="","",IF(ENTRADA!$T286="",AW286,ENTRADA!$T286))</f>
      </c>
      <c r="AY286" s="37">
        <f>IF(B286="","",(AV286+AX286)*INDEX(PRECIOS!$E$6:$E$55,K286))</f>
      </c>
      <c r="AZ286" s="71">
        <f>IF(B286="","",IF(I286=0,0,ROUNDUP(I286/Rend_Desagrupe_CT,0)))</f>
      </c>
      <c r="BA286" s="71">
        <f>IF(B286="","",IF(ENTRADA!$U286="",AZ286,ENTRADA!$U286))</f>
      </c>
      <c r="BB286" s="37">
        <f>IF(B286="","",BA286*INDEX(PRECIOS!$I$6:$I$55,K286))</f>
      </c>
      <c r="BC286" s="37">
        <f>IF(B286="","",AY286+BB286)</f>
      </c>
      <c r="BD286" s="70">
        <f>IF(B286="","",AI286+AS286+BC286)</f>
      </c>
      <c r="BE286" s="37">
        <f>IF(B286="","",IF(Base_Comision="% DEL INGRESO",M286*INDEX(PRECIOS!$L$6:$L$55,K286),G286*INDEX(PRECIOS!$M$6:$M$55,K286)))</f>
      </c>
      <c r="BF286" s="37">
        <f>IF(B286="","",IF(Base_Comision="% DEL INGRESO",N286*INDEX(PRECIOS!$L$6:$L$55,K286),H286*INDEX(PRECIOS!$M$6:$M$55,K286)))</f>
      </c>
      <c r="BG286" s="37">
        <f>IF(B286="","",IF(Base_Comision="% DEL INGRESO",O286*INDEX(PRECIOS!$L$6:$L$55,K286),I286*INDEX(PRECIOS!$M$6:$M$55,K286)))</f>
      </c>
      <c r="BH286" s="70">
        <f>IF(B286="","",BE286+BF286+BG286)</f>
      </c>
      <c r="BI286" s="37">
        <f>IF(B286="","",Q286*Pct_Reclamaciones)</f>
      </c>
      <c r="BJ286" s="37">
        <f>IF(B286="","",Q286*Pct_Banco)</f>
      </c>
      <c r="BK286" s="37">
        <f>IF(B286="","",N(ENTRADA!$V286))</f>
      </c>
      <c r="BL286" s="70">
        <f>IF(B286="","",Y286+AE286+BD286+BH286+BI286+BJ286+BK286)</f>
      </c>
      <c r="BM286" s="70">
        <f>IF(B286="","",Q286-BL286)</f>
      </c>
      <c r="BN286" s="72">
        <f>IF(B286="","",IF(Q286=0,0,BM286/Q286))</f>
      </c>
      <c r="BO286" s="73">
        <f>IF(B286="","",IF(J286=0,0,BM286/J286))</f>
      </c>
      <c r="BP286" s="60">
        <f>IF(B286="","",IFERROR(MATCH(D286,COSTOS_FIJOS!$G$5:$AD$5,0),0))</f>
      </c>
      <c r="BQ286" s="60">
        <f>IF(B286="","",COUNTIFS($D$6:$D$305,D286))</f>
      </c>
      <c r="BR286" s="67">
        <f>IF(B286="","",SUMIFS($J$6:$J$305,$D$6:$D$305,D286))</f>
      </c>
      <c r="BS286" s="72">
        <f>IF(B286="","",IF(Metodo_Prorrateo="KG",IF(BR286=0,0,J286/BR286),1/BQ286))</f>
      </c>
      <c r="BT286" s="37">
        <f>IF(B286="","",IF(BP286=0,0,INDEX(COSTOS_FIJOS!$G$38:$AD$38,BP286))*BS286)</f>
      </c>
      <c r="BU286" s="72">
        <f>IF(B286="","",IF(Metodo_Prorrateo="KG",IF(SUMIFS($G$6:$G$305,$D$6:$D$305,D286)=0,0,G286/SUMIFS($G$6:$G$305,$D$6:$D$305,D286)),IF(G286&gt;0,1/COUNTIFS($D$6:$D$305,D286,$G$6:$G$305,"&gt;0"),0)))</f>
      </c>
      <c r="BV286" s="37">
        <f>IF(B286="","",IF(BP286=0,0,INDEX(COSTOS_FIJOS!$G$39:$AD$39,BP286))*BU286)</f>
      </c>
      <c r="BW286" s="72">
        <f>IF(B286="","",IF(Metodo_Prorrateo="KG",IF(SUMIFS($H$6:$H$305,$D$6:$D$305,D286)=0,0,H286/SUMIFS($H$6:$H$305,$D$6:$D$305,D286)),IF(H286&gt;0,1/COUNTIFS($D$6:$D$305,D286,$H$6:$H$305,"&gt;0"),0)))</f>
      </c>
      <c r="BX286" s="37">
        <f>IF(B286="","",IF(BP286=0,0,INDEX(COSTOS_FIJOS!$G$40:$AD$40,BP286))*BW286)</f>
      </c>
      <c r="BY286" s="72">
        <f>IF(B286="","",IF(Metodo_Prorrateo="KG",IF(SUMIFS($I$6:$I$305,$D$6:$D$305,D286)=0,0,I286/SUMIFS($I$6:$I$305,$D$6:$D$305,D286)),IF(I286&gt;0,1/COUNTIFS($D$6:$D$305,D286,$I$6:$I$305,"&gt;0"),0)))</f>
      </c>
      <c r="BZ286" s="37">
        <f>IF(B286="","",IF(BP286=0,0,INDEX(COSTOS_FIJOS!$G$41:$AD$41,BP286))*BY286)</f>
      </c>
      <c r="CA286" s="70">
        <f>IF(B286="","",BT286+BV286+BX286+BZ286)</f>
      </c>
      <c r="CB286" s="37">
        <f>IF(B286="","",Q286*Imp_Ventas_Serv)</f>
      </c>
      <c r="CC286" s="37">
        <f>IF(B286="","",Q286*Contrib_Territorial)</f>
      </c>
      <c r="CD286" s="70">
        <f>IF(B286="","",BM286-CA286-CB286-CC286)</f>
      </c>
      <c r="CE286" s="37">
        <f>IF(B286="","",MAX(0,CD286)*Imp_Utilidades)</f>
      </c>
      <c r="CF286" s="70">
        <f>IF(B286="","",CD286-CE286)</f>
      </c>
      <c r="CG286" s="72">
        <f>IF(B286="","",IF(Q286=0,0,CF286/Q286))</f>
      </c>
      <c r="CH286" s="73">
        <f>IF(B286="","",IF(J286=0,0,(BL286+CA286+CB286+CC286)/J286))</f>
      </c>
      <c r="CI286" s="73">
        <f>IF(B286="","",IF(J286=0,0,Q286/J286))</f>
      </c>
      <c r="CJ286" s="73">
        <f>IF(B286="","",IF(J286=0,0,CD286/J286))</f>
      </c>
      <c r="CK286" s="37">
        <f>IF(B286="","",Y286+AE286+BK286+BT286)</f>
      </c>
      <c r="CL286" s="37">
        <f>IF(B286="","",IF(J286=0,0,(M286+P286*G286/J286)*(1-Pct_Reclamaciones-Pct_Banco-Imp_Ventas_Serv-Contrib_Territorial)-AI286-BE286-BV286-CK286*G286/J286))</f>
      </c>
      <c r="CM286" s="37">
        <f>IF(B286="","",IF(J286=0,0,(N286+P286*H286/J286)*(1-Pct_Reclamaciones-Pct_Banco-Imp_Ventas_Serv-Contrib_Territorial)-AS286-BF286-BX286-CK286*H286/J286))</f>
      </c>
      <c r="CN286" s="37">
        <f>IF(B286="","",IF(J286=0,0,(O286+P286*I286/J286)*(1-Pct_Reclamaciones-Pct_Banco-Imp_Ventas_Serv-Contrib_Territorial)-BC286-BG286-BZ286-CK286*I286/J286))</f>
      </c>
      <c r="CO286" s="37">
        <f>IF(B286="","",IF(J286=0,0,ROUND(CD286-CL286-CM286-CN286,4)))</f>
      </c>
      <c r="CP286" s="71">
        <f>IF(B286="","",T286+AG286+AK286+AM286+AU286+AW286)</f>
      </c>
      <c r="CQ286" s="71">
        <f>IF(B286="","",U286+AH286+AL286+AN286+AV286+AX286)</f>
      </c>
      <c r="CR286" s="72">
        <f>IF(B286="","",IF(CP286=0,0,CQ286/CP286-1))</f>
      </c>
      <c r="CS286" s="60">
        <f>IF(B286="","",IF(ENTRADA!$Y286="","",ENTRADA!$Y286-C286))</f>
      </c>
      <c r="CT286" s="66">
        <f>IF(B286="","",IF(ENTRADA!$C286="","Falta fecha. ","")&amp;IF(BP286=0,"Mes fuera del rango de COSTOS_FIJOS. ","")&amp;IF(J286=0,"Sin kg. ","")&amp;IF(E286="","Falta transitaria. ","")&amp;IF(AND(T286&gt;0,U286/T286-1&gt;Tolerancia_Comb),"Combustible al puerto "&amp;TEXT(U286/T286-1,"+0%")&amp;" sobre norma. ","")&amp;IF(AND(AG286&gt;0,AH286/AG286-1&gt;Tolerancia_Comb),"Combustible distribución Occidente "&amp;TEXT(AH286/AG286-1,"+0%")&amp;" sobre norma. ","")&amp;IF(AND(AK286&gt;0,AL286/AK286-1&gt;Tolerancia_Comb),"Combustible traslado Centro "&amp;TEXT(AL286/AK286-1,"+0%")&amp;" sobre norma. ","")&amp;IF(AND(AM286&gt;0,AN286/AM286-1&gt;Tolerancia_Comb),"Combustible distribución Centro "&amp;TEXT(AN286/AM286-1,"+0%")&amp;" sobre norma. ","")&amp;IF(AND(AU286&gt;0,AV286/AU286-1&gt;Tolerancia_Comb),"Combustible traslado Oriente "&amp;TEXT(AV286/AU286-1,"+0%")&amp;" sobre norma. ","")&amp;IF(AND(AW286&gt;0,AX286/AW286-1&gt;Tolerancia_Comb),"Combustible distribución Oriente "&amp;TEXT(AX286/AW286-1,"+0%")&amp;" sobre norma. ","")&amp;IF(AND(ENTRADA!$C286&lt;&gt;"",C286&lt;PRECIOS!$A$6),"Fecha anterior a la 1ª vigencia de precios. ","")&amp;IF(CD286&lt;0,"Contenedor con pérdida. ",""))</f>
      </c>
    </row>
    <row r="287">
      <c r="A287" s="60">
        <f>IF(B287="","",ROW()-5)</f>
      </c>
      <c r="B287" s="63">
        <f>IF(ENTRADA!$B287="","",ENTRADA!$B287)</f>
      </c>
      <c r="C287" s="64">
        <f>IF(B287="","",ENTRADA!$C287)</f>
      </c>
      <c r="D287" s="65">
        <f>IF(B287="","",DATE(YEAR(C287),MONTH(C287),1))</f>
      </c>
      <c r="E287" s="66">
        <f>IF(B287="","",ENTRADA!$D287&amp;"")</f>
      </c>
      <c r="F287" s="66">
        <f>IF(B287="","",ENTRADA!$Z287&amp;"")</f>
      </c>
      <c r="G287" s="67">
        <f>IF(B287="","",N(ENTRADA!$G287))</f>
      </c>
      <c r="H287" s="67">
        <f>IF(B287="","",N(ENTRADA!$H287))</f>
      </c>
      <c r="I287" s="67">
        <f>IF(B287="","",N(ENTRADA!$I287))</f>
      </c>
      <c r="J287" s="68">
        <f>IF(B287="","",G287+H287+I287)</f>
      </c>
      <c r="K287" s="60">
        <f>IF(B287="","",IFERROR(MATCH(SUMPRODUCT(MAX((PRECIOS!$A$6:$A$55&lt;=C287)*PRECIOS!$A$6:$A$55)),PRECIOS!$A$6:$A$55,0),1))</f>
      </c>
      <c r="L287" s="69">
        <f>IF(B287="","",INDEX(PRECIOS!$A$6:$A$55,K287))</f>
      </c>
      <c r="M287" s="37">
        <f>IF(B287="","",G287*INDEX(PRECIOS!$B$6:$B$55,K287))</f>
      </c>
      <c r="N287" s="37">
        <f>IF(B287="","",H287*INDEX(PRECIOS!$C$6:$C$55,K287))</f>
      </c>
      <c r="O287" s="37">
        <f>IF(B287="","",I287*INDEX(PRECIOS!$D$6:$D$55,K287))</f>
      </c>
      <c r="P287" s="37">
        <f>IF(B287="","",N(ENTRADA!$X287))</f>
      </c>
      <c r="Q287" s="70">
        <f>IF(B287="","",M287+N287+O287+P287)</f>
      </c>
      <c r="R287" s="71">
        <f>IF(B287="","",IF(ENTRADA!$J287="",Std_Viajes_Puerto,ENTRADA!$J287))</f>
      </c>
      <c r="S287" s="37">
        <f>IF(B287="","",R287*INDEX(PRECIOS!$F$6:$F$55,K287))</f>
      </c>
      <c r="T287" s="71">
        <f>IF(B287="","",R287*Litros_Puerto_Viaje)</f>
      </c>
      <c r="U287" s="71">
        <f>IF(B287="","",IF(ENTRADA!$K287="",T287,ENTRADA!$K287))</f>
      </c>
      <c r="V287" s="37">
        <f>IF(B287="","",U287*INDEX(PRECIOS!$E$6:$E$55,K287))</f>
      </c>
      <c r="W287" s="37">
        <f>IF(B287="","",IF(ENTRADA!$L287="",R287*INDEX(PRECIOS!$G$6:$G$55,K287),ENTRADA!$L287))</f>
      </c>
      <c r="X287" s="37">
        <f>IF(B287="","",R287*Km_Puerto_Viaje*INDEX(PRECIOS!$N$6:$N$55,K287))</f>
      </c>
      <c r="Y287" s="70">
        <f>IF(B287="","",S287+V287+W287+X287)</f>
      </c>
      <c r="Z287" s="71">
        <f>IF(B287="","",IF(J287=0,0,ROUNDUP(J287/Rend_Desagrupe,0)))</f>
      </c>
      <c r="AA287" s="71">
        <f>IF(B287="","",IF(ENTRADA!$M287="",Z287,ENTRADA!$M287))</f>
      </c>
      <c r="AB287" s="37">
        <f>IF(B287="","",AA287*INDEX(PRECIOS!$H$6:$H$55,K287))</f>
      </c>
      <c r="AC287" s="37">
        <f>IF(B287="","",IF(E287="ENCI",INDEX(PRECIOS!$J$6:$J$55,K287),IF(E287="A.V",INDEX(PRECIOS!$K$6:$K$55,K287),0)))</f>
      </c>
      <c r="AD287" s="37">
        <f>IF(B287="","",N(ENTRADA!$N287))</f>
      </c>
      <c r="AE287" s="70">
        <f>IF(B287="","",AB287+AC287+AD287)</f>
      </c>
      <c r="AF287" s="71">
        <f>IF(B287="","",IF(G287=0,0,ROUNDUP(G287/Cap_Camion_OCC,0)))</f>
      </c>
      <c r="AG287" s="71">
        <f>IF(B287="","",AF287*L_Dist_OCC)</f>
      </c>
      <c r="AH287" s="71">
        <f>IF(B287="","",IF(ENTRADA!$O287="",AG287,ENTRADA!$O287))</f>
      </c>
      <c r="AI287" s="37">
        <f>IF(B287="","",AH287*INDEX(PRECIOS!$E$6:$E$55,K287))</f>
      </c>
      <c r="AJ287" s="71">
        <f>IF(B287="","",IF(H287=0,0,ROUNDUP(H287/Cap_Camion_CEN,0)))</f>
      </c>
      <c r="AK287" s="71">
        <f>IF(B287="","",AJ287*L_Tras_CEN)</f>
      </c>
      <c r="AL287" s="71">
        <f>IF(B287="","",IF(ENTRADA!$P287="",AK287,ENTRADA!$P287))</f>
      </c>
      <c r="AM287" s="71">
        <f>IF(B287="","",AJ287*L_Dist_CEN)</f>
      </c>
      <c r="AN287" s="71">
        <f>IF(B287="","",IF(ENTRADA!$Q287="",AM287,ENTRADA!$Q287))</f>
      </c>
      <c r="AO287" s="37">
        <f>IF(B287="","",(AL287+AN287)*INDEX(PRECIOS!$E$6:$E$55,K287))</f>
      </c>
      <c r="AP287" s="71">
        <f>IF(B287="","",IF(H287=0,0,ROUNDUP(H287/Rend_Desagrupe_CT,0)))</f>
      </c>
      <c r="AQ287" s="71">
        <f>IF(B287="","",IF(ENTRADA!$R287="",AP287,ENTRADA!$R287))</f>
      </c>
      <c r="AR287" s="37">
        <f>IF(B287="","",AQ287*INDEX(PRECIOS!$I$6:$I$55,K287))</f>
      </c>
      <c r="AS287" s="37">
        <f>IF(B287="","",AO287+AR287)</f>
      </c>
      <c r="AT287" s="71">
        <f>IF(B287="","",IF(I287=0,0,ROUNDUP(I287/Cap_Camion_ORI,0)))</f>
      </c>
      <c r="AU287" s="71">
        <f>IF(B287="","",AT287*L_Tras_ORI)</f>
      </c>
      <c r="AV287" s="71">
        <f>IF(B287="","",IF(ENTRADA!$S287="",AU287,ENTRADA!$S287))</f>
      </c>
      <c r="AW287" s="71">
        <f>IF(B287="","",AT287*L_Dist_ORI)</f>
      </c>
      <c r="AX287" s="71">
        <f>IF(B287="","",IF(ENTRADA!$T287="",AW287,ENTRADA!$T287))</f>
      </c>
      <c r="AY287" s="37">
        <f>IF(B287="","",(AV287+AX287)*INDEX(PRECIOS!$E$6:$E$55,K287))</f>
      </c>
      <c r="AZ287" s="71">
        <f>IF(B287="","",IF(I287=0,0,ROUNDUP(I287/Rend_Desagrupe_CT,0)))</f>
      </c>
      <c r="BA287" s="71">
        <f>IF(B287="","",IF(ENTRADA!$U287="",AZ287,ENTRADA!$U287))</f>
      </c>
      <c r="BB287" s="37">
        <f>IF(B287="","",BA287*INDEX(PRECIOS!$I$6:$I$55,K287))</f>
      </c>
      <c r="BC287" s="37">
        <f>IF(B287="","",AY287+BB287)</f>
      </c>
      <c r="BD287" s="70">
        <f>IF(B287="","",AI287+AS287+BC287)</f>
      </c>
      <c r="BE287" s="37">
        <f>IF(B287="","",IF(Base_Comision="% DEL INGRESO",M287*INDEX(PRECIOS!$L$6:$L$55,K287),G287*INDEX(PRECIOS!$M$6:$M$55,K287)))</f>
      </c>
      <c r="BF287" s="37">
        <f>IF(B287="","",IF(Base_Comision="% DEL INGRESO",N287*INDEX(PRECIOS!$L$6:$L$55,K287),H287*INDEX(PRECIOS!$M$6:$M$55,K287)))</f>
      </c>
      <c r="BG287" s="37">
        <f>IF(B287="","",IF(Base_Comision="% DEL INGRESO",O287*INDEX(PRECIOS!$L$6:$L$55,K287),I287*INDEX(PRECIOS!$M$6:$M$55,K287)))</f>
      </c>
      <c r="BH287" s="70">
        <f>IF(B287="","",BE287+BF287+BG287)</f>
      </c>
      <c r="BI287" s="37">
        <f>IF(B287="","",Q287*Pct_Reclamaciones)</f>
      </c>
      <c r="BJ287" s="37">
        <f>IF(B287="","",Q287*Pct_Banco)</f>
      </c>
      <c r="BK287" s="37">
        <f>IF(B287="","",N(ENTRADA!$V287))</f>
      </c>
      <c r="BL287" s="70">
        <f>IF(B287="","",Y287+AE287+BD287+BH287+BI287+BJ287+BK287)</f>
      </c>
      <c r="BM287" s="70">
        <f>IF(B287="","",Q287-BL287)</f>
      </c>
      <c r="BN287" s="72">
        <f>IF(B287="","",IF(Q287=0,0,BM287/Q287))</f>
      </c>
      <c r="BO287" s="73">
        <f>IF(B287="","",IF(J287=0,0,BM287/J287))</f>
      </c>
      <c r="BP287" s="60">
        <f>IF(B287="","",IFERROR(MATCH(D287,COSTOS_FIJOS!$G$5:$AD$5,0),0))</f>
      </c>
      <c r="BQ287" s="60">
        <f>IF(B287="","",COUNTIFS($D$6:$D$305,D287))</f>
      </c>
      <c r="BR287" s="67">
        <f>IF(B287="","",SUMIFS($J$6:$J$305,$D$6:$D$305,D287))</f>
      </c>
      <c r="BS287" s="72">
        <f>IF(B287="","",IF(Metodo_Prorrateo="KG",IF(BR287=0,0,J287/BR287),1/BQ287))</f>
      </c>
      <c r="BT287" s="37">
        <f>IF(B287="","",IF(BP287=0,0,INDEX(COSTOS_FIJOS!$G$38:$AD$38,BP287))*BS287)</f>
      </c>
      <c r="BU287" s="72">
        <f>IF(B287="","",IF(Metodo_Prorrateo="KG",IF(SUMIFS($G$6:$G$305,$D$6:$D$305,D287)=0,0,G287/SUMIFS($G$6:$G$305,$D$6:$D$305,D287)),IF(G287&gt;0,1/COUNTIFS($D$6:$D$305,D287,$G$6:$G$305,"&gt;0"),0)))</f>
      </c>
      <c r="BV287" s="37">
        <f>IF(B287="","",IF(BP287=0,0,INDEX(COSTOS_FIJOS!$G$39:$AD$39,BP287))*BU287)</f>
      </c>
      <c r="BW287" s="72">
        <f>IF(B287="","",IF(Metodo_Prorrateo="KG",IF(SUMIFS($H$6:$H$305,$D$6:$D$305,D287)=0,0,H287/SUMIFS($H$6:$H$305,$D$6:$D$305,D287)),IF(H287&gt;0,1/COUNTIFS($D$6:$D$305,D287,$H$6:$H$305,"&gt;0"),0)))</f>
      </c>
      <c r="BX287" s="37">
        <f>IF(B287="","",IF(BP287=0,0,INDEX(COSTOS_FIJOS!$G$40:$AD$40,BP287))*BW287)</f>
      </c>
      <c r="BY287" s="72">
        <f>IF(B287="","",IF(Metodo_Prorrateo="KG",IF(SUMIFS($I$6:$I$305,$D$6:$D$305,D287)=0,0,I287/SUMIFS($I$6:$I$305,$D$6:$D$305,D287)),IF(I287&gt;0,1/COUNTIFS($D$6:$D$305,D287,$I$6:$I$305,"&gt;0"),0)))</f>
      </c>
      <c r="BZ287" s="37">
        <f>IF(B287="","",IF(BP287=0,0,INDEX(COSTOS_FIJOS!$G$41:$AD$41,BP287))*BY287)</f>
      </c>
      <c r="CA287" s="70">
        <f>IF(B287="","",BT287+BV287+BX287+BZ287)</f>
      </c>
      <c r="CB287" s="37">
        <f>IF(B287="","",Q287*Imp_Ventas_Serv)</f>
      </c>
      <c r="CC287" s="37">
        <f>IF(B287="","",Q287*Contrib_Territorial)</f>
      </c>
      <c r="CD287" s="70">
        <f>IF(B287="","",BM287-CA287-CB287-CC287)</f>
      </c>
      <c r="CE287" s="37">
        <f>IF(B287="","",MAX(0,CD287)*Imp_Utilidades)</f>
      </c>
      <c r="CF287" s="70">
        <f>IF(B287="","",CD287-CE287)</f>
      </c>
      <c r="CG287" s="72">
        <f>IF(B287="","",IF(Q287=0,0,CF287/Q287))</f>
      </c>
      <c r="CH287" s="73">
        <f>IF(B287="","",IF(J287=0,0,(BL287+CA287+CB287+CC287)/J287))</f>
      </c>
      <c r="CI287" s="73">
        <f>IF(B287="","",IF(J287=0,0,Q287/J287))</f>
      </c>
      <c r="CJ287" s="73">
        <f>IF(B287="","",IF(J287=0,0,CD287/J287))</f>
      </c>
      <c r="CK287" s="37">
        <f>IF(B287="","",Y287+AE287+BK287+BT287)</f>
      </c>
      <c r="CL287" s="37">
        <f>IF(B287="","",IF(J287=0,0,(M287+P287*G287/J287)*(1-Pct_Reclamaciones-Pct_Banco-Imp_Ventas_Serv-Contrib_Territorial)-AI287-BE287-BV287-CK287*G287/J287))</f>
      </c>
      <c r="CM287" s="37">
        <f>IF(B287="","",IF(J287=0,0,(N287+P287*H287/J287)*(1-Pct_Reclamaciones-Pct_Banco-Imp_Ventas_Serv-Contrib_Territorial)-AS287-BF287-BX287-CK287*H287/J287))</f>
      </c>
      <c r="CN287" s="37">
        <f>IF(B287="","",IF(J287=0,0,(O287+P287*I287/J287)*(1-Pct_Reclamaciones-Pct_Banco-Imp_Ventas_Serv-Contrib_Territorial)-BC287-BG287-BZ287-CK287*I287/J287))</f>
      </c>
      <c r="CO287" s="37">
        <f>IF(B287="","",IF(J287=0,0,ROUND(CD287-CL287-CM287-CN287,4)))</f>
      </c>
      <c r="CP287" s="71">
        <f>IF(B287="","",T287+AG287+AK287+AM287+AU287+AW287)</f>
      </c>
      <c r="CQ287" s="71">
        <f>IF(B287="","",U287+AH287+AL287+AN287+AV287+AX287)</f>
      </c>
      <c r="CR287" s="72">
        <f>IF(B287="","",IF(CP287=0,0,CQ287/CP287-1))</f>
      </c>
      <c r="CS287" s="60">
        <f>IF(B287="","",IF(ENTRADA!$Y287="","",ENTRADA!$Y287-C287))</f>
      </c>
      <c r="CT287" s="66">
        <f>IF(B287="","",IF(ENTRADA!$C287="","Falta fecha. ","")&amp;IF(BP287=0,"Mes fuera del rango de COSTOS_FIJOS. ","")&amp;IF(J287=0,"Sin kg. ","")&amp;IF(E287="","Falta transitaria. ","")&amp;IF(AND(T287&gt;0,U287/T287-1&gt;Tolerancia_Comb),"Combustible al puerto "&amp;TEXT(U287/T287-1,"+0%")&amp;" sobre norma. ","")&amp;IF(AND(AG287&gt;0,AH287/AG287-1&gt;Tolerancia_Comb),"Combustible distribución Occidente "&amp;TEXT(AH287/AG287-1,"+0%")&amp;" sobre norma. ","")&amp;IF(AND(AK287&gt;0,AL287/AK287-1&gt;Tolerancia_Comb),"Combustible traslado Centro "&amp;TEXT(AL287/AK287-1,"+0%")&amp;" sobre norma. ","")&amp;IF(AND(AM287&gt;0,AN287/AM287-1&gt;Tolerancia_Comb),"Combustible distribución Centro "&amp;TEXT(AN287/AM287-1,"+0%")&amp;" sobre norma. ","")&amp;IF(AND(AU287&gt;0,AV287/AU287-1&gt;Tolerancia_Comb),"Combustible traslado Oriente "&amp;TEXT(AV287/AU287-1,"+0%")&amp;" sobre norma. ","")&amp;IF(AND(AW287&gt;0,AX287/AW287-1&gt;Tolerancia_Comb),"Combustible distribución Oriente "&amp;TEXT(AX287/AW287-1,"+0%")&amp;" sobre norma. ","")&amp;IF(AND(ENTRADA!$C287&lt;&gt;"",C287&lt;PRECIOS!$A$6),"Fecha anterior a la 1ª vigencia de precios. ","")&amp;IF(CD287&lt;0,"Contenedor con pérdida. ",""))</f>
      </c>
    </row>
    <row r="288">
      <c r="A288" s="60">
        <f>IF(B288="","",ROW()-5)</f>
      </c>
      <c r="B288" s="63">
        <f>IF(ENTRADA!$B288="","",ENTRADA!$B288)</f>
      </c>
      <c r="C288" s="64">
        <f>IF(B288="","",ENTRADA!$C288)</f>
      </c>
      <c r="D288" s="65">
        <f>IF(B288="","",DATE(YEAR(C288),MONTH(C288),1))</f>
      </c>
      <c r="E288" s="66">
        <f>IF(B288="","",ENTRADA!$D288&amp;"")</f>
      </c>
      <c r="F288" s="66">
        <f>IF(B288="","",ENTRADA!$Z288&amp;"")</f>
      </c>
      <c r="G288" s="67">
        <f>IF(B288="","",N(ENTRADA!$G288))</f>
      </c>
      <c r="H288" s="67">
        <f>IF(B288="","",N(ENTRADA!$H288))</f>
      </c>
      <c r="I288" s="67">
        <f>IF(B288="","",N(ENTRADA!$I288))</f>
      </c>
      <c r="J288" s="68">
        <f>IF(B288="","",G288+H288+I288)</f>
      </c>
      <c r="K288" s="60">
        <f>IF(B288="","",IFERROR(MATCH(SUMPRODUCT(MAX((PRECIOS!$A$6:$A$55&lt;=C288)*PRECIOS!$A$6:$A$55)),PRECIOS!$A$6:$A$55,0),1))</f>
      </c>
      <c r="L288" s="69">
        <f>IF(B288="","",INDEX(PRECIOS!$A$6:$A$55,K288))</f>
      </c>
      <c r="M288" s="37">
        <f>IF(B288="","",G288*INDEX(PRECIOS!$B$6:$B$55,K288))</f>
      </c>
      <c r="N288" s="37">
        <f>IF(B288="","",H288*INDEX(PRECIOS!$C$6:$C$55,K288))</f>
      </c>
      <c r="O288" s="37">
        <f>IF(B288="","",I288*INDEX(PRECIOS!$D$6:$D$55,K288))</f>
      </c>
      <c r="P288" s="37">
        <f>IF(B288="","",N(ENTRADA!$X288))</f>
      </c>
      <c r="Q288" s="70">
        <f>IF(B288="","",M288+N288+O288+P288)</f>
      </c>
      <c r="R288" s="71">
        <f>IF(B288="","",IF(ENTRADA!$J288="",Std_Viajes_Puerto,ENTRADA!$J288))</f>
      </c>
      <c r="S288" s="37">
        <f>IF(B288="","",R288*INDEX(PRECIOS!$F$6:$F$55,K288))</f>
      </c>
      <c r="T288" s="71">
        <f>IF(B288="","",R288*Litros_Puerto_Viaje)</f>
      </c>
      <c r="U288" s="71">
        <f>IF(B288="","",IF(ENTRADA!$K288="",T288,ENTRADA!$K288))</f>
      </c>
      <c r="V288" s="37">
        <f>IF(B288="","",U288*INDEX(PRECIOS!$E$6:$E$55,K288))</f>
      </c>
      <c r="W288" s="37">
        <f>IF(B288="","",IF(ENTRADA!$L288="",R288*INDEX(PRECIOS!$G$6:$G$55,K288),ENTRADA!$L288))</f>
      </c>
      <c r="X288" s="37">
        <f>IF(B288="","",R288*Km_Puerto_Viaje*INDEX(PRECIOS!$N$6:$N$55,K288))</f>
      </c>
      <c r="Y288" s="70">
        <f>IF(B288="","",S288+V288+W288+X288)</f>
      </c>
      <c r="Z288" s="71">
        <f>IF(B288="","",IF(J288=0,0,ROUNDUP(J288/Rend_Desagrupe,0)))</f>
      </c>
      <c r="AA288" s="71">
        <f>IF(B288="","",IF(ENTRADA!$M288="",Z288,ENTRADA!$M288))</f>
      </c>
      <c r="AB288" s="37">
        <f>IF(B288="","",AA288*INDEX(PRECIOS!$H$6:$H$55,K288))</f>
      </c>
      <c r="AC288" s="37">
        <f>IF(B288="","",IF(E288="ENCI",INDEX(PRECIOS!$J$6:$J$55,K288),IF(E288="A.V",INDEX(PRECIOS!$K$6:$K$55,K288),0)))</f>
      </c>
      <c r="AD288" s="37">
        <f>IF(B288="","",N(ENTRADA!$N288))</f>
      </c>
      <c r="AE288" s="70">
        <f>IF(B288="","",AB288+AC288+AD288)</f>
      </c>
      <c r="AF288" s="71">
        <f>IF(B288="","",IF(G288=0,0,ROUNDUP(G288/Cap_Camion_OCC,0)))</f>
      </c>
      <c r="AG288" s="71">
        <f>IF(B288="","",AF288*L_Dist_OCC)</f>
      </c>
      <c r="AH288" s="71">
        <f>IF(B288="","",IF(ENTRADA!$O288="",AG288,ENTRADA!$O288))</f>
      </c>
      <c r="AI288" s="37">
        <f>IF(B288="","",AH288*INDEX(PRECIOS!$E$6:$E$55,K288))</f>
      </c>
      <c r="AJ288" s="71">
        <f>IF(B288="","",IF(H288=0,0,ROUNDUP(H288/Cap_Camion_CEN,0)))</f>
      </c>
      <c r="AK288" s="71">
        <f>IF(B288="","",AJ288*L_Tras_CEN)</f>
      </c>
      <c r="AL288" s="71">
        <f>IF(B288="","",IF(ENTRADA!$P288="",AK288,ENTRADA!$P288))</f>
      </c>
      <c r="AM288" s="71">
        <f>IF(B288="","",AJ288*L_Dist_CEN)</f>
      </c>
      <c r="AN288" s="71">
        <f>IF(B288="","",IF(ENTRADA!$Q288="",AM288,ENTRADA!$Q288))</f>
      </c>
      <c r="AO288" s="37">
        <f>IF(B288="","",(AL288+AN288)*INDEX(PRECIOS!$E$6:$E$55,K288))</f>
      </c>
      <c r="AP288" s="71">
        <f>IF(B288="","",IF(H288=0,0,ROUNDUP(H288/Rend_Desagrupe_CT,0)))</f>
      </c>
      <c r="AQ288" s="71">
        <f>IF(B288="","",IF(ENTRADA!$R288="",AP288,ENTRADA!$R288))</f>
      </c>
      <c r="AR288" s="37">
        <f>IF(B288="","",AQ288*INDEX(PRECIOS!$I$6:$I$55,K288))</f>
      </c>
      <c r="AS288" s="37">
        <f>IF(B288="","",AO288+AR288)</f>
      </c>
      <c r="AT288" s="71">
        <f>IF(B288="","",IF(I288=0,0,ROUNDUP(I288/Cap_Camion_ORI,0)))</f>
      </c>
      <c r="AU288" s="71">
        <f>IF(B288="","",AT288*L_Tras_ORI)</f>
      </c>
      <c r="AV288" s="71">
        <f>IF(B288="","",IF(ENTRADA!$S288="",AU288,ENTRADA!$S288))</f>
      </c>
      <c r="AW288" s="71">
        <f>IF(B288="","",AT288*L_Dist_ORI)</f>
      </c>
      <c r="AX288" s="71">
        <f>IF(B288="","",IF(ENTRADA!$T288="",AW288,ENTRADA!$T288))</f>
      </c>
      <c r="AY288" s="37">
        <f>IF(B288="","",(AV288+AX288)*INDEX(PRECIOS!$E$6:$E$55,K288))</f>
      </c>
      <c r="AZ288" s="71">
        <f>IF(B288="","",IF(I288=0,0,ROUNDUP(I288/Rend_Desagrupe_CT,0)))</f>
      </c>
      <c r="BA288" s="71">
        <f>IF(B288="","",IF(ENTRADA!$U288="",AZ288,ENTRADA!$U288))</f>
      </c>
      <c r="BB288" s="37">
        <f>IF(B288="","",BA288*INDEX(PRECIOS!$I$6:$I$55,K288))</f>
      </c>
      <c r="BC288" s="37">
        <f>IF(B288="","",AY288+BB288)</f>
      </c>
      <c r="BD288" s="70">
        <f>IF(B288="","",AI288+AS288+BC288)</f>
      </c>
      <c r="BE288" s="37">
        <f>IF(B288="","",IF(Base_Comision="% DEL INGRESO",M288*INDEX(PRECIOS!$L$6:$L$55,K288),G288*INDEX(PRECIOS!$M$6:$M$55,K288)))</f>
      </c>
      <c r="BF288" s="37">
        <f>IF(B288="","",IF(Base_Comision="% DEL INGRESO",N288*INDEX(PRECIOS!$L$6:$L$55,K288),H288*INDEX(PRECIOS!$M$6:$M$55,K288)))</f>
      </c>
      <c r="BG288" s="37">
        <f>IF(B288="","",IF(Base_Comision="% DEL INGRESO",O288*INDEX(PRECIOS!$L$6:$L$55,K288),I288*INDEX(PRECIOS!$M$6:$M$55,K288)))</f>
      </c>
      <c r="BH288" s="70">
        <f>IF(B288="","",BE288+BF288+BG288)</f>
      </c>
      <c r="BI288" s="37">
        <f>IF(B288="","",Q288*Pct_Reclamaciones)</f>
      </c>
      <c r="BJ288" s="37">
        <f>IF(B288="","",Q288*Pct_Banco)</f>
      </c>
      <c r="BK288" s="37">
        <f>IF(B288="","",N(ENTRADA!$V288))</f>
      </c>
      <c r="BL288" s="70">
        <f>IF(B288="","",Y288+AE288+BD288+BH288+BI288+BJ288+BK288)</f>
      </c>
      <c r="BM288" s="70">
        <f>IF(B288="","",Q288-BL288)</f>
      </c>
      <c r="BN288" s="72">
        <f>IF(B288="","",IF(Q288=0,0,BM288/Q288))</f>
      </c>
      <c r="BO288" s="73">
        <f>IF(B288="","",IF(J288=0,0,BM288/J288))</f>
      </c>
      <c r="BP288" s="60">
        <f>IF(B288="","",IFERROR(MATCH(D288,COSTOS_FIJOS!$G$5:$AD$5,0),0))</f>
      </c>
      <c r="BQ288" s="60">
        <f>IF(B288="","",COUNTIFS($D$6:$D$305,D288))</f>
      </c>
      <c r="BR288" s="67">
        <f>IF(B288="","",SUMIFS($J$6:$J$305,$D$6:$D$305,D288))</f>
      </c>
      <c r="BS288" s="72">
        <f>IF(B288="","",IF(Metodo_Prorrateo="KG",IF(BR288=0,0,J288/BR288),1/BQ288))</f>
      </c>
      <c r="BT288" s="37">
        <f>IF(B288="","",IF(BP288=0,0,INDEX(COSTOS_FIJOS!$G$38:$AD$38,BP288))*BS288)</f>
      </c>
      <c r="BU288" s="72">
        <f>IF(B288="","",IF(Metodo_Prorrateo="KG",IF(SUMIFS($G$6:$G$305,$D$6:$D$305,D288)=0,0,G288/SUMIFS($G$6:$G$305,$D$6:$D$305,D288)),IF(G288&gt;0,1/COUNTIFS($D$6:$D$305,D288,$G$6:$G$305,"&gt;0"),0)))</f>
      </c>
      <c r="BV288" s="37">
        <f>IF(B288="","",IF(BP288=0,0,INDEX(COSTOS_FIJOS!$G$39:$AD$39,BP288))*BU288)</f>
      </c>
      <c r="BW288" s="72">
        <f>IF(B288="","",IF(Metodo_Prorrateo="KG",IF(SUMIFS($H$6:$H$305,$D$6:$D$305,D288)=0,0,H288/SUMIFS($H$6:$H$305,$D$6:$D$305,D288)),IF(H288&gt;0,1/COUNTIFS($D$6:$D$305,D288,$H$6:$H$305,"&gt;0"),0)))</f>
      </c>
      <c r="BX288" s="37">
        <f>IF(B288="","",IF(BP288=0,0,INDEX(COSTOS_FIJOS!$G$40:$AD$40,BP288))*BW288)</f>
      </c>
      <c r="BY288" s="72">
        <f>IF(B288="","",IF(Metodo_Prorrateo="KG",IF(SUMIFS($I$6:$I$305,$D$6:$D$305,D288)=0,0,I288/SUMIFS($I$6:$I$305,$D$6:$D$305,D288)),IF(I288&gt;0,1/COUNTIFS($D$6:$D$305,D288,$I$6:$I$305,"&gt;0"),0)))</f>
      </c>
      <c r="BZ288" s="37">
        <f>IF(B288="","",IF(BP288=0,0,INDEX(COSTOS_FIJOS!$G$41:$AD$41,BP288))*BY288)</f>
      </c>
      <c r="CA288" s="70">
        <f>IF(B288="","",BT288+BV288+BX288+BZ288)</f>
      </c>
      <c r="CB288" s="37">
        <f>IF(B288="","",Q288*Imp_Ventas_Serv)</f>
      </c>
      <c r="CC288" s="37">
        <f>IF(B288="","",Q288*Contrib_Territorial)</f>
      </c>
      <c r="CD288" s="70">
        <f>IF(B288="","",BM288-CA288-CB288-CC288)</f>
      </c>
      <c r="CE288" s="37">
        <f>IF(B288="","",MAX(0,CD288)*Imp_Utilidades)</f>
      </c>
      <c r="CF288" s="70">
        <f>IF(B288="","",CD288-CE288)</f>
      </c>
      <c r="CG288" s="72">
        <f>IF(B288="","",IF(Q288=0,0,CF288/Q288))</f>
      </c>
      <c r="CH288" s="73">
        <f>IF(B288="","",IF(J288=0,0,(BL288+CA288+CB288+CC288)/J288))</f>
      </c>
      <c r="CI288" s="73">
        <f>IF(B288="","",IF(J288=0,0,Q288/J288))</f>
      </c>
      <c r="CJ288" s="73">
        <f>IF(B288="","",IF(J288=0,0,CD288/J288))</f>
      </c>
      <c r="CK288" s="37">
        <f>IF(B288="","",Y288+AE288+BK288+BT288)</f>
      </c>
      <c r="CL288" s="37">
        <f>IF(B288="","",IF(J288=0,0,(M288+P288*G288/J288)*(1-Pct_Reclamaciones-Pct_Banco-Imp_Ventas_Serv-Contrib_Territorial)-AI288-BE288-BV288-CK288*G288/J288))</f>
      </c>
      <c r="CM288" s="37">
        <f>IF(B288="","",IF(J288=0,0,(N288+P288*H288/J288)*(1-Pct_Reclamaciones-Pct_Banco-Imp_Ventas_Serv-Contrib_Territorial)-AS288-BF288-BX288-CK288*H288/J288))</f>
      </c>
      <c r="CN288" s="37">
        <f>IF(B288="","",IF(J288=0,0,(O288+P288*I288/J288)*(1-Pct_Reclamaciones-Pct_Banco-Imp_Ventas_Serv-Contrib_Territorial)-BC288-BG288-BZ288-CK288*I288/J288))</f>
      </c>
      <c r="CO288" s="37">
        <f>IF(B288="","",IF(J288=0,0,ROUND(CD288-CL288-CM288-CN288,4)))</f>
      </c>
      <c r="CP288" s="71">
        <f>IF(B288="","",T288+AG288+AK288+AM288+AU288+AW288)</f>
      </c>
      <c r="CQ288" s="71">
        <f>IF(B288="","",U288+AH288+AL288+AN288+AV288+AX288)</f>
      </c>
      <c r="CR288" s="72">
        <f>IF(B288="","",IF(CP288=0,0,CQ288/CP288-1))</f>
      </c>
      <c r="CS288" s="60">
        <f>IF(B288="","",IF(ENTRADA!$Y288="","",ENTRADA!$Y288-C288))</f>
      </c>
      <c r="CT288" s="66">
        <f>IF(B288="","",IF(ENTRADA!$C288="","Falta fecha. ","")&amp;IF(BP288=0,"Mes fuera del rango de COSTOS_FIJOS. ","")&amp;IF(J288=0,"Sin kg. ","")&amp;IF(E288="","Falta transitaria. ","")&amp;IF(AND(T288&gt;0,U288/T288-1&gt;Tolerancia_Comb),"Combustible al puerto "&amp;TEXT(U288/T288-1,"+0%")&amp;" sobre norma. ","")&amp;IF(AND(AG288&gt;0,AH288/AG288-1&gt;Tolerancia_Comb),"Combustible distribución Occidente "&amp;TEXT(AH288/AG288-1,"+0%")&amp;" sobre norma. ","")&amp;IF(AND(AK288&gt;0,AL288/AK288-1&gt;Tolerancia_Comb),"Combustible traslado Centro "&amp;TEXT(AL288/AK288-1,"+0%")&amp;" sobre norma. ","")&amp;IF(AND(AM288&gt;0,AN288/AM288-1&gt;Tolerancia_Comb),"Combustible distribución Centro "&amp;TEXT(AN288/AM288-1,"+0%")&amp;" sobre norma. ","")&amp;IF(AND(AU288&gt;0,AV288/AU288-1&gt;Tolerancia_Comb),"Combustible traslado Oriente "&amp;TEXT(AV288/AU288-1,"+0%")&amp;" sobre norma. ","")&amp;IF(AND(AW288&gt;0,AX288/AW288-1&gt;Tolerancia_Comb),"Combustible distribución Oriente "&amp;TEXT(AX288/AW288-1,"+0%")&amp;" sobre norma. ","")&amp;IF(AND(ENTRADA!$C288&lt;&gt;"",C288&lt;PRECIOS!$A$6),"Fecha anterior a la 1ª vigencia de precios. ","")&amp;IF(CD288&lt;0,"Contenedor con pérdida. ",""))</f>
      </c>
    </row>
    <row r="289">
      <c r="A289" s="60">
        <f>IF(B289="","",ROW()-5)</f>
      </c>
      <c r="B289" s="63">
        <f>IF(ENTRADA!$B289="","",ENTRADA!$B289)</f>
      </c>
      <c r="C289" s="64">
        <f>IF(B289="","",ENTRADA!$C289)</f>
      </c>
      <c r="D289" s="65">
        <f>IF(B289="","",DATE(YEAR(C289),MONTH(C289),1))</f>
      </c>
      <c r="E289" s="66">
        <f>IF(B289="","",ENTRADA!$D289&amp;"")</f>
      </c>
      <c r="F289" s="66">
        <f>IF(B289="","",ENTRADA!$Z289&amp;"")</f>
      </c>
      <c r="G289" s="67">
        <f>IF(B289="","",N(ENTRADA!$G289))</f>
      </c>
      <c r="H289" s="67">
        <f>IF(B289="","",N(ENTRADA!$H289))</f>
      </c>
      <c r="I289" s="67">
        <f>IF(B289="","",N(ENTRADA!$I289))</f>
      </c>
      <c r="J289" s="68">
        <f>IF(B289="","",G289+H289+I289)</f>
      </c>
      <c r="K289" s="60">
        <f>IF(B289="","",IFERROR(MATCH(SUMPRODUCT(MAX((PRECIOS!$A$6:$A$55&lt;=C289)*PRECIOS!$A$6:$A$55)),PRECIOS!$A$6:$A$55,0),1))</f>
      </c>
      <c r="L289" s="69">
        <f>IF(B289="","",INDEX(PRECIOS!$A$6:$A$55,K289))</f>
      </c>
      <c r="M289" s="37">
        <f>IF(B289="","",G289*INDEX(PRECIOS!$B$6:$B$55,K289))</f>
      </c>
      <c r="N289" s="37">
        <f>IF(B289="","",H289*INDEX(PRECIOS!$C$6:$C$55,K289))</f>
      </c>
      <c r="O289" s="37">
        <f>IF(B289="","",I289*INDEX(PRECIOS!$D$6:$D$55,K289))</f>
      </c>
      <c r="P289" s="37">
        <f>IF(B289="","",N(ENTRADA!$X289))</f>
      </c>
      <c r="Q289" s="70">
        <f>IF(B289="","",M289+N289+O289+P289)</f>
      </c>
      <c r="R289" s="71">
        <f>IF(B289="","",IF(ENTRADA!$J289="",Std_Viajes_Puerto,ENTRADA!$J289))</f>
      </c>
      <c r="S289" s="37">
        <f>IF(B289="","",R289*INDEX(PRECIOS!$F$6:$F$55,K289))</f>
      </c>
      <c r="T289" s="71">
        <f>IF(B289="","",R289*Litros_Puerto_Viaje)</f>
      </c>
      <c r="U289" s="71">
        <f>IF(B289="","",IF(ENTRADA!$K289="",T289,ENTRADA!$K289))</f>
      </c>
      <c r="V289" s="37">
        <f>IF(B289="","",U289*INDEX(PRECIOS!$E$6:$E$55,K289))</f>
      </c>
      <c r="W289" s="37">
        <f>IF(B289="","",IF(ENTRADA!$L289="",R289*INDEX(PRECIOS!$G$6:$G$55,K289),ENTRADA!$L289))</f>
      </c>
      <c r="X289" s="37">
        <f>IF(B289="","",R289*Km_Puerto_Viaje*INDEX(PRECIOS!$N$6:$N$55,K289))</f>
      </c>
      <c r="Y289" s="70">
        <f>IF(B289="","",S289+V289+W289+X289)</f>
      </c>
      <c r="Z289" s="71">
        <f>IF(B289="","",IF(J289=0,0,ROUNDUP(J289/Rend_Desagrupe,0)))</f>
      </c>
      <c r="AA289" s="71">
        <f>IF(B289="","",IF(ENTRADA!$M289="",Z289,ENTRADA!$M289))</f>
      </c>
      <c r="AB289" s="37">
        <f>IF(B289="","",AA289*INDEX(PRECIOS!$H$6:$H$55,K289))</f>
      </c>
      <c r="AC289" s="37">
        <f>IF(B289="","",IF(E289="ENCI",INDEX(PRECIOS!$J$6:$J$55,K289),IF(E289="A.V",INDEX(PRECIOS!$K$6:$K$55,K289),0)))</f>
      </c>
      <c r="AD289" s="37">
        <f>IF(B289="","",N(ENTRADA!$N289))</f>
      </c>
      <c r="AE289" s="70">
        <f>IF(B289="","",AB289+AC289+AD289)</f>
      </c>
      <c r="AF289" s="71">
        <f>IF(B289="","",IF(G289=0,0,ROUNDUP(G289/Cap_Camion_OCC,0)))</f>
      </c>
      <c r="AG289" s="71">
        <f>IF(B289="","",AF289*L_Dist_OCC)</f>
      </c>
      <c r="AH289" s="71">
        <f>IF(B289="","",IF(ENTRADA!$O289="",AG289,ENTRADA!$O289))</f>
      </c>
      <c r="AI289" s="37">
        <f>IF(B289="","",AH289*INDEX(PRECIOS!$E$6:$E$55,K289))</f>
      </c>
      <c r="AJ289" s="71">
        <f>IF(B289="","",IF(H289=0,0,ROUNDUP(H289/Cap_Camion_CEN,0)))</f>
      </c>
      <c r="AK289" s="71">
        <f>IF(B289="","",AJ289*L_Tras_CEN)</f>
      </c>
      <c r="AL289" s="71">
        <f>IF(B289="","",IF(ENTRADA!$P289="",AK289,ENTRADA!$P289))</f>
      </c>
      <c r="AM289" s="71">
        <f>IF(B289="","",AJ289*L_Dist_CEN)</f>
      </c>
      <c r="AN289" s="71">
        <f>IF(B289="","",IF(ENTRADA!$Q289="",AM289,ENTRADA!$Q289))</f>
      </c>
      <c r="AO289" s="37">
        <f>IF(B289="","",(AL289+AN289)*INDEX(PRECIOS!$E$6:$E$55,K289))</f>
      </c>
      <c r="AP289" s="71">
        <f>IF(B289="","",IF(H289=0,0,ROUNDUP(H289/Rend_Desagrupe_CT,0)))</f>
      </c>
      <c r="AQ289" s="71">
        <f>IF(B289="","",IF(ENTRADA!$R289="",AP289,ENTRADA!$R289))</f>
      </c>
      <c r="AR289" s="37">
        <f>IF(B289="","",AQ289*INDEX(PRECIOS!$I$6:$I$55,K289))</f>
      </c>
      <c r="AS289" s="37">
        <f>IF(B289="","",AO289+AR289)</f>
      </c>
      <c r="AT289" s="71">
        <f>IF(B289="","",IF(I289=0,0,ROUNDUP(I289/Cap_Camion_ORI,0)))</f>
      </c>
      <c r="AU289" s="71">
        <f>IF(B289="","",AT289*L_Tras_ORI)</f>
      </c>
      <c r="AV289" s="71">
        <f>IF(B289="","",IF(ENTRADA!$S289="",AU289,ENTRADA!$S289))</f>
      </c>
      <c r="AW289" s="71">
        <f>IF(B289="","",AT289*L_Dist_ORI)</f>
      </c>
      <c r="AX289" s="71">
        <f>IF(B289="","",IF(ENTRADA!$T289="",AW289,ENTRADA!$T289))</f>
      </c>
      <c r="AY289" s="37">
        <f>IF(B289="","",(AV289+AX289)*INDEX(PRECIOS!$E$6:$E$55,K289))</f>
      </c>
      <c r="AZ289" s="71">
        <f>IF(B289="","",IF(I289=0,0,ROUNDUP(I289/Rend_Desagrupe_CT,0)))</f>
      </c>
      <c r="BA289" s="71">
        <f>IF(B289="","",IF(ENTRADA!$U289="",AZ289,ENTRADA!$U289))</f>
      </c>
      <c r="BB289" s="37">
        <f>IF(B289="","",BA289*INDEX(PRECIOS!$I$6:$I$55,K289))</f>
      </c>
      <c r="BC289" s="37">
        <f>IF(B289="","",AY289+BB289)</f>
      </c>
      <c r="BD289" s="70">
        <f>IF(B289="","",AI289+AS289+BC289)</f>
      </c>
      <c r="BE289" s="37">
        <f>IF(B289="","",IF(Base_Comision="% DEL INGRESO",M289*INDEX(PRECIOS!$L$6:$L$55,K289),G289*INDEX(PRECIOS!$M$6:$M$55,K289)))</f>
      </c>
      <c r="BF289" s="37">
        <f>IF(B289="","",IF(Base_Comision="% DEL INGRESO",N289*INDEX(PRECIOS!$L$6:$L$55,K289),H289*INDEX(PRECIOS!$M$6:$M$55,K289)))</f>
      </c>
      <c r="BG289" s="37">
        <f>IF(B289="","",IF(Base_Comision="% DEL INGRESO",O289*INDEX(PRECIOS!$L$6:$L$55,K289),I289*INDEX(PRECIOS!$M$6:$M$55,K289)))</f>
      </c>
      <c r="BH289" s="70">
        <f>IF(B289="","",BE289+BF289+BG289)</f>
      </c>
      <c r="BI289" s="37">
        <f>IF(B289="","",Q289*Pct_Reclamaciones)</f>
      </c>
      <c r="BJ289" s="37">
        <f>IF(B289="","",Q289*Pct_Banco)</f>
      </c>
      <c r="BK289" s="37">
        <f>IF(B289="","",N(ENTRADA!$V289))</f>
      </c>
      <c r="BL289" s="70">
        <f>IF(B289="","",Y289+AE289+BD289+BH289+BI289+BJ289+BK289)</f>
      </c>
      <c r="BM289" s="70">
        <f>IF(B289="","",Q289-BL289)</f>
      </c>
      <c r="BN289" s="72">
        <f>IF(B289="","",IF(Q289=0,0,BM289/Q289))</f>
      </c>
      <c r="BO289" s="73">
        <f>IF(B289="","",IF(J289=0,0,BM289/J289))</f>
      </c>
      <c r="BP289" s="60">
        <f>IF(B289="","",IFERROR(MATCH(D289,COSTOS_FIJOS!$G$5:$AD$5,0),0))</f>
      </c>
      <c r="BQ289" s="60">
        <f>IF(B289="","",COUNTIFS($D$6:$D$305,D289))</f>
      </c>
      <c r="BR289" s="67">
        <f>IF(B289="","",SUMIFS($J$6:$J$305,$D$6:$D$305,D289))</f>
      </c>
      <c r="BS289" s="72">
        <f>IF(B289="","",IF(Metodo_Prorrateo="KG",IF(BR289=0,0,J289/BR289),1/BQ289))</f>
      </c>
      <c r="BT289" s="37">
        <f>IF(B289="","",IF(BP289=0,0,INDEX(COSTOS_FIJOS!$G$38:$AD$38,BP289))*BS289)</f>
      </c>
      <c r="BU289" s="72">
        <f>IF(B289="","",IF(Metodo_Prorrateo="KG",IF(SUMIFS($G$6:$G$305,$D$6:$D$305,D289)=0,0,G289/SUMIFS($G$6:$G$305,$D$6:$D$305,D289)),IF(G289&gt;0,1/COUNTIFS($D$6:$D$305,D289,$G$6:$G$305,"&gt;0"),0)))</f>
      </c>
      <c r="BV289" s="37">
        <f>IF(B289="","",IF(BP289=0,0,INDEX(COSTOS_FIJOS!$G$39:$AD$39,BP289))*BU289)</f>
      </c>
      <c r="BW289" s="72">
        <f>IF(B289="","",IF(Metodo_Prorrateo="KG",IF(SUMIFS($H$6:$H$305,$D$6:$D$305,D289)=0,0,H289/SUMIFS($H$6:$H$305,$D$6:$D$305,D289)),IF(H289&gt;0,1/COUNTIFS($D$6:$D$305,D289,$H$6:$H$305,"&gt;0"),0)))</f>
      </c>
      <c r="BX289" s="37">
        <f>IF(B289="","",IF(BP289=0,0,INDEX(COSTOS_FIJOS!$G$40:$AD$40,BP289))*BW289)</f>
      </c>
      <c r="BY289" s="72">
        <f>IF(B289="","",IF(Metodo_Prorrateo="KG",IF(SUMIFS($I$6:$I$305,$D$6:$D$305,D289)=0,0,I289/SUMIFS($I$6:$I$305,$D$6:$D$305,D289)),IF(I289&gt;0,1/COUNTIFS($D$6:$D$305,D289,$I$6:$I$305,"&gt;0"),0)))</f>
      </c>
      <c r="BZ289" s="37">
        <f>IF(B289="","",IF(BP289=0,0,INDEX(COSTOS_FIJOS!$G$41:$AD$41,BP289))*BY289)</f>
      </c>
      <c r="CA289" s="70">
        <f>IF(B289="","",BT289+BV289+BX289+BZ289)</f>
      </c>
      <c r="CB289" s="37">
        <f>IF(B289="","",Q289*Imp_Ventas_Serv)</f>
      </c>
      <c r="CC289" s="37">
        <f>IF(B289="","",Q289*Contrib_Territorial)</f>
      </c>
      <c r="CD289" s="70">
        <f>IF(B289="","",BM289-CA289-CB289-CC289)</f>
      </c>
      <c r="CE289" s="37">
        <f>IF(B289="","",MAX(0,CD289)*Imp_Utilidades)</f>
      </c>
      <c r="CF289" s="70">
        <f>IF(B289="","",CD289-CE289)</f>
      </c>
      <c r="CG289" s="72">
        <f>IF(B289="","",IF(Q289=0,0,CF289/Q289))</f>
      </c>
      <c r="CH289" s="73">
        <f>IF(B289="","",IF(J289=0,0,(BL289+CA289+CB289+CC289)/J289))</f>
      </c>
      <c r="CI289" s="73">
        <f>IF(B289="","",IF(J289=0,0,Q289/J289))</f>
      </c>
      <c r="CJ289" s="73">
        <f>IF(B289="","",IF(J289=0,0,CD289/J289))</f>
      </c>
      <c r="CK289" s="37">
        <f>IF(B289="","",Y289+AE289+BK289+BT289)</f>
      </c>
      <c r="CL289" s="37">
        <f>IF(B289="","",IF(J289=0,0,(M289+P289*G289/J289)*(1-Pct_Reclamaciones-Pct_Banco-Imp_Ventas_Serv-Contrib_Territorial)-AI289-BE289-BV289-CK289*G289/J289))</f>
      </c>
      <c r="CM289" s="37">
        <f>IF(B289="","",IF(J289=0,0,(N289+P289*H289/J289)*(1-Pct_Reclamaciones-Pct_Banco-Imp_Ventas_Serv-Contrib_Territorial)-AS289-BF289-BX289-CK289*H289/J289))</f>
      </c>
      <c r="CN289" s="37">
        <f>IF(B289="","",IF(J289=0,0,(O289+P289*I289/J289)*(1-Pct_Reclamaciones-Pct_Banco-Imp_Ventas_Serv-Contrib_Territorial)-BC289-BG289-BZ289-CK289*I289/J289))</f>
      </c>
      <c r="CO289" s="37">
        <f>IF(B289="","",IF(J289=0,0,ROUND(CD289-CL289-CM289-CN289,4)))</f>
      </c>
      <c r="CP289" s="71">
        <f>IF(B289="","",T289+AG289+AK289+AM289+AU289+AW289)</f>
      </c>
      <c r="CQ289" s="71">
        <f>IF(B289="","",U289+AH289+AL289+AN289+AV289+AX289)</f>
      </c>
      <c r="CR289" s="72">
        <f>IF(B289="","",IF(CP289=0,0,CQ289/CP289-1))</f>
      </c>
      <c r="CS289" s="60">
        <f>IF(B289="","",IF(ENTRADA!$Y289="","",ENTRADA!$Y289-C289))</f>
      </c>
      <c r="CT289" s="66">
        <f>IF(B289="","",IF(ENTRADA!$C289="","Falta fecha. ","")&amp;IF(BP289=0,"Mes fuera del rango de COSTOS_FIJOS. ","")&amp;IF(J289=0,"Sin kg. ","")&amp;IF(E289="","Falta transitaria. ","")&amp;IF(AND(T289&gt;0,U289/T289-1&gt;Tolerancia_Comb),"Combustible al puerto "&amp;TEXT(U289/T289-1,"+0%")&amp;" sobre norma. ","")&amp;IF(AND(AG289&gt;0,AH289/AG289-1&gt;Tolerancia_Comb),"Combustible distribución Occidente "&amp;TEXT(AH289/AG289-1,"+0%")&amp;" sobre norma. ","")&amp;IF(AND(AK289&gt;0,AL289/AK289-1&gt;Tolerancia_Comb),"Combustible traslado Centro "&amp;TEXT(AL289/AK289-1,"+0%")&amp;" sobre norma. ","")&amp;IF(AND(AM289&gt;0,AN289/AM289-1&gt;Tolerancia_Comb),"Combustible distribución Centro "&amp;TEXT(AN289/AM289-1,"+0%")&amp;" sobre norma. ","")&amp;IF(AND(AU289&gt;0,AV289/AU289-1&gt;Tolerancia_Comb),"Combustible traslado Oriente "&amp;TEXT(AV289/AU289-1,"+0%")&amp;" sobre norma. ","")&amp;IF(AND(AW289&gt;0,AX289/AW289-1&gt;Tolerancia_Comb),"Combustible distribución Oriente "&amp;TEXT(AX289/AW289-1,"+0%")&amp;" sobre norma. ","")&amp;IF(AND(ENTRADA!$C289&lt;&gt;"",C289&lt;PRECIOS!$A$6),"Fecha anterior a la 1ª vigencia de precios. ","")&amp;IF(CD289&lt;0,"Contenedor con pérdida. ",""))</f>
      </c>
    </row>
    <row r="290">
      <c r="A290" s="60">
        <f>IF(B290="","",ROW()-5)</f>
      </c>
      <c r="B290" s="63">
        <f>IF(ENTRADA!$B290="","",ENTRADA!$B290)</f>
      </c>
      <c r="C290" s="64">
        <f>IF(B290="","",ENTRADA!$C290)</f>
      </c>
      <c r="D290" s="65">
        <f>IF(B290="","",DATE(YEAR(C290),MONTH(C290),1))</f>
      </c>
      <c r="E290" s="66">
        <f>IF(B290="","",ENTRADA!$D290&amp;"")</f>
      </c>
      <c r="F290" s="66">
        <f>IF(B290="","",ENTRADA!$Z290&amp;"")</f>
      </c>
      <c r="G290" s="67">
        <f>IF(B290="","",N(ENTRADA!$G290))</f>
      </c>
      <c r="H290" s="67">
        <f>IF(B290="","",N(ENTRADA!$H290))</f>
      </c>
      <c r="I290" s="67">
        <f>IF(B290="","",N(ENTRADA!$I290))</f>
      </c>
      <c r="J290" s="68">
        <f>IF(B290="","",G290+H290+I290)</f>
      </c>
      <c r="K290" s="60">
        <f>IF(B290="","",IFERROR(MATCH(SUMPRODUCT(MAX((PRECIOS!$A$6:$A$55&lt;=C290)*PRECIOS!$A$6:$A$55)),PRECIOS!$A$6:$A$55,0),1))</f>
      </c>
      <c r="L290" s="69">
        <f>IF(B290="","",INDEX(PRECIOS!$A$6:$A$55,K290))</f>
      </c>
      <c r="M290" s="37">
        <f>IF(B290="","",G290*INDEX(PRECIOS!$B$6:$B$55,K290))</f>
      </c>
      <c r="N290" s="37">
        <f>IF(B290="","",H290*INDEX(PRECIOS!$C$6:$C$55,K290))</f>
      </c>
      <c r="O290" s="37">
        <f>IF(B290="","",I290*INDEX(PRECIOS!$D$6:$D$55,K290))</f>
      </c>
      <c r="P290" s="37">
        <f>IF(B290="","",N(ENTRADA!$X290))</f>
      </c>
      <c r="Q290" s="70">
        <f>IF(B290="","",M290+N290+O290+P290)</f>
      </c>
      <c r="R290" s="71">
        <f>IF(B290="","",IF(ENTRADA!$J290="",Std_Viajes_Puerto,ENTRADA!$J290))</f>
      </c>
      <c r="S290" s="37">
        <f>IF(B290="","",R290*INDEX(PRECIOS!$F$6:$F$55,K290))</f>
      </c>
      <c r="T290" s="71">
        <f>IF(B290="","",R290*Litros_Puerto_Viaje)</f>
      </c>
      <c r="U290" s="71">
        <f>IF(B290="","",IF(ENTRADA!$K290="",T290,ENTRADA!$K290))</f>
      </c>
      <c r="V290" s="37">
        <f>IF(B290="","",U290*INDEX(PRECIOS!$E$6:$E$55,K290))</f>
      </c>
      <c r="W290" s="37">
        <f>IF(B290="","",IF(ENTRADA!$L290="",R290*INDEX(PRECIOS!$G$6:$G$55,K290),ENTRADA!$L290))</f>
      </c>
      <c r="X290" s="37">
        <f>IF(B290="","",R290*Km_Puerto_Viaje*INDEX(PRECIOS!$N$6:$N$55,K290))</f>
      </c>
      <c r="Y290" s="70">
        <f>IF(B290="","",S290+V290+W290+X290)</f>
      </c>
      <c r="Z290" s="71">
        <f>IF(B290="","",IF(J290=0,0,ROUNDUP(J290/Rend_Desagrupe,0)))</f>
      </c>
      <c r="AA290" s="71">
        <f>IF(B290="","",IF(ENTRADA!$M290="",Z290,ENTRADA!$M290))</f>
      </c>
      <c r="AB290" s="37">
        <f>IF(B290="","",AA290*INDEX(PRECIOS!$H$6:$H$55,K290))</f>
      </c>
      <c r="AC290" s="37">
        <f>IF(B290="","",IF(E290="ENCI",INDEX(PRECIOS!$J$6:$J$55,K290),IF(E290="A.V",INDEX(PRECIOS!$K$6:$K$55,K290),0)))</f>
      </c>
      <c r="AD290" s="37">
        <f>IF(B290="","",N(ENTRADA!$N290))</f>
      </c>
      <c r="AE290" s="70">
        <f>IF(B290="","",AB290+AC290+AD290)</f>
      </c>
      <c r="AF290" s="71">
        <f>IF(B290="","",IF(G290=0,0,ROUNDUP(G290/Cap_Camion_OCC,0)))</f>
      </c>
      <c r="AG290" s="71">
        <f>IF(B290="","",AF290*L_Dist_OCC)</f>
      </c>
      <c r="AH290" s="71">
        <f>IF(B290="","",IF(ENTRADA!$O290="",AG290,ENTRADA!$O290))</f>
      </c>
      <c r="AI290" s="37">
        <f>IF(B290="","",AH290*INDEX(PRECIOS!$E$6:$E$55,K290))</f>
      </c>
      <c r="AJ290" s="71">
        <f>IF(B290="","",IF(H290=0,0,ROUNDUP(H290/Cap_Camion_CEN,0)))</f>
      </c>
      <c r="AK290" s="71">
        <f>IF(B290="","",AJ290*L_Tras_CEN)</f>
      </c>
      <c r="AL290" s="71">
        <f>IF(B290="","",IF(ENTRADA!$P290="",AK290,ENTRADA!$P290))</f>
      </c>
      <c r="AM290" s="71">
        <f>IF(B290="","",AJ290*L_Dist_CEN)</f>
      </c>
      <c r="AN290" s="71">
        <f>IF(B290="","",IF(ENTRADA!$Q290="",AM290,ENTRADA!$Q290))</f>
      </c>
      <c r="AO290" s="37">
        <f>IF(B290="","",(AL290+AN290)*INDEX(PRECIOS!$E$6:$E$55,K290))</f>
      </c>
      <c r="AP290" s="71">
        <f>IF(B290="","",IF(H290=0,0,ROUNDUP(H290/Rend_Desagrupe_CT,0)))</f>
      </c>
      <c r="AQ290" s="71">
        <f>IF(B290="","",IF(ENTRADA!$R290="",AP290,ENTRADA!$R290))</f>
      </c>
      <c r="AR290" s="37">
        <f>IF(B290="","",AQ290*INDEX(PRECIOS!$I$6:$I$55,K290))</f>
      </c>
      <c r="AS290" s="37">
        <f>IF(B290="","",AO290+AR290)</f>
      </c>
      <c r="AT290" s="71">
        <f>IF(B290="","",IF(I290=0,0,ROUNDUP(I290/Cap_Camion_ORI,0)))</f>
      </c>
      <c r="AU290" s="71">
        <f>IF(B290="","",AT290*L_Tras_ORI)</f>
      </c>
      <c r="AV290" s="71">
        <f>IF(B290="","",IF(ENTRADA!$S290="",AU290,ENTRADA!$S290))</f>
      </c>
      <c r="AW290" s="71">
        <f>IF(B290="","",AT290*L_Dist_ORI)</f>
      </c>
      <c r="AX290" s="71">
        <f>IF(B290="","",IF(ENTRADA!$T290="",AW290,ENTRADA!$T290))</f>
      </c>
      <c r="AY290" s="37">
        <f>IF(B290="","",(AV290+AX290)*INDEX(PRECIOS!$E$6:$E$55,K290))</f>
      </c>
      <c r="AZ290" s="71">
        <f>IF(B290="","",IF(I290=0,0,ROUNDUP(I290/Rend_Desagrupe_CT,0)))</f>
      </c>
      <c r="BA290" s="71">
        <f>IF(B290="","",IF(ENTRADA!$U290="",AZ290,ENTRADA!$U290))</f>
      </c>
      <c r="BB290" s="37">
        <f>IF(B290="","",BA290*INDEX(PRECIOS!$I$6:$I$55,K290))</f>
      </c>
      <c r="BC290" s="37">
        <f>IF(B290="","",AY290+BB290)</f>
      </c>
      <c r="BD290" s="70">
        <f>IF(B290="","",AI290+AS290+BC290)</f>
      </c>
      <c r="BE290" s="37">
        <f>IF(B290="","",IF(Base_Comision="% DEL INGRESO",M290*INDEX(PRECIOS!$L$6:$L$55,K290),G290*INDEX(PRECIOS!$M$6:$M$55,K290)))</f>
      </c>
      <c r="BF290" s="37">
        <f>IF(B290="","",IF(Base_Comision="% DEL INGRESO",N290*INDEX(PRECIOS!$L$6:$L$55,K290),H290*INDEX(PRECIOS!$M$6:$M$55,K290)))</f>
      </c>
      <c r="BG290" s="37">
        <f>IF(B290="","",IF(Base_Comision="% DEL INGRESO",O290*INDEX(PRECIOS!$L$6:$L$55,K290),I290*INDEX(PRECIOS!$M$6:$M$55,K290)))</f>
      </c>
      <c r="BH290" s="70">
        <f>IF(B290="","",BE290+BF290+BG290)</f>
      </c>
      <c r="BI290" s="37">
        <f>IF(B290="","",Q290*Pct_Reclamaciones)</f>
      </c>
      <c r="BJ290" s="37">
        <f>IF(B290="","",Q290*Pct_Banco)</f>
      </c>
      <c r="BK290" s="37">
        <f>IF(B290="","",N(ENTRADA!$V290))</f>
      </c>
      <c r="BL290" s="70">
        <f>IF(B290="","",Y290+AE290+BD290+BH290+BI290+BJ290+BK290)</f>
      </c>
      <c r="BM290" s="70">
        <f>IF(B290="","",Q290-BL290)</f>
      </c>
      <c r="BN290" s="72">
        <f>IF(B290="","",IF(Q290=0,0,BM290/Q290))</f>
      </c>
      <c r="BO290" s="73">
        <f>IF(B290="","",IF(J290=0,0,BM290/J290))</f>
      </c>
      <c r="BP290" s="60">
        <f>IF(B290="","",IFERROR(MATCH(D290,COSTOS_FIJOS!$G$5:$AD$5,0),0))</f>
      </c>
      <c r="BQ290" s="60">
        <f>IF(B290="","",COUNTIFS($D$6:$D$305,D290))</f>
      </c>
      <c r="BR290" s="67">
        <f>IF(B290="","",SUMIFS($J$6:$J$305,$D$6:$D$305,D290))</f>
      </c>
      <c r="BS290" s="72">
        <f>IF(B290="","",IF(Metodo_Prorrateo="KG",IF(BR290=0,0,J290/BR290),1/BQ290))</f>
      </c>
      <c r="BT290" s="37">
        <f>IF(B290="","",IF(BP290=0,0,INDEX(COSTOS_FIJOS!$G$38:$AD$38,BP290))*BS290)</f>
      </c>
      <c r="BU290" s="72">
        <f>IF(B290="","",IF(Metodo_Prorrateo="KG",IF(SUMIFS($G$6:$G$305,$D$6:$D$305,D290)=0,0,G290/SUMIFS($G$6:$G$305,$D$6:$D$305,D290)),IF(G290&gt;0,1/COUNTIFS($D$6:$D$305,D290,$G$6:$G$305,"&gt;0"),0)))</f>
      </c>
      <c r="BV290" s="37">
        <f>IF(B290="","",IF(BP290=0,0,INDEX(COSTOS_FIJOS!$G$39:$AD$39,BP290))*BU290)</f>
      </c>
      <c r="BW290" s="72">
        <f>IF(B290="","",IF(Metodo_Prorrateo="KG",IF(SUMIFS($H$6:$H$305,$D$6:$D$305,D290)=0,0,H290/SUMIFS($H$6:$H$305,$D$6:$D$305,D290)),IF(H290&gt;0,1/COUNTIFS($D$6:$D$305,D290,$H$6:$H$305,"&gt;0"),0)))</f>
      </c>
      <c r="BX290" s="37">
        <f>IF(B290="","",IF(BP290=0,0,INDEX(COSTOS_FIJOS!$G$40:$AD$40,BP290))*BW290)</f>
      </c>
      <c r="BY290" s="72">
        <f>IF(B290="","",IF(Metodo_Prorrateo="KG",IF(SUMIFS($I$6:$I$305,$D$6:$D$305,D290)=0,0,I290/SUMIFS($I$6:$I$305,$D$6:$D$305,D290)),IF(I290&gt;0,1/COUNTIFS($D$6:$D$305,D290,$I$6:$I$305,"&gt;0"),0)))</f>
      </c>
      <c r="BZ290" s="37">
        <f>IF(B290="","",IF(BP290=0,0,INDEX(COSTOS_FIJOS!$G$41:$AD$41,BP290))*BY290)</f>
      </c>
      <c r="CA290" s="70">
        <f>IF(B290="","",BT290+BV290+BX290+BZ290)</f>
      </c>
      <c r="CB290" s="37">
        <f>IF(B290="","",Q290*Imp_Ventas_Serv)</f>
      </c>
      <c r="CC290" s="37">
        <f>IF(B290="","",Q290*Contrib_Territorial)</f>
      </c>
      <c r="CD290" s="70">
        <f>IF(B290="","",BM290-CA290-CB290-CC290)</f>
      </c>
      <c r="CE290" s="37">
        <f>IF(B290="","",MAX(0,CD290)*Imp_Utilidades)</f>
      </c>
      <c r="CF290" s="70">
        <f>IF(B290="","",CD290-CE290)</f>
      </c>
      <c r="CG290" s="72">
        <f>IF(B290="","",IF(Q290=0,0,CF290/Q290))</f>
      </c>
      <c r="CH290" s="73">
        <f>IF(B290="","",IF(J290=0,0,(BL290+CA290+CB290+CC290)/J290))</f>
      </c>
      <c r="CI290" s="73">
        <f>IF(B290="","",IF(J290=0,0,Q290/J290))</f>
      </c>
      <c r="CJ290" s="73">
        <f>IF(B290="","",IF(J290=0,0,CD290/J290))</f>
      </c>
      <c r="CK290" s="37">
        <f>IF(B290="","",Y290+AE290+BK290+BT290)</f>
      </c>
      <c r="CL290" s="37">
        <f>IF(B290="","",IF(J290=0,0,(M290+P290*G290/J290)*(1-Pct_Reclamaciones-Pct_Banco-Imp_Ventas_Serv-Contrib_Territorial)-AI290-BE290-BV290-CK290*G290/J290))</f>
      </c>
      <c r="CM290" s="37">
        <f>IF(B290="","",IF(J290=0,0,(N290+P290*H290/J290)*(1-Pct_Reclamaciones-Pct_Banco-Imp_Ventas_Serv-Contrib_Territorial)-AS290-BF290-BX290-CK290*H290/J290))</f>
      </c>
      <c r="CN290" s="37">
        <f>IF(B290="","",IF(J290=0,0,(O290+P290*I290/J290)*(1-Pct_Reclamaciones-Pct_Banco-Imp_Ventas_Serv-Contrib_Territorial)-BC290-BG290-BZ290-CK290*I290/J290))</f>
      </c>
      <c r="CO290" s="37">
        <f>IF(B290="","",IF(J290=0,0,ROUND(CD290-CL290-CM290-CN290,4)))</f>
      </c>
      <c r="CP290" s="71">
        <f>IF(B290="","",T290+AG290+AK290+AM290+AU290+AW290)</f>
      </c>
      <c r="CQ290" s="71">
        <f>IF(B290="","",U290+AH290+AL290+AN290+AV290+AX290)</f>
      </c>
      <c r="CR290" s="72">
        <f>IF(B290="","",IF(CP290=0,0,CQ290/CP290-1))</f>
      </c>
      <c r="CS290" s="60">
        <f>IF(B290="","",IF(ENTRADA!$Y290="","",ENTRADA!$Y290-C290))</f>
      </c>
      <c r="CT290" s="66">
        <f>IF(B290="","",IF(ENTRADA!$C290="","Falta fecha. ","")&amp;IF(BP290=0,"Mes fuera del rango de COSTOS_FIJOS. ","")&amp;IF(J290=0,"Sin kg. ","")&amp;IF(E290="","Falta transitaria. ","")&amp;IF(AND(T290&gt;0,U290/T290-1&gt;Tolerancia_Comb),"Combustible al puerto "&amp;TEXT(U290/T290-1,"+0%")&amp;" sobre norma. ","")&amp;IF(AND(AG290&gt;0,AH290/AG290-1&gt;Tolerancia_Comb),"Combustible distribución Occidente "&amp;TEXT(AH290/AG290-1,"+0%")&amp;" sobre norma. ","")&amp;IF(AND(AK290&gt;0,AL290/AK290-1&gt;Tolerancia_Comb),"Combustible traslado Centro "&amp;TEXT(AL290/AK290-1,"+0%")&amp;" sobre norma. ","")&amp;IF(AND(AM290&gt;0,AN290/AM290-1&gt;Tolerancia_Comb),"Combustible distribución Centro "&amp;TEXT(AN290/AM290-1,"+0%")&amp;" sobre norma. ","")&amp;IF(AND(AU290&gt;0,AV290/AU290-1&gt;Tolerancia_Comb),"Combustible traslado Oriente "&amp;TEXT(AV290/AU290-1,"+0%")&amp;" sobre norma. ","")&amp;IF(AND(AW290&gt;0,AX290/AW290-1&gt;Tolerancia_Comb),"Combustible distribución Oriente "&amp;TEXT(AX290/AW290-1,"+0%")&amp;" sobre norma. ","")&amp;IF(AND(ENTRADA!$C290&lt;&gt;"",C290&lt;PRECIOS!$A$6),"Fecha anterior a la 1ª vigencia de precios. ","")&amp;IF(CD290&lt;0,"Contenedor con pérdida. ",""))</f>
      </c>
    </row>
    <row r="291">
      <c r="A291" s="60">
        <f>IF(B291="","",ROW()-5)</f>
      </c>
      <c r="B291" s="63">
        <f>IF(ENTRADA!$B291="","",ENTRADA!$B291)</f>
      </c>
      <c r="C291" s="64">
        <f>IF(B291="","",ENTRADA!$C291)</f>
      </c>
      <c r="D291" s="65">
        <f>IF(B291="","",DATE(YEAR(C291),MONTH(C291),1))</f>
      </c>
      <c r="E291" s="66">
        <f>IF(B291="","",ENTRADA!$D291&amp;"")</f>
      </c>
      <c r="F291" s="66">
        <f>IF(B291="","",ENTRADA!$Z291&amp;"")</f>
      </c>
      <c r="G291" s="67">
        <f>IF(B291="","",N(ENTRADA!$G291))</f>
      </c>
      <c r="H291" s="67">
        <f>IF(B291="","",N(ENTRADA!$H291))</f>
      </c>
      <c r="I291" s="67">
        <f>IF(B291="","",N(ENTRADA!$I291))</f>
      </c>
      <c r="J291" s="68">
        <f>IF(B291="","",G291+H291+I291)</f>
      </c>
      <c r="K291" s="60">
        <f>IF(B291="","",IFERROR(MATCH(SUMPRODUCT(MAX((PRECIOS!$A$6:$A$55&lt;=C291)*PRECIOS!$A$6:$A$55)),PRECIOS!$A$6:$A$55,0),1))</f>
      </c>
      <c r="L291" s="69">
        <f>IF(B291="","",INDEX(PRECIOS!$A$6:$A$55,K291))</f>
      </c>
      <c r="M291" s="37">
        <f>IF(B291="","",G291*INDEX(PRECIOS!$B$6:$B$55,K291))</f>
      </c>
      <c r="N291" s="37">
        <f>IF(B291="","",H291*INDEX(PRECIOS!$C$6:$C$55,K291))</f>
      </c>
      <c r="O291" s="37">
        <f>IF(B291="","",I291*INDEX(PRECIOS!$D$6:$D$55,K291))</f>
      </c>
      <c r="P291" s="37">
        <f>IF(B291="","",N(ENTRADA!$X291))</f>
      </c>
      <c r="Q291" s="70">
        <f>IF(B291="","",M291+N291+O291+P291)</f>
      </c>
      <c r="R291" s="71">
        <f>IF(B291="","",IF(ENTRADA!$J291="",Std_Viajes_Puerto,ENTRADA!$J291))</f>
      </c>
      <c r="S291" s="37">
        <f>IF(B291="","",R291*INDEX(PRECIOS!$F$6:$F$55,K291))</f>
      </c>
      <c r="T291" s="71">
        <f>IF(B291="","",R291*Litros_Puerto_Viaje)</f>
      </c>
      <c r="U291" s="71">
        <f>IF(B291="","",IF(ENTRADA!$K291="",T291,ENTRADA!$K291))</f>
      </c>
      <c r="V291" s="37">
        <f>IF(B291="","",U291*INDEX(PRECIOS!$E$6:$E$55,K291))</f>
      </c>
      <c r="W291" s="37">
        <f>IF(B291="","",IF(ENTRADA!$L291="",R291*INDEX(PRECIOS!$G$6:$G$55,K291),ENTRADA!$L291))</f>
      </c>
      <c r="X291" s="37">
        <f>IF(B291="","",R291*Km_Puerto_Viaje*INDEX(PRECIOS!$N$6:$N$55,K291))</f>
      </c>
      <c r="Y291" s="70">
        <f>IF(B291="","",S291+V291+W291+X291)</f>
      </c>
      <c r="Z291" s="71">
        <f>IF(B291="","",IF(J291=0,0,ROUNDUP(J291/Rend_Desagrupe,0)))</f>
      </c>
      <c r="AA291" s="71">
        <f>IF(B291="","",IF(ENTRADA!$M291="",Z291,ENTRADA!$M291))</f>
      </c>
      <c r="AB291" s="37">
        <f>IF(B291="","",AA291*INDEX(PRECIOS!$H$6:$H$55,K291))</f>
      </c>
      <c r="AC291" s="37">
        <f>IF(B291="","",IF(E291="ENCI",INDEX(PRECIOS!$J$6:$J$55,K291),IF(E291="A.V",INDEX(PRECIOS!$K$6:$K$55,K291),0)))</f>
      </c>
      <c r="AD291" s="37">
        <f>IF(B291="","",N(ENTRADA!$N291))</f>
      </c>
      <c r="AE291" s="70">
        <f>IF(B291="","",AB291+AC291+AD291)</f>
      </c>
      <c r="AF291" s="71">
        <f>IF(B291="","",IF(G291=0,0,ROUNDUP(G291/Cap_Camion_OCC,0)))</f>
      </c>
      <c r="AG291" s="71">
        <f>IF(B291="","",AF291*L_Dist_OCC)</f>
      </c>
      <c r="AH291" s="71">
        <f>IF(B291="","",IF(ENTRADA!$O291="",AG291,ENTRADA!$O291))</f>
      </c>
      <c r="AI291" s="37">
        <f>IF(B291="","",AH291*INDEX(PRECIOS!$E$6:$E$55,K291))</f>
      </c>
      <c r="AJ291" s="71">
        <f>IF(B291="","",IF(H291=0,0,ROUNDUP(H291/Cap_Camion_CEN,0)))</f>
      </c>
      <c r="AK291" s="71">
        <f>IF(B291="","",AJ291*L_Tras_CEN)</f>
      </c>
      <c r="AL291" s="71">
        <f>IF(B291="","",IF(ENTRADA!$P291="",AK291,ENTRADA!$P291))</f>
      </c>
      <c r="AM291" s="71">
        <f>IF(B291="","",AJ291*L_Dist_CEN)</f>
      </c>
      <c r="AN291" s="71">
        <f>IF(B291="","",IF(ENTRADA!$Q291="",AM291,ENTRADA!$Q291))</f>
      </c>
      <c r="AO291" s="37">
        <f>IF(B291="","",(AL291+AN291)*INDEX(PRECIOS!$E$6:$E$55,K291))</f>
      </c>
      <c r="AP291" s="71">
        <f>IF(B291="","",IF(H291=0,0,ROUNDUP(H291/Rend_Desagrupe_CT,0)))</f>
      </c>
      <c r="AQ291" s="71">
        <f>IF(B291="","",IF(ENTRADA!$R291="",AP291,ENTRADA!$R291))</f>
      </c>
      <c r="AR291" s="37">
        <f>IF(B291="","",AQ291*INDEX(PRECIOS!$I$6:$I$55,K291))</f>
      </c>
      <c r="AS291" s="37">
        <f>IF(B291="","",AO291+AR291)</f>
      </c>
      <c r="AT291" s="71">
        <f>IF(B291="","",IF(I291=0,0,ROUNDUP(I291/Cap_Camion_ORI,0)))</f>
      </c>
      <c r="AU291" s="71">
        <f>IF(B291="","",AT291*L_Tras_ORI)</f>
      </c>
      <c r="AV291" s="71">
        <f>IF(B291="","",IF(ENTRADA!$S291="",AU291,ENTRADA!$S291))</f>
      </c>
      <c r="AW291" s="71">
        <f>IF(B291="","",AT291*L_Dist_ORI)</f>
      </c>
      <c r="AX291" s="71">
        <f>IF(B291="","",IF(ENTRADA!$T291="",AW291,ENTRADA!$T291))</f>
      </c>
      <c r="AY291" s="37">
        <f>IF(B291="","",(AV291+AX291)*INDEX(PRECIOS!$E$6:$E$55,K291))</f>
      </c>
      <c r="AZ291" s="71">
        <f>IF(B291="","",IF(I291=0,0,ROUNDUP(I291/Rend_Desagrupe_CT,0)))</f>
      </c>
      <c r="BA291" s="71">
        <f>IF(B291="","",IF(ENTRADA!$U291="",AZ291,ENTRADA!$U291))</f>
      </c>
      <c r="BB291" s="37">
        <f>IF(B291="","",BA291*INDEX(PRECIOS!$I$6:$I$55,K291))</f>
      </c>
      <c r="BC291" s="37">
        <f>IF(B291="","",AY291+BB291)</f>
      </c>
      <c r="BD291" s="70">
        <f>IF(B291="","",AI291+AS291+BC291)</f>
      </c>
      <c r="BE291" s="37">
        <f>IF(B291="","",IF(Base_Comision="% DEL INGRESO",M291*INDEX(PRECIOS!$L$6:$L$55,K291),G291*INDEX(PRECIOS!$M$6:$M$55,K291)))</f>
      </c>
      <c r="BF291" s="37">
        <f>IF(B291="","",IF(Base_Comision="% DEL INGRESO",N291*INDEX(PRECIOS!$L$6:$L$55,K291),H291*INDEX(PRECIOS!$M$6:$M$55,K291)))</f>
      </c>
      <c r="BG291" s="37">
        <f>IF(B291="","",IF(Base_Comision="% DEL INGRESO",O291*INDEX(PRECIOS!$L$6:$L$55,K291),I291*INDEX(PRECIOS!$M$6:$M$55,K291)))</f>
      </c>
      <c r="BH291" s="70">
        <f>IF(B291="","",BE291+BF291+BG291)</f>
      </c>
      <c r="BI291" s="37">
        <f>IF(B291="","",Q291*Pct_Reclamaciones)</f>
      </c>
      <c r="BJ291" s="37">
        <f>IF(B291="","",Q291*Pct_Banco)</f>
      </c>
      <c r="BK291" s="37">
        <f>IF(B291="","",N(ENTRADA!$V291))</f>
      </c>
      <c r="BL291" s="70">
        <f>IF(B291="","",Y291+AE291+BD291+BH291+BI291+BJ291+BK291)</f>
      </c>
      <c r="BM291" s="70">
        <f>IF(B291="","",Q291-BL291)</f>
      </c>
      <c r="BN291" s="72">
        <f>IF(B291="","",IF(Q291=0,0,BM291/Q291))</f>
      </c>
      <c r="BO291" s="73">
        <f>IF(B291="","",IF(J291=0,0,BM291/J291))</f>
      </c>
      <c r="BP291" s="60">
        <f>IF(B291="","",IFERROR(MATCH(D291,COSTOS_FIJOS!$G$5:$AD$5,0),0))</f>
      </c>
      <c r="BQ291" s="60">
        <f>IF(B291="","",COUNTIFS($D$6:$D$305,D291))</f>
      </c>
      <c r="BR291" s="67">
        <f>IF(B291="","",SUMIFS($J$6:$J$305,$D$6:$D$305,D291))</f>
      </c>
      <c r="BS291" s="72">
        <f>IF(B291="","",IF(Metodo_Prorrateo="KG",IF(BR291=0,0,J291/BR291),1/BQ291))</f>
      </c>
      <c r="BT291" s="37">
        <f>IF(B291="","",IF(BP291=0,0,INDEX(COSTOS_FIJOS!$G$38:$AD$38,BP291))*BS291)</f>
      </c>
      <c r="BU291" s="72">
        <f>IF(B291="","",IF(Metodo_Prorrateo="KG",IF(SUMIFS($G$6:$G$305,$D$6:$D$305,D291)=0,0,G291/SUMIFS($G$6:$G$305,$D$6:$D$305,D291)),IF(G291&gt;0,1/COUNTIFS($D$6:$D$305,D291,$G$6:$G$305,"&gt;0"),0)))</f>
      </c>
      <c r="BV291" s="37">
        <f>IF(B291="","",IF(BP291=0,0,INDEX(COSTOS_FIJOS!$G$39:$AD$39,BP291))*BU291)</f>
      </c>
      <c r="BW291" s="72">
        <f>IF(B291="","",IF(Metodo_Prorrateo="KG",IF(SUMIFS($H$6:$H$305,$D$6:$D$305,D291)=0,0,H291/SUMIFS($H$6:$H$305,$D$6:$D$305,D291)),IF(H291&gt;0,1/COUNTIFS($D$6:$D$305,D291,$H$6:$H$305,"&gt;0"),0)))</f>
      </c>
      <c r="BX291" s="37">
        <f>IF(B291="","",IF(BP291=0,0,INDEX(COSTOS_FIJOS!$G$40:$AD$40,BP291))*BW291)</f>
      </c>
      <c r="BY291" s="72">
        <f>IF(B291="","",IF(Metodo_Prorrateo="KG",IF(SUMIFS($I$6:$I$305,$D$6:$D$305,D291)=0,0,I291/SUMIFS($I$6:$I$305,$D$6:$D$305,D291)),IF(I291&gt;0,1/COUNTIFS($D$6:$D$305,D291,$I$6:$I$305,"&gt;0"),0)))</f>
      </c>
      <c r="BZ291" s="37">
        <f>IF(B291="","",IF(BP291=0,0,INDEX(COSTOS_FIJOS!$G$41:$AD$41,BP291))*BY291)</f>
      </c>
      <c r="CA291" s="70">
        <f>IF(B291="","",BT291+BV291+BX291+BZ291)</f>
      </c>
      <c r="CB291" s="37">
        <f>IF(B291="","",Q291*Imp_Ventas_Serv)</f>
      </c>
      <c r="CC291" s="37">
        <f>IF(B291="","",Q291*Contrib_Territorial)</f>
      </c>
      <c r="CD291" s="70">
        <f>IF(B291="","",BM291-CA291-CB291-CC291)</f>
      </c>
      <c r="CE291" s="37">
        <f>IF(B291="","",MAX(0,CD291)*Imp_Utilidades)</f>
      </c>
      <c r="CF291" s="70">
        <f>IF(B291="","",CD291-CE291)</f>
      </c>
      <c r="CG291" s="72">
        <f>IF(B291="","",IF(Q291=0,0,CF291/Q291))</f>
      </c>
      <c r="CH291" s="73">
        <f>IF(B291="","",IF(J291=0,0,(BL291+CA291+CB291+CC291)/J291))</f>
      </c>
      <c r="CI291" s="73">
        <f>IF(B291="","",IF(J291=0,0,Q291/J291))</f>
      </c>
      <c r="CJ291" s="73">
        <f>IF(B291="","",IF(J291=0,0,CD291/J291))</f>
      </c>
      <c r="CK291" s="37">
        <f>IF(B291="","",Y291+AE291+BK291+BT291)</f>
      </c>
      <c r="CL291" s="37">
        <f>IF(B291="","",IF(J291=0,0,(M291+P291*G291/J291)*(1-Pct_Reclamaciones-Pct_Banco-Imp_Ventas_Serv-Contrib_Territorial)-AI291-BE291-BV291-CK291*G291/J291))</f>
      </c>
      <c r="CM291" s="37">
        <f>IF(B291="","",IF(J291=0,0,(N291+P291*H291/J291)*(1-Pct_Reclamaciones-Pct_Banco-Imp_Ventas_Serv-Contrib_Territorial)-AS291-BF291-BX291-CK291*H291/J291))</f>
      </c>
      <c r="CN291" s="37">
        <f>IF(B291="","",IF(J291=0,0,(O291+P291*I291/J291)*(1-Pct_Reclamaciones-Pct_Banco-Imp_Ventas_Serv-Contrib_Territorial)-BC291-BG291-BZ291-CK291*I291/J291))</f>
      </c>
      <c r="CO291" s="37">
        <f>IF(B291="","",IF(J291=0,0,ROUND(CD291-CL291-CM291-CN291,4)))</f>
      </c>
      <c r="CP291" s="71">
        <f>IF(B291="","",T291+AG291+AK291+AM291+AU291+AW291)</f>
      </c>
      <c r="CQ291" s="71">
        <f>IF(B291="","",U291+AH291+AL291+AN291+AV291+AX291)</f>
      </c>
      <c r="CR291" s="72">
        <f>IF(B291="","",IF(CP291=0,0,CQ291/CP291-1))</f>
      </c>
      <c r="CS291" s="60">
        <f>IF(B291="","",IF(ENTRADA!$Y291="","",ENTRADA!$Y291-C291))</f>
      </c>
      <c r="CT291" s="66">
        <f>IF(B291="","",IF(ENTRADA!$C291="","Falta fecha. ","")&amp;IF(BP291=0,"Mes fuera del rango de COSTOS_FIJOS. ","")&amp;IF(J291=0,"Sin kg. ","")&amp;IF(E291="","Falta transitaria. ","")&amp;IF(AND(T291&gt;0,U291/T291-1&gt;Tolerancia_Comb),"Combustible al puerto "&amp;TEXT(U291/T291-1,"+0%")&amp;" sobre norma. ","")&amp;IF(AND(AG291&gt;0,AH291/AG291-1&gt;Tolerancia_Comb),"Combustible distribución Occidente "&amp;TEXT(AH291/AG291-1,"+0%")&amp;" sobre norma. ","")&amp;IF(AND(AK291&gt;0,AL291/AK291-1&gt;Tolerancia_Comb),"Combustible traslado Centro "&amp;TEXT(AL291/AK291-1,"+0%")&amp;" sobre norma. ","")&amp;IF(AND(AM291&gt;0,AN291/AM291-1&gt;Tolerancia_Comb),"Combustible distribución Centro "&amp;TEXT(AN291/AM291-1,"+0%")&amp;" sobre norma. ","")&amp;IF(AND(AU291&gt;0,AV291/AU291-1&gt;Tolerancia_Comb),"Combustible traslado Oriente "&amp;TEXT(AV291/AU291-1,"+0%")&amp;" sobre norma. ","")&amp;IF(AND(AW291&gt;0,AX291/AW291-1&gt;Tolerancia_Comb),"Combustible distribución Oriente "&amp;TEXT(AX291/AW291-1,"+0%")&amp;" sobre norma. ","")&amp;IF(AND(ENTRADA!$C291&lt;&gt;"",C291&lt;PRECIOS!$A$6),"Fecha anterior a la 1ª vigencia de precios. ","")&amp;IF(CD291&lt;0,"Contenedor con pérdida. ",""))</f>
      </c>
    </row>
    <row r="292">
      <c r="A292" s="60">
        <f>IF(B292="","",ROW()-5)</f>
      </c>
      <c r="B292" s="63">
        <f>IF(ENTRADA!$B292="","",ENTRADA!$B292)</f>
      </c>
      <c r="C292" s="64">
        <f>IF(B292="","",ENTRADA!$C292)</f>
      </c>
      <c r="D292" s="65">
        <f>IF(B292="","",DATE(YEAR(C292),MONTH(C292),1))</f>
      </c>
      <c r="E292" s="66">
        <f>IF(B292="","",ENTRADA!$D292&amp;"")</f>
      </c>
      <c r="F292" s="66">
        <f>IF(B292="","",ENTRADA!$Z292&amp;"")</f>
      </c>
      <c r="G292" s="67">
        <f>IF(B292="","",N(ENTRADA!$G292))</f>
      </c>
      <c r="H292" s="67">
        <f>IF(B292="","",N(ENTRADA!$H292))</f>
      </c>
      <c r="I292" s="67">
        <f>IF(B292="","",N(ENTRADA!$I292))</f>
      </c>
      <c r="J292" s="68">
        <f>IF(B292="","",G292+H292+I292)</f>
      </c>
      <c r="K292" s="60">
        <f>IF(B292="","",IFERROR(MATCH(SUMPRODUCT(MAX((PRECIOS!$A$6:$A$55&lt;=C292)*PRECIOS!$A$6:$A$55)),PRECIOS!$A$6:$A$55,0),1))</f>
      </c>
      <c r="L292" s="69">
        <f>IF(B292="","",INDEX(PRECIOS!$A$6:$A$55,K292))</f>
      </c>
      <c r="M292" s="37">
        <f>IF(B292="","",G292*INDEX(PRECIOS!$B$6:$B$55,K292))</f>
      </c>
      <c r="N292" s="37">
        <f>IF(B292="","",H292*INDEX(PRECIOS!$C$6:$C$55,K292))</f>
      </c>
      <c r="O292" s="37">
        <f>IF(B292="","",I292*INDEX(PRECIOS!$D$6:$D$55,K292))</f>
      </c>
      <c r="P292" s="37">
        <f>IF(B292="","",N(ENTRADA!$X292))</f>
      </c>
      <c r="Q292" s="70">
        <f>IF(B292="","",M292+N292+O292+P292)</f>
      </c>
      <c r="R292" s="71">
        <f>IF(B292="","",IF(ENTRADA!$J292="",Std_Viajes_Puerto,ENTRADA!$J292))</f>
      </c>
      <c r="S292" s="37">
        <f>IF(B292="","",R292*INDEX(PRECIOS!$F$6:$F$55,K292))</f>
      </c>
      <c r="T292" s="71">
        <f>IF(B292="","",R292*Litros_Puerto_Viaje)</f>
      </c>
      <c r="U292" s="71">
        <f>IF(B292="","",IF(ENTRADA!$K292="",T292,ENTRADA!$K292))</f>
      </c>
      <c r="V292" s="37">
        <f>IF(B292="","",U292*INDEX(PRECIOS!$E$6:$E$55,K292))</f>
      </c>
      <c r="W292" s="37">
        <f>IF(B292="","",IF(ENTRADA!$L292="",R292*INDEX(PRECIOS!$G$6:$G$55,K292),ENTRADA!$L292))</f>
      </c>
      <c r="X292" s="37">
        <f>IF(B292="","",R292*Km_Puerto_Viaje*INDEX(PRECIOS!$N$6:$N$55,K292))</f>
      </c>
      <c r="Y292" s="70">
        <f>IF(B292="","",S292+V292+W292+X292)</f>
      </c>
      <c r="Z292" s="71">
        <f>IF(B292="","",IF(J292=0,0,ROUNDUP(J292/Rend_Desagrupe,0)))</f>
      </c>
      <c r="AA292" s="71">
        <f>IF(B292="","",IF(ENTRADA!$M292="",Z292,ENTRADA!$M292))</f>
      </c>
      <c r="AB292" s="37">
        <f>IF(B292="","",AA292*INDEX(PRECIOS!$H$6:$H$55,K292))</f>
      </c>
      <c r="AC292" s="37">
        <f>IF(B292="","",IF(E292="ENCI",INDEX(PRECIOS!$J$6:$J$55,K292),IF(E292="A.V",INDEX(PRECIOS!$K$6:$K$55,K292),0)))</f>
      </c>
      <c r="AD292" s="37">
        <f>IF(B292="","",N(ENTRADA!$N292))</f>
      </c>
      <c r="AE292" s="70">
        <f>IF(B292="","",AB292+AC292+AD292)</f>
      </c>
      <c r="AF292" s="71">
        <f>IF(B292="","",IF(G292=0,0,ROUNDUP(G292/Cap_Camion_OCC,0)))</f>
      </c>
      <c r="AG292" s="71">
        <f>IF(B292="","",AF292*L_Dist_OCC)</f>
      </c>
      <c r="AH292" s="71">
        <f>IF(B292="","",IF(ENTRADA!$O292="",AG292,ENTRADA!$O292))</f>
      </c>
      <c r="AI292" s="37">
        <f>IF(B292="","",AH292*INDEX(PRECIOS!$E$6:$E$55,K292))</f>
      </c>
      <c r="AJ292" s="71">
        <f>IF(B292="","",IF(H292=0,0,ROUNDUP(H292/Cap_Camion_CEN,0)))</f>
      </c>
      <c r="AK292" s="71">
        <f>IF(B292="","",AJ292*L_Tras_CEN)</f>
      </c>
      <c r="AL292" s="71">
        <f>IF(B292="","",IF(ENTRADA!$P292="",AK292,ENTRADA!$P292))</f>
      </c>
      <c r="AM292" s="71">
        <f>IF(B292="","",AJ292*L_Dist_CEN)</f>
      </c>
      <c r="AN292" s="71">
        <f>IF(B292="","",IF(ENTRADA!$Q292="",AM292,ENTRADA!$Q292))</f>
      </c>
      <c r="AO292" s="37">
        <f>IF(B292="","",(AL292+AN292)*INDEX(PRECIOS!$E$6:$E$55,K292))</f>
      </c>
      <c r="AP292" s="71">
        <f>IF(B292="","",IF(H292=0,0,ROUNDUP(H292/Rend_Desagrupe_CT,0)))</f>
      </c>
      <c r="AQ292" s="71">
        <f>IF(B292="","",IF(ENTRADA!$R292="",AP292,ENTRADA!$R292))</f>
      </c>
      <c r="AR292" s="37">
        <f>IF(B292="","",AQ292*INDEX(PRECIOS!$I$6:$I$55,K292))</f>
      </c>
      <c r="AS292" s="37">
        <f>IF(B292="","",AO292+AR292)</f>
      </c>
      <c r="AT292" s="71">
        <f>IF(B292="","",IF(I292=0,0,ROUNDUP(I292/Cap_Camion_ORI,0)))</f>
      </c>
      <c r="AU292" s="71">
        <f>IF(B292="","",AT292*L_Tras_ORI)</f>
      </c>
      <c r="AV292" s="71">
        <f>IF(B292="","",IF(ENTRADA!$S292="",AU292,ENTRADA!$S292))</f>
      </c>
      <c r="AW292" s="71">
        <f>IF(B292="","",AT292*L_Dist_ORI)</f>
      </c>
      <c r="AX292" s="71">
        <f>IF(B292="","",IF(ENTRADA!$T292="",AW292,ENTRADA!$T292))</f>
      </c>
      <c r="AY292" s="37">
        <f>IF(B292="","",(AV292+AX292)*INDEX(PRECIOS!$E$6:$E$55,K292))</f>
      </c>
      <c r="AZ292" s="71">
        <f>IF(B292="","",IF(I292=0,0,ROUNDUP(I292/Rend_Desagrupe_CT,0)))</f>
      </c>
      <c r="BA292" s="71">
        <f>IF(B292="","",IF(ENTRADA!$U292="",AZ292,ENTRADA!$U292))</f>
      </c>
      <c r="BB292" s="37">
        <f>IF(B292="","",BA292*INDEX(PRECIOS!$I$6:$I$55,K292))</f>
      </c>
      <c r="BC292" s="37">
        <f>IF(B292="","",AY292+BB292)</f>
      </c>
      <c r="BD292" s="70">
        <f>IF(B292="","",AI292+AS292+BC292)</f>
      </c>
      <c r="BE292" s="37">
        <f>IF(B292="","",IF(Base_Comision="% DEL INGRESO",M292*INDEX(PRECIOS!$L$6:$L$55,K292),G292*INDEX(PRECIOS!$M$6:$M$55,K292)))</f>
      </c>
      <c r="BF292" s="37">
        <f>IF(B292="","",IF(Base_Comision="% DEL INGRESO",N292*INDEX(PRECIOS!$L$6:$L$55,K292),H292*INDEX(PRECIOS!$M$6:$M$55,K292)))</f>
      </c>
      <c r="BG292" s="37">
        <f>IF(B292="","",IF(Base_Comision="% DEL INGRESO",O292*INDEX(PRECIOS!$L$6:$L$55,K292),I292*INDEX(PRECIOS!$M$6:$M$55,K292)))</f>
      </c>
      <c r="BH292" s="70">
        <f>IF(B292="","",BE292+BF292+BG292)</f>
      </c>
      <c r="BI292" s="37">
        <f>IF(B292="","",Q292*Pct_Reclamaciones)</f>
      </c>
      <c r="BJ292" s="37">
        <f>IF(B292="","",Q292*Pct_Banco)</f>
      </c>
      <c r="BK292" s="37">
        <f>IF(B292="","",N(ENTRADA!$V292))</f>
      </c>
      <c r="BL292" s="70">
        <f>IF(B292="","",Y292+AE292+BD292+BH292+BI292+BJ292+BK292)</f>
      </c>
      <c r="BM292" s="70">
        <f>IF(B292="","",Q292-BL292)</f>
      </c>
      <c r="BN292" s="72">
        <f>IF(B292="","",IF(Q292=0,0,BM292/Q292))</f>
      </c>
      <c r="BO292" s="73">
        <f>IF(B292="","",IF(J292=0,0,BM292/J292))</f>
      </c>
      <c r="BP292" s="60">
        <f>IF(B292="","",IFERROR(MATCH(D292,COSTOS_FIJOS!$G$5:$AD$5,0),0))</f>
      </c>
      <c r="BQ292" s="60">
        <f>IF(B292="","",COUNTIFS($D$6:$D$305,D292))</f>
      </c>
      <c r="BR292" s="67">
        <f>IF(B292="","",SUMIFS($J$6:$J$305,$D$6:$D$305,D292))</f>
      </c>
      <c r="BS292" s="72">
        <f>IF(B292="","",IF(Metodo_Prorrateo="KG",IF(BR292=0,0,J292/BR292),1/BQ292))</f>
      </c>
      <c r="BT292" s="37">
        <f>IF(B292="","",IF(BP292=0,0,INDEX(COSTOS_FIJOS!$G$38:$AD$38,BP292))*BS292)</f>
      </c>
      <c r="BU292" s="72">
        <f>IF(B292="","",IF(Metodo_Prorrateo="KG",IF(SUMIFS($G$6:$G$305,$D$6:$D$305,D292)=0,0,G292/SUMIFS($G$6:$G$305,$D$6:$D$305,D292)),IF(G292&gt;0,1/COUNTIFS($D$6:$D$305,D292,$G$6:$G$305,"&gt;0"),0)))</f>
      </c>
      <c r="BV292" s="37">
        <f>IF(B292="","",IF(BP292=0,0,INDEX(COSTOS_FIJOS!$G$39:$AD$39,BP292))*BU292)</f>
      </c>
      <c r="BW292" s="72">
        <f>IF(B292="","",IF(Metodo_Prorrateo="KG",IF(SUMIFS($H$6:$H$305,$D$6:$D$305,D292)=0,0,H292/SUMIFS($H$6:$H$305,$D$6:$D$305,D292)),IF(H292&gt;0,1/COUNTIFS($D$6:$D$305,D292,$H$6:$H$305,"&gt;0"),0)))</f>
      </c>
      <c r="BX292" s="37">
        <f>IF(B292="","",IF(BP292=0,0,INDEX(COSTOS_FIJOS!$G$40:$AD$40,BP292))*BW292)</f>
      </c>
      <c r="BY292" s="72">
        <f>IF(B292="","",IF(Metodo_Prorrateo="KG",IF(SUMIFS($I$6:$I$305,$D$6:$D$305,D292)=0,0,I292/SUMIFS($I$6:$I$305,$D$6:$D$305,D292)),IF(I292&gt;0,1/COUNTIFS($D$6:$D$305,D292,$I$6:$I$305,"&gt;0"),0)))</f>
      </c>
      <c r="BZ292" s="37">
        <f>IF(B292="","",IF(BP292=0,0,INDEX(COSTOS_FIJOS!$G$41:$AD$41,BP292))*BY292)</f>
      </c>
      <c r="CA292" s="70">
        <f>IF(B292="","",BT292+BV292+BX292+BZ292)</f>
      </c>
      <c r="CB292" s="37">
        <f>IF(B292="","",Q292*Imp_Ventas_Serv)</f>
      </c>
      <c r="CC292" s="37">
        <f>IF(B292="","",Q292*Contrib_Territorial)</f>
      </c>
      <c r="CD292" s="70">
        <f>IF(B292="","",BM292-CA292-CB292-CC292)</f>
      </c>
      <c r="CE292" s="37">
        <f>IF(B292="","",MAX(0,CD292)*Imp_Utilidades)</f>
      </c>
      <c r="CF292" s="70">
        <f>IF(B292="","",CD292-CE292)</f>
      </c>
      <c r="CG292" s="72">
        <f>IF(B292="","",IF(Q292=0,0,CF292/Q292))</f>
      </c>
      <c r="CH292" s="73">
        <f>IF(B292="","",IF(J292=0,0,(BL292+CA292+CB292+CC292)/J292))</f>
      </c>
      <c r="CI292" s="73">
        <f>IF(B292="","",IF(J292=0,0,Q292/J292))</f>
      </c>
      <c r="CJ292" s="73">
        <f>IF(B292="","",IF(J292=0,0,CD292/J292))</f>
      </c>
      <c r="CK292" s="37">
        <f>IF(B292="","",Y292+AE292+BK292+BT292)</f>
      </c>
      <c r="CL292" s="37">
        <f>IF(B292="","",IF(J292=0,0,(M292+P292*G292/J292)*(1-Pct_Reclamaciones-Pct_Banco-Imp_Ventas_Serv-Contrib_Territorial)-AI292-BE292-BV292-CK292*G292/J292))</f>
      </c>
      <c r="CM292" s="37">
        <f>IF(B292="","",IF(J292=0,0,(N292+P292*H292/J292)*(1-Pct_Reclamaciones-Pct_Banco-Imp_Ventas_Serv-Contrib_Territorial)-AS292-BF292-BX292-CK292*H292/J292))</f>
      </c>
      <c r="CN292" s="37">
        <f>IF(B292="","",IF(J292=0,0,(O292+P292*I292/J292)*(1-Pct_Reclamaciones-Pct_Banco-Imp_Ventas_Serv-Contrib_Territorial)-BC292-BG292-BZ292-CK292*I292/J292))</f>
      </c>
      <c r="CO292" s="37">
        <f>IF(B292="","",IF(J292=0,0,ROUND(CD292-CL292-CM292-CN292,4)))</f>
      </c>
      <c r="CP292" s="71">
        <f>IF(B292="","",T292+AG292+AK292+AM292+AU292+AW292)</f>
      </c>
      <c r="CQ292" s="71">
        <f>IF(B292="","",U292+AH292+AL292+AN292+AV292+AX292)</f>
      </c>
      <c r="CR292" s="72">
        <f>IF(B292="","",IF(CP292=0,0,CQ292/CP292-1))</f>
      </c>
      <c r="CS292" s="60">
        <f>IF(B292="","",IF(ENTRADA!$Y292="","",ENTRADA!$Y292-C292))</f>
      </c>
      <c r="CT292" s="66">
        <f>IF(B292="","",IF(ENTRADA!$C292="","Falta fecha. ","")&amp;IF(BP292=0,"Mes fuera del rango de COSTOS_FIJOS. ","")&amp;IF(J292=0,"Sin kg. ","")&amp;IF(E292="","Falta transitaria. ","")&amp;IF(AND(T292&gt;0,U292/T292-1&gt;Tolerancia_Comb),"Combustible al puerto "&amp;TEXT(U292/T292-1,"+0%")&amp;" sobre norma. ","")&amp;IF(AND(AG292&gt;0,AH292/AG292-1&gt;Tolerancia_Comb),"Combustible distribución Occidente "&amp;TEXT(AH292/AG292-1,"+0%")&amp;" sobre norma. ","")&amp;IF(AND(AK292&gt;0,AL292/AK292-1&gt;Tolerancia_Comb),"Combustible traslado Centro "&amp;TEXT(AL292/AK292-1,"+0%")&amp;" sobre norma. ","")&amp;IF(AND(AM292&gt;0,AN292/AM292-1&gt;Tolerancia_Comb),"Combustible distribución Centro "&amp;TEXT(AN292/AM292-1,"+0%")&amp;" sobre norma. ","")&amp;IF(AND(AU292&gt;0,AV292/AU292-1&gt;Tolerancia_Comb),"Combustible traslado Oriente "&amp;TEXT(AV292/AU292-1,"+0%")&amp;" sobre norma. ","")&amp;IF(AND(AW292&gt;0,AX292/AW292-1&gt;Tolerancia_Comb),"Combustible distribución Oriente "&amp;TEXT(AX292/AW292-1,"+0%")&amp;" sobre norma. ","")&amp;IF(AND(ENTRADA!$C292&lt;&gt;"",C292&lt;PRECIOS!$A$6),"Fecha anterior a la 1ª vigencia de precios. ","")&amp;IF(CD292&lt;0,"Contenedor con pérdida. ",""))</f>
      </c>
    </row>
    <row r="293">
      <c r="A293" s="60">
        <f>IF(B293="","",ROW()-5)</f>
      </c>
      <c r="B293" s="63">
        <f>IF(ENTRADA!$B293="","",ENTRADA!$B293)</f>
      </c>
      <c r="C293" s="64">
        <f>IF(B293="","",ENTRADA!$C293)</f>
      </c>
      <c r="D293" s="65">
        <f>IF(B293="","",DATE(YEAR(C293),MONTH(C293),1))</f>
      </c>
      <c r="E293" s="66">
        <f>IF(B293="","",ENTRADA!$D293&amp;"")</f>
      </c>
      <c r="F293" s="66">
        <f>IF(B293="","",ENTRADA!$Z293&amp;"")</f>
      </c>
      <c r="G293" s="67">
        <f>IF(B293="","",N(ENTRADA!$G293))</f>
      </c>
      <c r="H293" s="67">
        <f>IF(B293="","",N(ENTRADA!$H293))</f>
      </c>
      <c r="I293" s="67">
        <f>IF(B293="","",N(ENTRADA!$I293))</f>
      </c>
      <c r="J293" s="68">
        <f>IF(B293="","",G293+H293+I293)</f>
      </c>
      <c r="K293" s="60">
        <f>IF(B293="","",IFERROR(MATCH(SUMPRODUCT(MAX((PRECIOS!$A$6:$A$55&lt;=C293)*PRECIOS!$A$6:$A$55)),PRECIOS!$A$6:$A$55,0),1))</f>
      </c>
      <c r="L293" s="69">
        <f>IF(B293="","",INDEX(PRECIOS!$A$6:$A$55,K293))</f>
      </c>
      <c r="M293" s="37">
        <f>IF(B293="","",G293*INDEX(PRECIOS!$B$6:$B$55,K293))</f>
      </c>
      <c r="N293" s="37">
        <f>IF(B293="","",H293*INDEX(PRECIOS!$C$6:$C$55,K293))</f>
      </c>
      <c r="O293" s="37">
        <f>IF(B293="","",I293*INDEX(PRECIOS!$D$6:$D$55,K293))</f>
      </c>
      <c r="P293" s="37">
        <f>IF(B293="","",N(ENTRADA!$X293))</f>
      </c>
      <c r="Q293" s="70">
        <f>IF(B293="","",M293+N293+O293+P293)</f>
      </c>
      <c r="R293" s="71">
        <f>IF(B293="","",IF(ENTRADA!$J293="",Std_Viajes_Puerto,ENTRADA!$J293))</f>
      </c>
      <c r="S293" s="37">
        <f>IF(B293="","",R293*INDEX(PRECIOS!$F$6:$F$55,K293))</f>
      </c>
      <c r="T293" s="71">
        <f>IF(B293="","",R293*Litros_Puerto_Viaje)</f>
      </c>
      <c r="U293" s="71">
        <f>IF(B293="","",IF(ENTRADA!$K293="",T293,ENTRADA!$K293))</f>
      </c>
      <c r="V293" s="37">
        <f>IF(B293="","",U293*INDEX(PRECIOS!$E$6:$E$55,K293))</f>
      </c>
      <c r="W293" s="37">
        <f>IF(B293="","",IF(ENTRADA!$L293="",R293*INDEX(PRECIOS!$G$6:$G$55,K293),ENTRADA!$L293))</f>
      </c>
      <c r="X293" s="37">
        <f>IF(B293="","",R293*Km_Puerto_Viaje*INDEX(PRECIOS!$N$6:$N$55,K293))</f>
      </c>
      <c r="Y293" s="70">
        <f>IF(B293="","",S293+V293+W293+X293)</f>
      </c>
      <c r="Z293" s="71">
        <f>IF(B293="","",IF(J293=0,0,ROUNDUP(J293/Rend_Desagrupe,0)))</f>
      </c>
      <c r="AA293" s="71">
        <f>IF(B293="","",IF(ENTRADA!$M293="",Z293,ENTRADA!$M293))</f>
      </c>
      <c r="AB293" s="37">
        <f>IF(B293="","",AA293*INDEX(PRECIOS!$H$6:$H$55,K293))</f>
      </c>
      <c r="AC293" s="37">
        <f>IF(B293="","",IF(E293="ENCI",INDEX(PRECIOS!$J$6:$J$55,K293),IF(E293="A.V",INDEX(PRECIOS!$K$6:$K$55,K293),0)))</f>
      </c>
      <c r="AD293" s="37">
        <f>IF(B293="","",N(ENTRADA!$N293))</f>
      </c>
      <c r="AE293" s="70">
        <f>IF(B293="","",AB293+AC293+AD293)</f>
      </c>
      <c r="AF293" s="71">
        <f>IF(B293="","",IF(G293=0,0,ROUNDUP(G293/Cap_Camion_OCC,0)))</f>
      </c>
      <c r="AG293" s="71">
        <f>IF(B293="","",AF293*L_Dist_OCC)</f>
      </c>
      <c r="AH293" s="71">
        <f>IF(B293="","",IF(ENTRADA!$O293="",AG293,ENTRADA!$O293))</f>
      </c>
      <c r="AI293" s="37">
        <f>IF(B293="","",AH293*INDEX(PRECIOS!$E$6:$E$55,K293))</f>
      </c>
      <c r="AJ293" s="71">
        <f>IF(B293="","",IF(H293=0,0,ROUNDUP(H293/Cap_Camion_CEN,0)))</f>
      </c>
      <c r="AK293" s="71">
        <f>IF(B293="","",AJ293*L_Tras_CEN)</f>
      </c>
      <c r="AL293" s="71">
        <f>IF(B293="","",IF(ENTRADA!$P293="",AK293,ENTRADA!$P293))</f>
      </c>
      <c r="AM293" s="71">
        <f>IF(B293="","",AJ293*L_Dist_CEN)</f>
      </c>
      <c r="AN293" s="71">
        <f>IF(B293="","",IF(ENTRADA!$Q293="",AM293,ENTRADA!$Q293))</f>
      </c>
      <c r="AO293" s="37">
        <f>IF(B293="","",(AL293+AN293)*INDEX(PRECIOS!$E$6:$E$55,K293))</f>
      </c>
      <c r="AP293" s="71">
        <f>IF(B293="","",IF(H293=0,0,ROUNDUP(H293/Rend_Desagrupe_CT,0)))</f>
      </c>
      <c r="AQ293" s="71">
        <f>IF(B293="","",IF(ENTRADA!$R293="",AP293,ENTRADA!$R293))</f>
      </c>
      <c r="AR293" s="37">
        <f>IF(B293="","",AQ293*INDEX(PRECIOS!$I$6:$I$55,K293))</f>
      </c>
      <c r="AS293" s="37">
        <f>IF(B293="","",AO293+AR293)</f>
      </c>
      <c r="AT293" s="71">
        <f>IF(B293="","",IF(I293=0,0,ROUNDUP(I293/Cap_Camion_ORI,0)))</f>
      </c>
      <c r="AU293" s="71">
        <f>IF(B293="","",AT293*L_Tras_ORI)</f>
      </c>
      <c r="AV293" s="71">
        <f>IF(B293="","",IF(ENTRADA!$S293="",AU293,ENTRADA!$S293))</f>
      </c>
      <c r="AW293" s="71">
        <f>IF(B293="","",AT293*L_Dist_ORI)</f>
      </c>
      <c r="AX293" s="71">
        <f>IF(B293="","",IF(ENTRADA!$T293="",AW293,ENTRADA!$T293))</f>
      </c>
      <c r="AY293" s="37">
        <f>IF(B293="","",(AV293+AX293)*INDEX(PRECIOS!$E$6:$E$55,K293))</f>
      </c>
      <c r="AZ293" s="71">
        <f>IF(B293="","",IF(I293=0,0,ROUNDUP(I293/Rend_Desagrupe_CT,0)))</f>
      </c>
      <c r="BA293" s="71">
        <f>IF(B293="","",IF(ENTRADA!$U293="",AZ293,ENTRADA!$U293))</f>
      </c>
      <c r="BB293" s="37">
        <f>IF(B293="","",BA293*INDEX(PRECIOS!$I$6:$I$55,K293))</f>
      </c>
      <c r="BC293" s="37">
        <f>IF(B293="","",AY293+BB293)</f>
      </c>
      <c r="BD293" s="70">
        <f>IF(B293="","",AI293+AS293+BC293)</f>
      </c>
      <c r="BE293" s="37">
        <f>IF(B293="","",IF(Base_Comision="% DEL INGRESO",M293*INDEX(PRECIOS!$L$6:$L$55,K293),G293*INDEX(PRECIOS!$M$6:$M$55,K293)))</f>
      </c>
      <c r="BF293" s="37">
        <f>IF(B293="","",IF(Base_Comision="% DEL INGRESO",N293*INDEX(PRECIOS!$L$6:$L$55,K293),H293*INDEX(PRECIOS!$M$6:$M$55,K293)))</f>
      </c>
      <c r="BG293" s="37">
        <f>IF(B293="","",IF(Base_Comision="% DEL INGRESO",O293*INDEX(PRECIOS!$L$6:$L$55,K293),I293*INDEX(PRECIOS!$M$6:$M$55,K293)))</f>
      </c>
      <c r="BH293" s="70">
        <f>IF(B293="","",BE293+BF293+BG293)</f>
      </c>
      <c r="BI293" s="37">
        <f>IF(B293="","",Q293*Pct_Reclamaciones)</f>
      </c>
      <c r="BJ293" s="37">
        <f>IF(B293="","",Q293*Pct_Banco)</f>
      </c>
      <c r="BK293" s="37">
        <f>IF(B293="","",N(ENTRADA!$V293))</f>
      </c>
      <c r="BL293" s="70">
        <f>IF(B293="","",Y293+AE293+BD293+BH293+BI293+BJ293+BK293)</f>
      </c>
      <c r="BM293" s="70">
        <f>IF(B293="","",Q293-BL293)</f>
      </c>
      <c r="BN293" s="72">
        <f>IF(B293="","",IF(Q293=0,0,BM293/Q293))</f>
      </c>
      <c r="BO293" s="73">
        <f>IF(B293="","",IF(J293=0,0,BM293/J293))</f>
      </c>
      <c r="BP293" s="60">
        <f>IF(B293="","",IFERROR(MATCH(D293,COSTOS_FIJOS!$G$5:$AD$5,0),0))</f>
      </c>
      <c r="BQ293" s="60">
        <f>IF(B293="","",COUNTIFS($D$6:$D$305,D293))</f>
      </c>
      <c r="BR293" s="67">
        <f>IF(B293="","",SUMIFS($J$6:$J$305,$D$6:$D$305,D293))</f>
      </c>
      <c r="BS293" s="72">
        <f>IF(B293="","",IF(Metodo_Prorrateo="KG",IF(BR293=0,0,J293/BR293),1/BQ293))</f>
      </c>
      <c r="BT293" s="37">
        <f>IF(B293="","",IF(BP293=0,0,INDEX(COSTOS_FIJOS!$G$38:$AD$38,BP293))*BS293)</f>
      </c>
      <c r="BU293" s="72">
        <f>IF(B293="","",IF(Metodo_Prorrateo="KG",IF(SUMIFS($G$6:$G$305,$D$6:$D$305,D293)=0,0,G293/SUMIFS($G$6:$G$305,$D$6:$D$305,D293)),IF(G293&gt;0,1/COUNTIFS($D$6:$D$305,D293,$G$6:$G$305,"&gt;0"),0)))</f>
      </c>
      <c r="BV293" s="37">
        <f>IF(B293="","",IF(BP293=0,0,INDEX(COSTOS_FIJOS!$G$39:$AD$39,BP293))*BU293)</f>
      </c>
      <c r="BW293" s="72">
        <f>IF(B293="","",IF(Metodo_Prorrateo="KG",IF(SUMIFS($H$6:$H$305,$D$6:$D$305,D293)=0,0,H293/SUMIFS($H$6:$H$305,$D$6:$D$305,D293)),IF(H293&gt;0,1/COUNTIFS($D$6:$D$305,D293,$H$6:$H$305,"&gt;0"),0)))</f>
      </c>
      <c r="BX293" s="37">
        <f>IF(B293="","",IF(BP293=0,0,INDEX(COSTOS_FIJOS!$G$40:$AD$40,BP293))*BW293)</f>
      </c>
      <c r="BY293" s="72">
        <f>IF(B293="","",IF(Metodo_Prorrateo="KG",IF(SUMIFS($I$6:$I$305,$D$6:$D$305,D293)=0,0,I293/SUMIFS($I$6:$I$305,$D$6:$D$305,D293)),IF(I293&gt;0,1/COUNTIFS($D$6:$D$305,D293,$I$6:$I$305,"&gt;0"),0)))</f>
      </c>
      <c r="BZ293" s="37">
        <f>IF(B293="","",IF(BP293=0,0,INDEX(COSTOS_FIJOS!$G$41:$AD$41,BP293))*BY293)</f>
      </c>
      <c r="CA293" s="70">
        <f>IF(B293="","",BT293+BV293+BX293+BZ293)</f>
      </c>
      <c r="CB293" s="37">
        <f>IF(B293="","",Q293*Imp_Ventas_Serv)</f>
      </c>
      <c r="CC293" s="37">
        <f>IF(B293="","",Q293*Contrib_Territorial)</f>
      </c>
      <c r="CD293" s="70">
        <f>IF(B293="","",BM293-CA293-CB293-CC293)</f>
      </c>
      <c r="CE293" s="37">
        <f>IF(B293="","",MAX(0,CD293)*Imp_Utilidades)</f>
      </c>
      <c r="CF293" s="70">
        <f>IF(B293="","",CD293-CE293)</f>
      </c>
      <c r="CG293" s="72">
        <f>IF(B293="","",IF(Q293=0,0,CF293/Q293))</f>
      </c>
      <c r="CH293" s="73">
        <f>IF(B293="","",IF(J293=0,0,(BL293+CA293+CB293+CC293)/J293))</f>
      </c>
      <c r="CI293" s="73">
        <f>IF(B293="","",IF(J293=0,0,Q293/J293))</f>
      </c>
      <c r="CJ293" s="73">
        <f>IF(B293="","",IF(J293=0,0,CD293/J293))</f>
      </c>
      <c r="CK293" s="37">
        <f>IF(B293="","",Y293+AE293+BK293+BT293)</f>
      </c>
      <c r="CL293" s="37">
        <f>IF(B293="","",IF(J293=0,0,(M293+P293*G293/J293)*(1-Pct_Reclamaciones-Pct_Banco-Imp_Ventas_Serv-Contrib_Territorial)-AI293-BE293-BV293-CK293*G293/J293))</f>
      </c>
      <c r="CM293" s="37">
        <f>IF(B293="","",IF(J293=0,0,(N293+P293*H293/J293)*(1-Pct_Reclamaciones-Pct_Banco-Imp_Ventas_Serv-Contrib_Territorial)-AS293-BF293-BX293-CK293*H293/J293))</f>
      </c>
      <c r="CN293" s="37">
        <f>IF(B293="","",IF(J293=0,0,(O293+P293*I293/J293)*(1-Pct_Reclamaciones-Pct_Banco-Imp_Ventas_Serv-Contrib_Territorial)-BC293-BG293-BZ293-CK293*I293/J293))</f>
      </c>
      <c r="CO293" s="37">
        <f>IF(B293="","",IF(J293=0,0,ROUND(CD293-CL293-CM293-CN293,4)))</f>
      </c>
      <c r="CP293" s="71">
        <f>IF(B293="","",T293+AG293+AK293+AM293+AU293+AW293)</f>
      </c>
      <c r="CQ293" s="71">
        <f>IF(B293="","",U293+AH293+AL293+AN293+AV293+AX293)</f>
      </c>
      <c r="CR293" s="72">
        <f>IF(B293="","",IF(CP293=0,0,CQ293/CP293-1))</f>
      </c>
      <c r="CS293" s="60">
        <f>IF(B293="","",IF(ENTRADA!$Y293="","",ENTRADA!$Y293-C293))</f>
      </c>
      <c r="CT293" s="66">
        <f>IF(B293="","",IF(ENTRADA!$C293="","Falta fecha. ","")&amp;IF(BP293=0,"Mes fuera del rango de COSTOS_FIJOS. ","")&amp;IF(J293=0,"Sin kg. ","")&amp;IF(E293="","Falta transitaria. ","")&amp;IF(AND(T293&gt;0,U293/T293-1&gt;Tolerancia_Comb),"Combustible al puerto "&amp;TEXT(U293/T293-1,"+0%")&amp;" sobre norma. ","")&amp;IF(AND(AG293&gt;0,AH293/AG293-1&gt;Tolerancia_Comb),"Combustible distribución Occidente "&amp;TEXT(AH293/AG293-1,"+0%")&amp;" sobre norma. ","")&amp;IF(AND(AK293&gt;0,AL293/AK293-1&gt;Tolerancia_Comb),"Combustible traslado Centro "&amp;TEXT(AL293/AK293-1,"+0%")&amp;" sobre norma. ","")&amp;IF(AND(AM293&gt;0,AN293/AM293-1&gt;Tolerancia_Comb),"Combustible distribución Centro "&amp;TEXT(AN293/AM293-1,"+0%")&amp;" sobre norma. ","")&amp;IF(AND(AU293&gt;0,AV293/AU293-1&gt;Tolerancia_Comb),"Combustible traslado Oriente "&amp;TEXT(AV293/AU293-1,"+0%")&amp;" sobre norma. ","")&amp;IF(AND(AW293&gt;0,AX293/AW293-1&gt;Tolerancia_Comb),"Combustible distribución Oriente "&amp;TEXT(AX293/AW293-1,"+0%")&amp;" sobre norma. ","")&amp;IF(AND(ENTRADA!$C293&lt;&gt;"",C293&lt;PRECIOS!$A$6),"Fecha anterior a la 1ª vigencia de precios. ","")&amp;IF(CD293&lt;0,"Contenedor con pérdida. ",""))</f>
      </c>
    </row>
    <row r="294">
      <c r="A294" s="60">
        <f>IF(B294="","",ROW()-5)</f>
      </c>
      <c r="B294" s="63">
        <f>IF(ENTRADA!$B294="","",ENTRADA!$B294)</f>
      </c>
      <c r="C294" s="64">
        <f>IF(B294="","",ENTRADA!$C294)</f>
      </c>
      <c r="D294" s="65">
        <f>IF(B294="","",DATE(YEAR(C294),MONTH(C294),1))</f>
      </c>
      <c r="E294" s="66">
        <f>IF(B294="","",ENTRADA!$D294&amp;"")</f>
      </c>
      <c r="F294" s="66">
        <f>IF(B294="","",ENTRADA!$Z294&amp;"")</f>
      </c>
      <c r="G294" s="67">
        <f>IF(B294="","",N(ENTRADA!$G294))</f>
      </c>
      <c r="H294" s="67">
        <f>IF(B294="","",N(ENTRADA!$H294))</f>
      </c>
      <c r="I294" s="67">
        <f>IF(B294="","",N(ENTRADA!$I294))</f>
      </c>
      <c r="J294" s="68">
        <f>IF(B294="","",G294+H294+I294)</f>
      </c>
      <c r="K294" s="60">
        <f>IF(B294="","",IFERROR(MATCH(SUMPRODUCT(MAX((PRECIOS!$A$6:$A$55&lt;=C294)*PRECIOS!$A$6:$A$55)),PRECIOS!$A$6:$A$55,0),1))</f>
      </c>
      <c r="L294" s="69">
        <f>IF(B294="","",INDEX(PRECIOS!$A$6:$A$55,K294))</f>
      </c>
      <c r="M294" s="37">
        <f>IF(B294="","",G294*INDEX(PRECIOS!$B$6:$B$55,K294))</f>
      </c>
      <c r="N294" s="37">
        <f>IF(B294="","",H294*INDEX(PRECIOS!$C$6:$C$55,K294))</f>
      </c>
      <c r="O294" s="37">
        <f>IF(B294="","",I294*INDEX(PRECIOS!$D$6:$D$55,K294))</f>
      </c>
      <c r="P294" s="37">
        <f>IF(B294="","",N(ENTRADA!$X294))</f>
      </c>
      <c r="Q294" s="70">
        <f>IF(B294="","",M294+N294+O294+P294)</f>
      </c>
      <c r="R294" s="71">
        <f>IF(B294="","",IF(ENTRADA!$J294="",Std_Viajes_Puerto,ENTRADA!$J294))</f>
      </c>
      <c r="S294" s="37">
        <f>IF(B294="","",R294*INDEX(PRECIOS!$F$6:$F$55,K294))</f>
      </c>
      <c r="T294" s="71">
        <f>IF(B294="","",R294*Litros_Puerto_Viaje)</f>
      </c>
      <c r="U294" s="71">
        <f>IF(B294="","",IF(ENTRADA!$K294="",T294,ENTRADA!$K294))</f>
      </c>
      <c r="V294" s="37">
        <f>IF(B294="","",U294*INDEX(PRECIOS!$E$6:$E$55,K294))</f>
      </c>
      <c r="W294" s="37">
        <f>IF(B294="","",IF(ENTRADA!$L294="",R294*INDEX(PRECIOS!$G$6:$G$55,K294),ENTRADA!$L294))</f>
      </c>
      <c r="X294" s="37">
        <f>IF(B294="","",R294*Km_Puerto_Viaje*INDEX(PRECIOS!$N$6:$N$55,K294))</f>
      </c>
      <c r="Y294" s="70">
        <f>IF(B294="","",S294+V294+W294+X294)</f>
      </c>
      <c r="Z294" s="71">
        <f>IF(B294="","",IF(J294=0,0,ROUNDUP(J294/Rend_Desagrupe,0)))</f>
      </c>
      <c r="AA294" s="71">
        <f>IF(B294="","",IF(ENTRADA!$M294="",Z294,ENTRADA!$M294))</f>
      </c>
      <c r="AB294" s="37">
        <f>IF(B294="","",AA294*INDEX(PRECIOS!$H$6:$H$55,K294))</f>
      </c>
      <c r="AC294" s="37">
        <f>IF(B294="","",IF(E294="ENCI",INDEX(PRECIOS!$J$6:$J$55,K294),IF(E294="A.V",INDEX(PRECIOS!$K$6:$K$55,K294),0)))</f>
      </c>
      <c r="AD294" s="37">
        <f>IF(B294="","",N(ENTRADA!$N294))</f>
      </c>
      <c r="AE294" s="70">
        <f>IF(B294="","",AB294+AC294+AD294)</f>
      </c>
      <c r="AF294" s="71">
        <f>IF(B294="","",IF(G294=0,0,ROUNDUP(G294/Cap_Camion_OCC,0)))</f>
      </c>
      <c r="AG294" s="71">
        <f>IF(B294="","",AF294*L_Dist_OCC)</f>
      </c>
      <c r="AH294" s="71">
        <f>IF(B294="","",IF(ENTRADA!$O294="",AG294,ENTRADA!$O294))</f>
      </c>
      <c r="AI294" s="37">
        <f>IF(B294="","",AH294*INDEX(PRECIOS!$E$6:$E$55,K294))</f>
      </c>
      <c r="AJ294" s="71">
        <f>IF(B294="","",IF(H294=0,0,ROUNDUP(H294/Cap_Camion_CEN,0)))</f>
      </c>
      <c r="AK294" s="71">
        <f>IF(B294="","",AJ294*L_Tras_CEN)</f>
      </c>
      <c r="AL294" s="71">
        <f>IF(B294="","",IF(ENTRADA!$P294="",AK294,ENTRADA!$P294))</f>
      </c>
      <c r="AM294" s="71">
        <f>IF(B294="","",AJ294*L_Dist_CEN)</f>
      </c>
      <c r="AN294" s="71">
        <f>IF(B294="","",IF(ENTRADA!$Q294="",AM294,ENTRADA!$Q294))</f>
      </c>
      <c r="AO294" s="37">
        <f>IF(B294="","",(AL294+AN294)*INDEX(PRECIOS!$E$6:$E$55,K294))</f>
      </c>
      <c r="AP294" s="71">
        <f>IF(B294="","",IF(H294=0,0,ROUNDUP(H294/Rend_Desagrupe_CT,0)))</f>
      </c>
      <c r="AQ294" s="71">
        <f>IF(B294="","",IF(ENTRADA!$R294="",AP294,ENTRADA!$R294))</f>
      </c>
      <c r="AR294" s="37">
        <f>IF(B294="","",AQ294*INDEX(PRECIOS!$I$6:$I$55,K294))</f>
      </c>
      <c r="AS294" s="37">
        <f>IF(B294="","",AO294+AR294)</f>
      </c>
      <c r="AT294" s="71">
        <f>IF(B294="","",IF(I294=0,0,ROUNDUP(I294/Cap_Camion_ORI,0)))</f>
      </c>
      <c r="AU294" s="71">
        <f>IF(B294="","",AT294*L_Tras_ORI)</f>
      </c>
      <c r="AV294" s="71">
        <f>IF(B294="","",IF(ENTRADA!$S294="",AU294,ENTRADA!$S294))</f>
      </c>
      <c r="AW294" s="71">
        <f>IF(B294="","",AT294*L_Dist_ORI)</f>
      </c>
      <c r="AX294" s="71">
        <f>IF(B294="","",IF(ENTRADA!$T294="",AW294,ENTRADA!$T294))</f>
      </c>
      <c r="AY294" s="37">
        <f>IF(B294="","",(AV294+AX294)*INDEX(PRECIOS!$E$6:$E$55,K294))</f>
      </c>
      <c r="AZ294" s="71">
        <f>IF(B294="","",IF(I294=0,0,ROUNDUP(I294/Rend_Desagrupe_CT,0)))</f>
      </c>
      <c r="BA294" s="71">
        <f>IF(B294="","",IF(ENTRADA!$U294="",AZ294,ENTRADA!$U294))</f>
      </c>
      <c r="BB294" s="37">
        <f>IF(B294="","",BA294*INDEX(PRECIOS!$I$6:$I$55,K294))</f>
      </c>
      <c r="BC294" s="37">
        <f>IF(B294="","",AY294+BB294)</f>
      </c>
      <c r="BD294" s="70">
        <f>IF(B294="","",AI294+AS294+BC294)</f>
      </c>
      <c r="BE294" s="37">
        <f>IF(B294="","",IF(Base_Comision="% DEL INGRESO",M294*INDEX(PRECIOS!$L$6:$L$55,K294),G294*INDEX(PRECIOS!$M$6:$M$55,K294)))</f>
      </c>
      <c r="BF294" s="37">
        <f>IF(B294="","",IF(Base_Comision="% DEL INGRESO",N294*INDEX(PRECIOS!$L$6:$L$55,K294),H294*INDEX(PRECIOS!$M$6:$M$55,K294)))</f>
      </c>
      <c r="BG294" s="37">
        <f>IF(B294="","",IF(Base_Comision="% DEL INGRESO",O294*INDEX(PRECIOS!$L$6:$L$55,K294),I294*INDEX(PRECIOS!$M$6:$M$55,K294)))</f>
      </c>
      <c r="BH294" s="70">
        <f>IF(B294="","",BE294+BF294+BG294)</f>
      </c>
      <c r="BI294" s="37">
        <f>IF(B294="","",Q294*Pct_Reclamaciones)</f>
      </c>
      <c r="BJ294" s="37">
        <f>IF(B294="","",Q294*Pct_Banco)</f>
      </c>
      <c r="BK294" s="37">
        <f>IF(B294="","",N(ENTRADA!$V294))</f>
      </c>
      <c r="BL294" s="70">
        <f>IF(B294="","",Y294+AE294+BD294+BH294+BI294+BJ294+BK294)</f>
      </c>
      <c r="BM294" s="70">
        <f>IF(B294="","",Q294-BL294)</f>
      </c>
      <c r="BN294" s="72">
        <f>IF(B294="","",IF(Q294=0,0,BM294/Q294))</f>
      </c>
      <c r="BO294" s="73">
        <f>IF(B294="","",IF(J294=0,0,BM294/J294))</f>
      </c>
      <c r="BP294" s="60">
        <f>IF(B294="","",IFERROR(MATCH(D294,COSTOS_FIJOS!$G$5:$AD$5,0),0))</f>
      </c>
      <c r="BQ294" s="60">
        <f>IF(B294="","",COUNTIFS($D$6:$D$305,D294))</f>
      </c>
      <c r="BR294" s="67">
        <f>IF(B294="","",SUMIFS($J$6:$J$305,$D$6:$D$305,D294))</f>
      </c>
      <c r="BS294" s="72">
        <f>IF(B294="","",IF(Metodo_Prorrateo="KG",IF(BR294=0,0,J294/BR294),1/BQ294))</f>
      </c>
      <c r="BT294" s="37">
        <f>IF(B294="","",IF(BP294=0,0,INDEX(COSTOS_FIJOS!$G$38:$AD$38,BP294))*BS294)</f>
      </c>
      <c r="BU294" s="72">
        <f>IF(B294="","",IF(Metodo_Prorrateo="KG",IF(SUMIFS($G$6:$G$305,$D$6:$D$305,D294)=0,0,G294/SUMIFS($G$6:$G$305,$D$6:$D$305,D294)),IF(G294&gt;0,1/COUNTIFS($D$6:$D$305,D294,$G$6:$G$305,"&gt;0"),0)))</f>
      </c>
      <c r="BV294" s="37">
        <f>IF(B294="","",IF(BP294=0,0,INDEX(COSTOS_FIJOS!$G$39:$AD$39,BP294))*BU294)</f>
      </c>
      <c r="BW294" s="72">
        <f>IF(B294="","",IF(Metodo_Prorrateo="KG",IF(SUMIFS($H$6:$H$305,$D$6:$D$305,D294)=0,0,H294/SUMIFS($H$6:$H$305,$D$6:$D$305,D294)),IF(H294&gt;0,1/COUNTIFS($D$6:$D$305,D294,$H$6:$H$305,"&gt;0"),0)))</f>
      </c>
      <c r="BX294" s="37">
        <f>IF(B294="","",IF(BP294=0,0,INDEX(COSTOS_FIJOS!$G$40:$AD$40,BP294))*BW294)</f>
      </c>
      <c r="BY294" s="72">
        <f>IF(B294="","",IF(Metodo_Prorrateo="KG",IF(SUMIFS($I$6:$I$305,$D$6:$D$305,D294)=0,0,I294/SUMIFS($I$6:$I$305,$D$6:$D$305,D294)),IF(I294&gt;0,1/COUNTIFS($D$6:$D$305,D294,$I$6:$I$305,"&gt;0"),0)))</f>
      </c>
      <c r="BZ294" s="37">
        <f>IF(B294="","",IF(BP294=0,0,INDEX(COSTOS_FIJOS!$G$41:$AD$41,BP294))*BY294)</f>
      </c>
      <c r="CA294" s="70">
        <f>IF(B294="","",BT294+BV294+BX294+BZ294)</f>
      </c>
      <c r="CB294" s="37">
        <f>IF(B294="","",Q294*Imp_Ventas_Serv)</f>
      </c>
      <c r="CC294" s="37">
        <f>IF(B294="","",Q294*Contrib_Territorial)</f>
      </c>
      <c r="CD294" s="70">
        <f>IF(B294="","",BM294-CA294-CB294-CC294)</f>
      </c>
      <c r="CE294" s="37">
        <f>IF(B294="","",MAX(0,CD294)*Imp_Utilidades)</f>
      </c>
      <c r="CF294" s="70">
        <f>IF(B294="","",CD294-CE294)</f>
      </c>
      <c r="CG294" s="72">
        <f>IF(B294="","",IF(Q294=0,0,CF294/Q294))</f>
      </c>
      <c r="CH294" s="73">
        <f>IF(B294="","",IF(J294=0,0,(BL294+CA294+CB294+CC294)/J294))</f>
      </c>
      <c r="CI294" s="73">
        <f>IF(B294="","",IF(J294=0,0,Q294/J294))</f>
      </c>
      <c r="CJ294" s="73">
        <f>IF(B294="","",IF(J294=0,0,CD294/J294))</f>
      </c>
      <c r="CK294" s="37">
        <f>IF(B294="","",Y294+AE294+BK294+BT294)</f>
      </c>
      <c r="CL294" s="37">
        <f>IF(B294="","",IF(J294=0,0,(M294+P294*G294/J294)*(1-Pct_Reclamaciones-Pct_Banco-Imp_Ventas_Serv-Contrib_Territorial)-AI294-BE294-BV294-CK294*G294/J294))</f>
      </c>
      <c r="CM294" s="37">
        <f>IF(B294="","",IF(J294=0,0,(N294+P294*H294/J294)*(1-Pct_Reclamaciones-Pct_Banco-Imp_Ventas_Serv-Contrib_Territorial)-AS294-BF294-BX294-CK294*H294/J294))</f>
      </c>
      <c r="CN294" s="37">
        <f>IF(B294="","",IF(J294=0,0,(O294+P294*I294/J294)*(1-Pct_Reclamaciones-Pct_Banco-Imp_Ventas_Serv-Contrib_Territorial)-BC294-BG294-BZ294-CK294*I294/J294))</f>
      </c>
      <c r="CO294" s="37">
        <f>IF(B294="","",IF(J294=0,0,ROUND(CD294-CL294-CM294-CN294,4)))</f>
      </c>
      <c r="CP294" s="71">
        <f>IF(B294="","",T294+AG294+AK294+AM294+AU294+AW294)</f>
      </c>
      <c r="CQ294" s="71">
        <f>IF(B294="","",U294+AH294+AL294+AN294+AV294+AX294)</f>
      </c>
      <c r="CR294" s="72">
        <f>IF(B294="","",IF(CP294=0,0,CQ294/CP294-1))</f>
      </c>
      <c r="CS294" s="60">
        <f>IF(B294="","",IF(ENTRADA!$Y294="","",ENTRADA!$Y294-C294))</f>
      </c>
      <c r="CT294" s="66">
        <f>IF(B294="","",IF(ENTRADA!$C294="","Falta fecha. ","")&amp;IF(BP294=0,"Mes fuera del rango de COSTOS_FIJOS. ","")&amp;IF(J294=0,"Sin kg. ","")&amp;IF(E294="","Falta transitaria. ","")&amp;IF(AND(T294&gt;0,U294/T294-1&gt;Tolerancia_Comb),"Combustible al puerto "&amp;TEXT(U294/T294-1,"+0%")&amp;" sobre norma. ","")&amp;IF(AND(AG294&gt;0,AH294/AG294-1&gt;Tolerancia_Comb),"Combustible distribución Occidente "&amp;TEXT(AH294/AG294-1,"+0%")&amp;" sobre norma. ","")&amp;IF(AND(AK294&gt;0,AL294/AK294-1&gt;Tolerancia_Comb),"Combustible traslado Centro "&amp;TEXT(AL294/AK294-1,"+0%")&amp;" sobre norma. ","")&amp;IF(AND(AM294&gt;0,AN294/AM294-1&gt;Tolerancia_Comb),"Combustible distribución Centro "&amp;TEXT(AN294/AM294-1,"+0%")&amp;" sobre norma. ","")&amp;IF(AND(AU294&gt;0,AV294/AU294-1&gt;Tolerancia_Comb),"Combustible traslado Oriente "&amp;TEXT(AV294/AU294-1,"+0%")&amp;" sobre norma. ","")&amp;IF(AND(AW294&gt;0,AX294/AW294-1&gt;Tolerancia_Comb),"Combustible distribución Oriente "&amp;TEXT(AX294/AW294-1,"+0%")&amp;" sobre norma. ","")&amp;IF(AND(ENTRADA!$C294&lt;&gt;"",C294&lt;PRECIOS!$A$6),"Fecha anterior a la 1ª vigencia de precios. ","")&amp;IF(CD294&lt;0,"Contenedor con pérdida. ",""))</f>
      </c>
    </row>
    <row r="295">
      <c r="A295" s="60">
        <f>IF(B295="","",ROW()-5)</f>
      </c>
      <c r="B295" s="63">
        <f>IF(ENTRADA!$B295="","",ENTRADA!$B295)</f>
      </c>
      <c r="C295" s="64">
        <f>IF(B295="","",ENTRADA!$C295)</f>
      </c>
      <c r="D295" s="65">
        <f>IF(B295="","",DATE(YEAR(C295),MONTH(C295),1))</f>
      </c>
      <c r="E295" s="66">
        <f>IF(B295="","",ENTRADA!$D295&amp;"")</f>
      </c>
      <c r="F295" s="66">
        <f>IF(B295="","",ENTRADA!$Z295&amp;"")</f>
      </c>
      <c r="G295" s="67">
        <f>IF(B295="","",N(ENTRADA!$G295))</f>
      </c>
      <c r="H295" s="67">
        <f>IF(B295="","",N(ENTRADA!$H295))</f>
      </c>
      <c r="I295" s="67">
        <f>IF(B295="","",N(ENTRADA!$I295))</f>
      </c>
      <c r="J295" s="68">
        <f>IF(B295="","",G295+H295+I295)</f>
      </c>
      <c r="K295" s="60">
        <f>IF(B295="","",IFERROR(MATCH(SUMPRODUCT(MAX((PRECIOS!$A$6:$A$55&lt;=C295)*PRECIOS!$A$6:$A$55)),PRECIOS!$A$6:$A$55,0),1))</f>
      </c>
      <c r="L295" s="69">
        <f>IF(B295="","",INDEX(PRECIOS!$A$6:$A$55,K295))</f>
      </c>
      <c r="M295" s="37">
        <f>IF(B295="","",G295*INDEX(PRECIOS!$B$6:$B$55,K295))</f>
      </c>
      <c r="N295" s="37">
        <f>IF(B295="","",H295*INDEX(PRECIOS!$C$6:$C$55,K295))</f>
      </c>
      <c r="O295" s="37">
        <f>IF(B295="","",I295*INDEX(PRECIOS!$D$6:$D$55,K295))</f>
      </c>
      <c r="P295" s="37">
        <f>IF(B295="","",N(ENTRADA!$X295))</f>
      </c>
      <c r="Q295" s="70">
        <f>IF(B295="","",M295+N295+O295+P295)</f>
      </c>
      <c r="R295" s="71">
        <f>IF(B295="","",IF(ENTRADA!$J295="",Std_Viajes_Puerto,ENTRADA!$J295))</f>
      </c>
      <c r="S295" s="37">
        <f>IF(B295="","",R295*INDEX(PRECIOS!$F$6:$F$55,K295))</f>
      </c>
      <c r="T295" s="71">
        <f>IF(B295="","",R295*Litros_Puerto_Viaje)</f>
      </c>
      <c r="U295" s="71">
        <f>IF(B295="","",IF(ENTRADA!$K295="",T295,ENTRADA!$K295))</f>
      </c>
      <c r="V295" s="37">
        <f>IF(B295="","",U295*INDEX(PRECIOS!$E$6:$E$55,K295))</f>
      </c>
      <c r="W295" s="37">
        <f>IF(B295="","",IF(ENTRADA!$L295="",R295*INDEX(PRECIOS!$G$6:$G$55,K295),ENTRADA!$L295))</f>
      </c>
      <c r="X295" s="37">
        <f>IF(B295="","",R295*Km_Puerto_Viaje*INDEX(PRECIOS!$N$6:$N$55,K295))</f>
      </c>
      <c r="Y295" s="70">
        <f>IF(B295="","",S295+V295+W295+X295)</f>
      </c>
      <c r="Z295" s="71">
        <f>IF(B295="","",IF(J295=0,0,ROUNDUP(J295/Rend_Desagrupe,0)))</f>
      </c>
      <c r="AA295" s="71">
        <f>IF(B295="","",IF(ENTRADA!$M295="",Z295,ENTRADA!$M295))</f>
      </c>
      <c r="AB295" s="37">
        <f>IF(B295="","",AA295*INDEX(PRECIOS!$H$6:$H$55,K295))</f>
      </c>
      <c r="AC295" s="37">
        <f>IF(B295="","",IF(E295="ENCI",INDEX(PRECIOS!$J$6:$J$55,K295),IF(E295="A.V",INDEX(PRECIOS!$K$6:$K$55,K295),0)))</f>
      </c>
      <c r="AD295" s="37">
        <f>IF(B295="","",N(ENTRADA!$N295))</f>
      </c>
      <c r="AE295" s="70">
        <f>IF(B295="","",AB295+AC295+AD295)</f>
      </c>
      <c r="AF295" s="71">
        <f>IF(B295="","",IF(G295=0,0,ROUNDUP(G295/Cap_Camion_OCC,0)))</f>
      </c>
      <c r="AG295" s="71">
        <f>IF(B295="","",AF295*L_Dist_OCC)</f>
      </c>
      <c r="AH295" s="71">
        <f>IF(B295="","",IF(ENTRADA!$O295="",AG295,ENTRADA!$O295))</f>
      </c>
      <c r="AI295" s="37">
        <f>IF(B295="","",AH295*INDEX(PRECIOS!$E$6:$E$55,K295))</f>
      </c>
      <c r="AJ295" s="71">
        <f>IF(B295="","",IF(H295=0,0,ROUNDUP(H295/Cap_Camion_CEN,0)))</f>
      </c>
      <c r="AK295" s="71">
        <f>IF(B295="","",AJ295*L_Tras_CEN)</f>
      </c>
      <c r="AL295" s="71">
        <f>IF(B295="","",IF(ENTRADA!$P295="",AK295,ENTRADA!$P295))</f>
      </c>
      <c r="AM295" s="71">
        <f>IF(B295="","",AJ295*L_Dist_CEN)</f>
      </c>
      <c r="AN295" s="71">
        <f>IF(B295="","",IF(ENTRADA!$Q295="",AM295,ENTRADA!$Q295))</f>
      </c>
      <c r="AO295" s="37">
        <f>IF(B295="","",(AL295+AN295)*INDEX(PRECIOS!$E$6:$E$55,K295))</f>
      </c>
      <c r="AP295" s="71">
        <f>IF(B295="","",IF(H295=0,0,ROUNDUP(H295/Rend_Desagrupe_CT,0)))</f>
      </c>
      <c r="AQ295" s="71">
        <f>IF(B295="","",IF(ENTRADA!$R295="",AP295,ENTRADA!$R295))</f>
      </c>
      <c r="AR295" s="37">
        <f>IF(B295="","",AQ295*INDEX(PRECIOS!$I$6:$I$55,K295))</f>
      </c>
      <c r="AS295" s="37">
        <f>IF(B295="","",AO295+AR295)</f>
      </c>
      <c r="AT295" s="71">
        <f>IF(B295="","",IF(I295=0,0,ROUNDUP(I295/Cap_Camion_ORI,0)))</f>
      </c>
      <c r="AU295" s="71">
        <f>IF(B295="","",AT295*L_Tras_ORI)</f>
      </c>
      <c r="AV295" s="71">
        <f>IF(B295="","",IF(ENTRADA!$S295="",AU295,ENTRADA!$S295))</f>
      </c>
      <c r="AW295" s="71">
        <f>IF(B295="","",AT295*L_Dist_ORI)</f>
      </c>
      <c r="AX295" s="71">
        <f>IF(B295="","",IF(ENTRADA!$T295="",AW295,ENTRADA!$T295))</f>
      </c>
      <c r="AY295" s="37">
        <f>IF(B295="","",(AV295+AX295)*INDEX(PRECIOS!$E$6:$E$55,K295))</f>
      </c>
      <c r="AZ295" s="71">
        <f>IF(B295="","",IF(I295=0,0,ROUNDUP(I295/Rend_Desagrupe_CT,0)))</f>
      </c>
      <c r="BA295" s="71">
        <f>IF(B295="","",IF(ENTRADA!$U295="",AZ295,ENTRADA!$U295))</f>
      </c>
      <c r="BB295" s="37">
        <f>IF(B295="","",BA295*INDEX(PRECIOS!$I$6:$I$55,K295))</f>
      </c>
      <c r="BC295" s="37">
        <f>IF(B295="","",AY295+BB295)</f>
      </c>
      <c r="BD295" s="70">
        <f>IF(B295="","",AI295+AS295+BC295)</f>
      </c>
      <c r="BE295" s="37">
        <f>IF(B295="","",IF(Base_Comision="% DEL INGRESO",M295*INDEX(PRECIOS!$L$6:$L$55,K295),G295*INDEX(PRECIOS!$M$6:$M$55,K295)))</f>
      </c>
      <c r="BF295" s="37">
        <f>IF(B295="","",IF(Base_Comision="% DEL INGRESO",N295*INDEX(PRECIOS!$L$6:$L$55,K295),H295*INDEX(PRECIOS!$M$6:$M$55,K295)))</f>
      </c>
      <c r="BG295" s="37">
        <f>IF(B295="","",IF(Base_Comision="% DEL INGRESO",O295*INDEX(PRECIOS!$L$6:$L$55,K295),I295*INDEX(PRECIOS!$M$6:$M$55,K295)))</f>
      </c>
      <c r="BH295" s="70">
        <f>IF(B295="","",BE295+BF295+BG295)</f>
      </c>
      <c r="BI295" s="37">
        <f>IF(B295="","",Q295*Pct_Reclamaciones)</f>
      </c>
      <c r="BJ295" s="37">
        <f>IF(B295="","",Q295*Pct_Banco)</f>
      </c>
      <c r="BK295" s="37">
        <f>IF(B295="","",N(ENTRADA!$V295))</f>
      </c>
      <c r="BL295" s="70">
        <f>IF(B295="","",Y295+AE295+BD295+BH295+BI295+BJ295+BK295)</f>
      </c>
      <c r="BM295" s="70">
        <f>IF(B295="","",Q295-BL295)</f>
      </c>
      <c r="BN295" s="72">
        <f>IF(B295="","",IF(Q295=0,0,BM295/Q295))</f>
      </c>
      <c r="BO295" s="73">
        <f>IF(B295="","",IF(J295=0,0,BM295/J295))</f>
      </c>
      <c r="BP295" s="60">
        <f>IF(B295="","",IFERROR(MATCH(D295,COSTOS_FIJOS!$G$5:$AD$5,0),0))</f>
      </c>
      <c r="BQ295" s="60">
        <f>IF(B295="","",COUNTIFS($D$6:$D$305,D295))</f>
      </c>
      <c r="BR295" s="67">
        <f>IF(B295="","",SUMIFS($J$6:$J$305,$D$6:$D$305,D295))</f>
      </c>
      <c r="BS295" s="72">
        <f>IF(B295="","",IF(Metodo_Prorrateo="KG",IF(BR295=0,0,J295/BR295),1/BQ295))</f>
      </c>
      <c r="BT295" s="37">
        <f>IF(B295="","",IF(BP295=0,0,INDEX(COSTOS_FIJOS!$G$38:$AD$38,BP295))*BS295)</f>
      </c>
      <c r="BU295" s="72">
        <f>IF(B295="","",IF(Metodo_Prorrateo="KG",IF(SUMIFS($G$6:$G$305,$D$6:$D$305,D295)=0,0,G295/SUMIFS($G$6:$G$305,$D$6:$D$305,D295)),IF(G295&gt;0,1/COUNTIFS($D$6:$D$305,D295,$G$6:$G$305,"&gt;0"),0)))</f>
      </c>
      <c r="BV295" s="37">
        <f>IF(B295="","",IF(BP295=0,0,INDEX(COSTOS_FIJOS!$G$39:$AD$39,BP295))*BU295)</f>
      </c>
      <c r="BW295" s="72">
        <f>IF(B295="","",IF(Metodo_Prorrateo="KG",IF(SUMIFS($H$6:$H$305,$D$6:$D$305,D295)=0,0,H295/SUMIFS($H$6:$H$305,$D$6:$D$305,D295)),IF(H295&gt;0,1/COUNTIFS($D$6:$D$305,D295,$H$6:$H$305,"&gt;0"),0)))</f>
      </c>
      <c r="BX295" s="37">
        <f>IF(B295="","",IF(BP295=0,0,INDEX(COSTOS_FIJOS!$G$40:$AD$40,BP295))*BW295)</f>
      </c>
      <c r="BY295" s="72">
        <f>IF(B295="","",IF(Metodo_Prorrateo="KG",IF(SUMIFS($I$6:$I$305,$D$6:$D$305,D295)=0,0,I295/SUMIFS($I$6:$I$305,$D$6:$D$305,D295)),IF(I295&gt;0,1/COUNTIFS($D$6:$D$305,D295,$I$6:$I$305,"&gt;0"),0)))</f>
      </c>
      <c r="BZ295" s="37">
        <f>IF(B295="","",IF(BP295=0,0,INDEX(COSTOS_FIJOS!$G$41:$AD$41,BP295))*BY295)</f>
      </c>
      <c r="CA295" s="70">
        <f>IF(B295="","",BT295+BV295+BX295+BZ295)</f>
      </c>
      <c r="CB295" s="37">
        <f>IF(B295="","",Q295*Imp_Ventas_Serv)</f>
      </c>
      <c r="CC295" s="37">
        <f>IF(B295="","",Q295*Contrib_Territorial)</f>
      </c>
      <c r="CD295" s="70">
        <f>IF(B295="","",BM295-CA295-CB295-CC295)</f>
      </c>
      <c r="CE295" s="37">
        <f>IF(B295="","",MAX(0,CD295)*Imp_Utilidades)</f>
      </c>
      <c r="CF295" s="70">
        <f>IF(B295="","",CD295-CE295)</f>
      </c>
      <c r="CG295" s="72">
        <f>IF(B295="","",IF(Q295=0,0,CF295/Q295))</f>
      </c>
      <c r="CH295" s="73">
        <f>IF(B295="","",IF(J295=0,0,(BL295+CA295+CB295+CC295)/J295))</f>
      </c>
      <c r="CI295" s="73">
        <f>IF(B295="","",IF(J295=0,0,Q295/J295))</f>
      </c>
      <c r="CJ295" s="73">
        <f>IF(B295="","",IF(J295=0,0,CD295/J295))</f>
      </c>
      <c r="CK295" s="37">
        <f>IF(B295="","",Y295+AE295+BK295+BT295)</f>
      </c>
      <c r="CL295" s="37">
        <f>IF(B295="","",IF(J295=0,0,(M295+P295*G295/J295)*(1-Pct_Reclamaciones-Pct_Banco-Imp_Ventas_Serv-Contrib_Territorial)-AI295-BE295-BV295-CK295*G295/J295))</f>
      </c>
      <c r="CM295" s="37">
        <f>IF(B295="","",IF(J295=0,0,(N295+P295*H295/J295)*(1-Pct_Reclamaciones-Pct_Banco-Imp_Ventas_Serv-Contrib_Territorial)-AS295-BF295-BX295-CK295*H295/J295))</f>
      </c>
      <c r="CN295" s="37">
        <f>IF(B295="","",IF(J295=0,0,(O295+P295*I295/J295)*(1-Pct_Reclamaciones-Pct_Banco-Imp_Ventas_Serv-Contrib_Territorial)-BC295-BG295-BZ295-CK295*I295/J295))</f>
      </c>
      <c r="CO295" s="37">
        <f>IF(B295="","",IF(J295=0,0,ROUND(CD295-CL295-CM295-CN295,4)))</f>
      </c>
      <c r="CP295" s="71">
        <f>IF(B295="","",T295+AG295+AK295+AM295+AU295+AW295)</f>
      </c>
      <c r="CQ295" s="71">
        <f>IF(B295="","",U295+AH295+AL295+AN295+AV295+AX295)</f>
      </c>
      <c r="CR295" s="72">
        <f>IF(B295="","",IF(CP295=0,0,CQ295/CP295-1))</f>
      </c>
      <c r="CS295" s="60">
        <f>IF(B295="","",IF(ENTRADA!$Y295="","",ENTRADA!$Y295-C295))</f>
      </c>
      <c r="CT295" s="66">
        <f>IF(B295="","",IF(ENTRADA!$C295="","Falta fecha. ","")&amp;IF(BP295=0,"Mes fuera del rango de COSTOS_FIJOS. ","")&amp;IF(J295=0,"Sin kg. ","")&amp;IF(E295="","Falta transitaria. ","")&amp;IF(AND(T295&gt;0,U295/T295-1&gt;Tolerancia_Comb),"Combustible al puerto "&amp;TEXT(U295/T295-1,"+0%")&amp;" sobre norma. ","")&amp;IF(AND(AG295&gt;0,AH295/AG295-1&gt;Tolerancia_Comb),"Combustible distribución Occidente "&amp;TEXT(AH295/AG295-1,"+0%")&amp;" sobre norma. ","")&amp;IF(AND(AK295&gt;0,AL295/AK295-1&gt;Tolerancia_Comb),"Combustible traslado Centro "&amp;TEXT(AL295/AK295-1,"+0%")&amp;" sobre norma. ","")&amp;IF(AND(AM295&gt;0,AN295/AM295-1&gt;Tolerancia_Comb),"Combustible distribución Centro "&amp;TEXT(AN295/AM295-1,"+0%")&amp;" sobre norma. ","")&amp;IF(AND(AU295&gt;0,AV295/AU295-1&gt;Tolerancia_Comb),"Combustible traslado Oriente "&amp;TEXT(AV295/AU295-1,"+0%")&amp;" sobre norma. ","")&amp;IF(AND(AW295&gt;0,AX295/AW295-1&gt;Tolerancia_Comb),"Combustible distribución Oriente "&amp;TEXT(AX295/AW295-1,"+0%")&amp;" sobre norma. ","")&amp;IF(AND(ENTRADA!$C295&lt;&gt;"",C295&lt;PRECIOS!$A$6),"Fecha anterior a la 1ª vigencia de precios. ","")&amp;IF(CD295&lt;0,"Contenedor con pérdida. ",""))</f>
      </c>
    </row>
    <row r="296">
      <c r="A296" s="60">
        <f>IF(B296="","",ROW()-5)</f>
      </c>
      <c r="B296" s="63">
        <f>IF(ENTRADA!$B296="","",ENTRADA!$B296)</f>
      </c>
      <c r="C296" s="64">
        <f>IF(B296="","",ENTRADA!$C296)</f>
      </c>
      <c r="D296" s="65">
        <f>IF(B296="","",DATE(YEAR(C296),MONTH(C296),1))</f>
      </c>
      <c r="E296" s="66">
        <f>IF(B296="","",ENTRADA!$D296&amp;"")</f>
      </c>
      <c r="F296" s="66">
        <f>IF(B296="","",ENTRADA!$Z296&amp;"")</f>
      </c>
      <c r="G296" s="67">
        <f>IF(B296="","",N(ENTRADA!$G296))</f>
      </c>
      <c r="H296" s="67">
        <f>IF(B296="","",N(ENTRADA!$H296))</f>
      </c>
      <c r="I296" s="67">
        <f>IF(B296="","",N(ENTRADA!$I296))</f>
      </c>
      <c r="J296" s="68">
        <f>IF(B296="","",G296+H296+I296)</f>
      </c>
      <c r="K296" s="60">
        <f>IF(B296="","",IFERROR(MATCH(SUMPRODUCT(MAX((PRECIOS!$A$6:$A$55&lt;=C296)*PRECIOS!$A$6:$A$55)),PRECIOS!$A$6:$A$55,0),1))</f>
      </c>
      <c r="L296" s="69">
        <f>IF(B296="","",INDEX(PRECIOS!$A$6:$A$55,K296))</f>
      </c>
      <c r="M296" s="37">
        <f>IF(B296="","",G296*INDEX(PRECIOS!$B$6:$B$55,K296))</f>
      </c>
      <c r="N296" s="37">
        <f>IF(B296="","",H296*INDEX(PRECIOS!$C$6:$C$55,K296))</f>
      </c>
      <c r="O296" s="37">
        <f>IF(B296="","",I296*INDEX(PRECIOS!$D$6:$D$55,K296))</f>
      </c>
      <c r="P296" s="37">
        <f>IF(B296="","",N(ENTRADA!$X296))</f>
      </c>
      <c r="Q296" s="70">
        <f>IF(B296="","",M296+N296+O296+P296)</f>
      </c>
      <c r="R296" s="71">
        <f>IF(B296="","",IF(ENTRADA!$J296="",Std_Viajes_Puerto,ENTRADA!$J296))</f>
      </c>
      <c r="S296" s="37">
        <f>IF(B296="","",R296*INDEX(PRECIOS!$F$6:$F$55,K296))</f>
      </c>
      <c r="T296" s="71">
        <f>IF(B296="","",R296*Litros_Puerto_Viaje)</f>
      </c>
      <c r="U296" s="71">
        <f>IF(B296="","",IF(ENTRADA!$K296="",T296,ENTRADA!$K296))</f>
      </c>
      <c r="V296" s="37">
        <f>IF(B296="","",U296*INDEX(PRECIOS!$E$6:$E$55,K296))</f>
      </c>
      <c r="W296" s="37">
        <f>IF(B296="","",IF(ENTRADA!$L296="",R296*INDEX(PRECIOS!$G$6:$G$55,K296),ENTRADA!$L296))</f>
      </c>
      <c r="X296" s="37">
        <f>IF(B296="","",R296*Km_Puerto_Viaje*INDEX(PRECIOS!$N$6:$N$55,K296))</f>
      </c>
      <c r="Y296" s="70">
        <f>IF(B296="","",S296+V296+W296+X296)</f>
      </c>
      <c r="Z296" s="71">
        <f>IF(B296="","",IF(J296=0,0,ROUNDUP(J296/Rend_Desagrupe,0)))</f>
      </c>
      <c r="AA296" s="71">
        <f>IF(B296="","",IF(ENTRADA!$M296="",Z296,ENTRADA!$M296))</f>
      </c>
      <c r="AB296" s="37">
        <f>IF(B296="","",AA296*INDEX(PRECIOS!$H$6:$H$55,K296))</f>
      </c>
      <c r="AC296" s="37">
        <f>IF(B296="","",IF(E296="ENCI",INDEX(PRECIOS!$J$6:$J$55,K296),IF(E296="A.V",INDEX(PRECIOS!$K$6:$K$55,K296),0)))</f>
      </c>
      <c r="AD296" s="37">
        <f>IF(B296="","",N(ENTRADA!$N296))</f>
      </c>
      <c r="AE296" s="70">
        <f>IF(B296="","",AB296+AC296+AD296)</f>
      </c>
      <c r="AF296" s="71">
        <f>IF(B296="","",IF(G296=0,0,ROUNDUP(G296/Cap_Camion_OCC,0)))</f>
      </c>
      <c r="AG296" s="71">
        <f>IF(B296="","",AF296*L_Dist_OCC)</f>
      </c>
      <c r="AH296" s="71">
        <f>IF(B296="","",IF(ENTRADA!$O296="",AG296,ENTRADA!$O296))</f>
      </c>
      <c r="AI296" s="37">
        <f>IF(B296="","",AH296*INDEX(PRECIOS!$E$6:$E$55,K296))</f>
      </c>
      <c r="AJ296" s="71">
        <f>IF(B296="","",IF(H296=0,0,ROUNDUP(H296/Cap_Camion_CEN,0)))</f>
      </c>
      <c r="AK296" s="71">
        <f>IF(B296="","",AJ296*L_Tras_CEN)</f>
      </c>
      <c r="AL296" s="71">
        <f>IF(B296="","",IF(ENTRADA!$P296="",AK296,ENTRADA!$P296))</f>
      </c>
      <c r="AM296" s="71">
        <f>IF(B296="","",AJ296*L_Dist_CEN)</f>
      </c>
      <c r="AN296" s="71">
        <f>IF(B296="","",IF(ENTRADA!$Q296="",AM296,ENTRADA!$Q296))</f>
      </c>
      <c r="AO296" s="37">
        <f>IF(B296="","",(AL296+AN296)*INDEX(PRECIOS!$E$6:$E$55,K296))</f>
      </c>
      <c r="AP296" s="71">
        <f>IF(B296="","",IF(H296=0,0,ROUNDUP(H296/Rend_Desagrupe_CT,0)))</f>
      </c>
      <c r="AQ296" s="71">
        <f>IF(B296="","",IF(ENTRADA!$R296="",AP296,ENTRADA!$R296))</f>
      </c>
      <c r="AR296" s="37">
        <f>IF(B296="","",AQ296*INDEX(PRECIOS!$I$6:$I$55,K296))</f>
      </c>
      <c r="AS296" s="37">
        <f>IF(B296="","",AO296+AR296)</f>
      </c>
      <c r="AT296" s="71">
        <f>IF(B296="","",IF(I296=0,0,ROUNDUP(I296/Cap_Camion_ORI,0)))</f>
      </c>
      <c r="AU296" s="71">
        <f>IF(B296="","",AT296*L_Tras_ORI)</f>
      </c>
      <c r="AV296" s="71">
        <f>IF(B296="","",IF(ENTRADA!$S296="",AU296,ENTRADA!$S296))</f>
      </c>
      <c r="AW296" s="71">
        <f>IF(B296="","",AT296*L_Dist_ORI)</f>
      </c>
      <c r="AX296" s="71">
        <f>IF(B296="","",IF(ENTRADA!$T296="",AW296,ENTRADA!$T296))</f>
      </c>
      <c r="AY296" s="37">
        <f>IF(B296="","",(AV296+AX296)*INDEX(PRECIOS!$E$6:$E$55,K296))</f>
      </c>
      <c r="AZ296" s="71">
        <f>IF(B296="","",IF(I296=0,0,ROUNDUP(I296/Rend_Desagrupe_CT,0)))</f>
      </c>
      <c r="BA296" s="71">
        <f>IF(B296="","",IF(ENTRADA!$U296="",AZ296,ENTRADA!$U296))</f>
      </c>
      <c r="BB296" s="37">
        <f>IF(B296="","",BA296*INDEX(PRECIOS!$I$6:$I$55,K296))</f>
      </c>
      <c r="BC296" s="37">
        <f>IF(B296="","",AY296+BB296)</f>
      </c>
      <c r="BD296" s="70">
        <f>IF(B296="","",AI296+AS296+BC296)</f>
      </c>
      <c r="BE296" s="37">
        <f>IF(B296="","",IF(Base_Comision="% DEL INGRESO",M296*INDEX(PRECIOS!$L$6:$L$55,K296),G296*INDEX(PRECIOS!$M$6:$M$55,K296)))</f>
      </c>
      <c r="BF296" s="37">
        <f>IF(B296="","",IF(Base_Comision="% DEL INGRESO",N296*INDEX(PRECIOS!$L$6:$L$55,K296),H296*INDEX(PRECIOS!$M$6:$M$55,K296)))</f>
      </c>
      <c r="BG296" s="37">
        <f>IF(B296="","",IF(Base_Comision="% DEL INGRESO",O296*INDEX(PRECIOS!$L$6:$L$55,K296),I296*INDEX(PRECIOS!$M$6:$M$55,K296)))</f>
      </c>
      <c r="BH296" s="70">
        <f>IF(B296="","",BE296+BF296+BG296)</f>
      </c>
      <c r="BI296" s="37">
        <f>IF(B296="","",Q296*Pct_Reclamaciones)</f>
      </c>
      <c r="BJ296" s="37">
        <f>IF(B296="","",Q296*Pct_Banco)</f>
      </c>
      <c r="BK296" s="37">
        <f>IF(B296="","",N(ENTRADA!$V296))</f>
      </c>
      <c r="BL296" s="70">
        <f>IF(B296="","",Y296+AE296+BD296+BH296+BI296+BJ296+BK296)</f>
      </c>
      <c r="BM296" s="70">
        <f>IF(B296="","",Q296-BL296)</f>
      </c>
      <c r="BN296" s="72">
        <f>IF(B296="","",IF(Q296=0,0,BM296/Q296))</f>
      </c>
      <c r="BO296" s="73">
        <f>IF(B296="","",IF(J296=0,0,BM296/J296))</f>
      </c>
      <c r="BP296" s="60">
        <f>IF(B296="","",IFERROR(MATCH(D296,COSTOS_FIJOS!$G$5:$AD$5,0),0))</f>
      </c>
      <c r="BQ296" s="60">
        <f>IF(B296="","",COUNTIFS($D$6:$D$305,D296))</f>
      </c>
      <c r="BR296" s="67">
        <f>IF(B296="","",SUMIFS($J$6:$J$305,$D$6:$D$305,D296))</f>
      </c>
      <c r="BS296" s="72">
        <f>IF(B296="","",IF(Metodo_Prorrateo="KG",IF(BR296=0,0,J296/BR296),1/BQ296))</f>
      </c>
      <c r="BT296" s="37">
        <f>IF(B296="","",IF(BP296=0,0,INDEX(COSTOS_FIJOS!$G$38:$AD$38,BP296))*BS296)</f>
      </c>
      <c r="BU296" s="72">
        <f>IF(B296="","",IF(Metodo_Prorrateo="KG",IF(SUMIFS($G$6:$G$305,$D$6:$D$305,D296)=0,0,G296/SUMIFS($G$6:$G$305,$D$6:$D$305,D296)),IF(G296&gt;0,1/COUNTIFS($D$6:$D$305,D296,$G$6:$G$305,"&gt;0"),0)))</f>
      </c>
      <c r="BV296" s="37">
        <f>IF(B296="","",IF(BP296=0,0,INDEX(COSTOS_FIJOS!$G$39:$AD$39,BP296))*BU296)</f>
      </c>
      <c r="BW296" s="72">
        <f>IF(B296="","",IF(Metodo_Prorrateo="KG",IF(SUMIFS($H$6:$H$305,$D$6:$D$305,D296)=0,0,H296/SUMIFS($H$6:$H$305,$D$6:$D$305,D296)),IF(H296&gt;0,1/COUNTIFS($D$6:$D$305,D296,$H$6:$H$305,"&gt;0"),0)))</f>
      </c>
      <c r="BX296" s="37">
        <f>IF(B296="","",IF(BP296=0,0,INDEX(COSTOS_FIJOS!$G$40:$AD$40,BP296))*BW296)</f>
      </c>
      <c r="BY296" s="72">
        <f>IF(B296="","",IF(Metodo_Prorrateo="KG",IF(SUMIFS($I$6:$I$305,$D$6:$D$305,D296)=0,0,I296/SUMIFS($I$6:$I$305,$D$6:$D$305,D296)),IF(I296&gt;0,1/COUNTIFS($D$6:$D$305,D296,$I$6:$I$305,"&gt;0"),0)))</f>
      </c>
      <c r="BZ296" s="37">
        <f>IF(B296="","",IF(BP296=0,0,INDEX(COSTOS_FIJOS!$G$41:$AD$41,BP296))*BY296)</f>
      </c>
      <c r="CA296" s="70">
        <f>IF(B296="","",BT296+BV296+BX296+BZ296)</f>
      </c>
      <c r="CB296" s="37">
        <f>IF(B296="","",Q296*Imp_Ventas_Serv)</f>
      </c>
      <c r="CC296" s="37">
        <f>IF(B296="","",Q296*Contrib_Territorial)</f>
      </c>
      <c r="CD296" s="70">
        <f>IF(B296="","",BM296-CA296-CB296-CC296)</f>
      </c>
      <c r="CE296" s="37">
        <f>IF(B296="","",MAX(0,CD296)*Imp_Utilidades)</f>
      </c>
      <c r="CF296" s="70">
        <f>IF(B296="","",CD296-CE296)</f>
      </c>
      <c r="CG296" s="72">
        <f>IF(B296="","",IF(Q296=0,0,CF296/Q296))</f>
      </c>
      <c r="CH296" s="73">
        <f>IF(B296="","",IF(J296=0,0,(BL296+CA296+CB296+CC296)/J296))</f>
      </c>
      <c r="CI296" s="73">
        <f>IF(B296="","",IF(J296=0,0,Q296/J296))</f>
      </c>
      <c r="CJ296" s="73">
        <f>IF(B296="","",IF(J296=0,0,CD296/J296))</f>
      </c>
      <c r="CK296" s="37">
        <f>IF(B296="","",Y296+AE296+BK296+BT296)</f>
      </c>
      <c r="CL296" s="37">
        <f>IF(B296="","",IF(J296=0,0,(M296+P296*G296/J296)*(1-Pct_Reclamaciones-Pct_Banco-Imp_Ventas_Serv-Contrib_Territorial)-AI296-BE296-BV296-CK296*G296/J296))</f>
      </c>
      <c r="CM296" s="37">
        <f>IF(B296="","",IF(J296=0,0,(N296+P296*H296/J296)*(1-Pct_Reclamaciones-Pct_Banco-Imp_Ventas_Serv-Contrib_Territorial)-AS296-BF296-BX296-CK296*H296/J296))</f>
      </c>
      <c r="CN296" s="37">
        <f>IF(B296="","",IF(J296=0,0,(O296+P296*I296/J296)*(1-Pct_Reclamaciones-Pct_Banco-Imp_Ventas_Serv-Contrib_Territorial)-BC296-BG296-BZ296-CK296*I296/J296))</f>
      </c>
      <c r="CO296" s="37">
        <f>IF(B296="","",IF(J296=0,0,ROUND(CD296-CL296-CM296-CN296,4)))</f>
      </c>
      <c r="CP296" s="71">
        <f>IF(B296="","",T296+AG296+AK296+AM296+AU296+AW296)</f>
      </c>
      <c r="CQ296" s="71">
        <f>IF(B296="","",U296+AH296+AL296+AN296+AV296+AX296)</f>
      </c>
      <c r="CR296" s="72">
        <f>IF(B296="","",IF(CP296=0,0,CQ296/CP296-1))</f>
      </c>
      <c r="CS296" s="60">
        <f>IF(B296="","",IF(ENTRADA!$Y296="","",ENTRADA!$Y296-C296))</f>
      </c>
      <c r="CT296" s="66">
        <f>IF(B296="","",IF(ENTRADA!$C296="","Falta fecha. ","")&amp;IF(BP296=0,"Mes fuera del rango de COSTOS_FIJOS. ","")&amp;IF(J296=0,"Sin kg. ","")&amp;IF(E296="","Falta transitaria. ","")&amp;IF(AND(T296&gt;0,U296/T296-1&gt;Tolerancia_Comb),"Combustible al puerto "&amp;TEXT(U296/T296-1,"+0%")&amp;" sobre norma. ","")&amp;IF(AND(AG296&gt;0,AH296/AG296-1&gt;Tolerancia_Comb),"Combustible distribución Occidente "&amp;TEXT(AH296/AG296-1,"+0%")&amp;" sobre norma. ","")&amp;IF(AND(AK296&gt;0,AL296/AK296-1&gt;Tolerancia_Comb),"Combustible traslado Centro "&amp;TEXT(AL296/AK296-1,"+0%")&amp;" sobre norma. ","")&amp;IF(AND(AM296&gt;0,AN296/AM296-1&gt;Tolerancia_Comb),"Combustible distribución Centro "&amp;TEXT(AN296/AM296-1,"+0%")&amp;" sobre norma. ","")&amp;IF(AND(AU296&gt;0,AV296/AU296-1&gt;Tolerancia_Comb),"Combustible traslado Oriente "&amp;TEXT(AV296/AU296-1,"+0%")&amp;" sobre norma. ","")&amp;IF(AND(AW296&gt;0,AX296/AW296-1&gt;Tolerancia_Comb),"Combustible distribución Oriente "&amp;TEXT(AX296/AW296-1,"+0%")&amp;" sobre norma. ","")&amp;IF(AND(ENTRADA!$C296&lt;&gt;"",C296&lt;PRECIOS!$A$6),"Fecha anterior a la 1ª vigencia de precios. ","")&amp;IF(CD296&lt;0,"Contenedor con pérdida. ",""))</f>
      </c>
    </row>
    <row r="297">
      <c r="A297" s="60">
        <f>IF(B297="","",ROW()-5)</f>
      </c>
      <c r="B297" s="63">
        <f>IF(ENTRADA!$B297="","",ENTRADA!$B297)</f>
      </c>
      <c r="C297" s="64">
        <f>IF(B297="","",ENTRADA!$C297)</f>
      </c>
      <c r="D297" s="65">
        <f>IF(B297="","",DATE(YEAR(C297),MONTH(C297),1))</f>
      </c>
      <c r="E297" s="66">
        <f>IF(B297="","",ENTRADA!$D297&amp;"")</f>
      </c>
      <c r="F297" s="66">
        <f>IF(B297="","",ENTRADA!$Z297&amp;"")</f>
      </c>
      <c r="G297" s="67">
        <f>IF(B297="","",N(ENTRADA!$G297))</f>
      </c>
      <c r="H297" s="67">
        <f>IF(B297="","",N(ENTRADA!$H297))</f>
      </c>
      <c r="I297" s="67">
        <f>IF(B297="","",N(ENTRADA!$I297))</f>
      </c>
      <c r="J297" s="68">
        <f>IF(B297="","",G297+H297+I297)</f>
      </c>
      <c r="K297" s="60">
        <f>IF(B297="","",IFERROR(MATCH(SUMPRODUCT(MAX((PRECIOS!$A$6:$A$55&lt;=C297)*PRECIOS!$A$6:$A$55)),PRECIOS!$A$6:$A$55,0),1))</f>
      </c>
      <c r="L297" s="69">
        <f>IF(B297="","",INDEX(PRECIOS!$A$6:$A$55,K297))</f>
      </c>
      <c r="M297" s="37">
        <f>IF(B297="","",G297*INDEX(PRECIOS!$B$6:$B$55,K297))</f>
      </c>
      <c r="N297" s="37">
        <f>IF(B297="","",H297*INDEX(PRECIOS!$C$6:$C$55,K297))</f>
      </c>
      <c r="O297" s="37">
        <f>IF(B297="","",I297*INDEX(PRECIOS!$D$6:$D$55,K297))</f>
      </c>
      <c r="P297" s="37">
        <f>IF(B297="","",N(ENTRADA!$X297))</f>
      </c>
      <c r="Q297" s="70">
        <f>IF(B297="","",M297+N297+O297+P297)</f>
      </c>
      <c r="R297" s="71">
        <f>IF(B297="","",IF(ENTRADA!$J297="",Std_Viajes_Puerto,ENTRADA!$J297))</f>
      </c>
      <c r="S297" s="37">
        <f>IF(B297="","",R297*INDEX(PRECIOS!$F$6:$F$55,K297))</f>
      </c>
      <c r="T297" s="71">
        <f>IF(B297="","",R297*Litros_Puerto_Viaje)</f>
      </c>
      <c r="U297" s="71">
        <f>IF(B297="","",IF(ENTRADA!$K297="",T297,ENTRADA!$K297))</f>
      </c>
      <c r="V297" s="37">
        <f>IF(B297="","",U297*INDEX(PRECIOS!$E$6:$E$55,K297))</f>
      </c>
      <c r="W297" s="37">
        <f>IF(B297="","",IF(ENTRADA!$L297="",R297*INDEX(PRECIOS!$G$6:$G$55,K297),ENTRADA!$L297))</f>
      </c>
      <c r="X297" s="37">
        <f>IF(B297="","",R297*Km_Puerto_Viaje*INDEX(PRECIOS!$N$6:$N$55,K297))</f>
      </c>
      <c r="Y297" s="70">
        <f>IF(B297="","",S297+V297+W297+X297)</f>
      </c>
      <c r="Z297" s="71">
        <f>IF(B297="","",IF(J297=0,0,ROUNDUP(J297/Rend_Desagrupe,0)))</f>
      </c>
      <c r="AA297" s="71">
        <f>IF(B297="","",IF(ENTRADA!$M297="",Z297,ENTRADA!$M297))</f>
      </c>
      <c r="AB297" s="37">
        <f>IF(B297="","",AA297*INDEX(PRECIOS!$H$6:$H$55,K297))</f>
      </c>
      <c r="AC297" s="37">
        <f>IF(B297="","",IF(E297="ENCI",INDEX(PRECIOS!$J$6:$J$55,K297),IF(E297="A.V",INDEX(PRECIOS!$K$6:$K$55,K297),0)))</f>
      </c>
      <c r="AD297" s="37">
        <f>IF(B297="","",N(ENTRADA!$N297))</f>
      </c>
      <c r="AE297" s="70">
        <f>IF(B297="","",AB297+AC297+AD297)</f>
      </c>
      <c r="AF297" s="71">
        <f>IF(B297="","",IF(G297=0,0,ROUNDUP(G297/Cap_Camion_OCC,0)))</f>
      </c>
      <c r="AG297" s="71">
        <f>IF(B297="","",AF297*L_Dist_OCC)</f>
      </c>
      <c r="AH297" s="71">
        <f>IF(B297="","",IF(ENTRADA!$O297="",AG297,ENTRADA!$O297))</f>
      </c>
      <c r="AI297" s="37">
        <f>IF(B297="","",AH297*INDEX(PRECIOS!$E$6:$E$55,K297))</f>
      </c>
      <c r="AJ297" s="71">
        <f>IF(B297="","",IF(H297=0,0,ROUNDUP(H297/Cap_Camion_CEN,0)))</f>
      </c>
      <c r="AK297" s="71">
        <f>IF(B297="","",AJ297*L_Tras_CEN)</f>
      </c>
      <c r="AL297" s="71">
        <f>IF(B297="","",IF(ENTRADA!$P297="",AK297,ENTRADA!$P297))</f>
      </c>
      <c r="AM297" s="71">
        <f>IF(B297="","",AJ297*L_Dist_CEN)</f>
      </c>
      <c r="AN297" s="71">
        <f>IF(B297="","",IF(ENTRADA!$Q297="",AM297,ENTRADA!$Q297))</f>
      </c>
      <c r="AO297" s="37">
        <f>IF(B297="","",(AL297+AN297)*INDEX(PRECIOS!$E$6:$E$55,K297))</f>
      </c>
      <c r="AP297" s="71">
        <f>IF(B297="","",IF(H297=0,0,ROUNDUP(H297/Rend_Desagrupe_CT,0)))</f>
      </c>
      <c r="AQ297" s="71">
        <f>IF(B297="","",IF(ENTRADA!$R297="",AP297,ENTRADA!$R297))</f>
      </c>
      <c r="AR297" s="37">
        <f>IF(B297="","",AQ297*INDEX(PRECIOS!$I$6:$I$55,K297))</f>
      </c>
      <c r="AS297" s="37">
        <f>IF(B297="","",AO297+AR297)</f>
      </c>
      <c r="AT297" s="71">
        <f>IF(B297="","",IF(I297=0,0,ROUNDUP(I297/Cap_Camion_ORI,0)))</f>
      </c>
      <c r="AU297" s="71">
        <f>IF(B297="","",AT297*L_Tras_ORI)</f>
      </c>
      <c r="AV297" s="71">
        <f>IF(B297="","",IF(ENTRADA!$S297="",AU297,ENTRADA!$S297))</f>
      </c>
      <c r="AW297" s="71">
        <f>IF(B297="","",AT297*L_Dist_ORI)</f>
      </c>
      <c r="AX297" s="71">
        <f>IF(B297="","",IF(ENTRADA!$T297="",AW297,ENTRADA!$T297))</f>
      </c>
      <c r="AY297" s="37">
        <f>IF(B297="","",(AV297+AX297)*INDEX(PRECIOS!$E$6:$E$55,K297))</f>
      </c>
      <c r="AZ297" s="71">
        <f>IF(B297="","",IF(I297=0,0,ROUNDUP(I297/Rend_Desagrupe_CT,0)))</f>
      </c>
      <c r="BA297" s="71">
        <f>IF(B297="","",IF(ENTRADA!$U297="",AZ297,ENTRADA!$U297))</f>
      </c>
      <c r="BB297" s="37">
        <f>IF(B297="","",BA297*INDEX(PRECIOS!$I$6:$I$55,K297))</f>
      </c>
      <c r="BC297" s="37">
        <f>IF(B297="","",AY297+BB297)</f>
      </c>
      <c r="BD297" s="70">
        <f>IF(B297="","",AI297+AS297+BC297)</f>
      </c>
      <c r="BE297" s="37">
        <f>IF(B297="","",IF(Base_Comision="% DEL INGRESO",M297*INDEX(PRECIOS!$L$6:$L$55,K297),G297*INDEX(PRECIOS!$M$6:$M$55,K297)))</f>
      </c>
      <c r="BF297" s="37">
        <f>IF(B297="","",IF(Base_Comision="% DEL INGRESO",N297*INDEX(PRECIOS!$L$6:$L$55,K297),H297*INDEX(PRECIOS!$M$6:$M$55,K297)))</f>
      </c>
      <c r="BG297" s="37">
        <f>IF(B297="","",IF(Base_Comision="% DEL INGRESO",O297*INDEX(PRECIOS!$L$6:$L$55,K297),I297*INDEX(PRECIOS!$M$6:$M$55,K297)))</f>
      </c>
      <c r="BH297" s="70">
        <f>IF(B297="","",BE297+BF297+BG297)</f>
      </c>
      <c r="BI297" s="37">
        <f>IF(B297="","",Q297*Pct_Reclamaciones)</f>
      </c>
      <c r="BJ297" s="37">
        <f>IF(B297="","",Q297*Pct_Banco)</f>
      </c>
      <c r="BK297" s="37">
        <f>IF(B297="","",N(ENTRADA!$V297))</f>
      </c>
      <c r="BL297" s="70">
        <f>IF(B297="","",Y297+AE297+BD297+BH297+BI297+BJ297+BK297)</f>
      </c>
      <c r="BM297" s="70">
        <f>IF(B297="","",Q297-BL297)</f>
      </c>
      <c r="BN297" s="72">
        <f>IF(B297="","",IF(Q297=0,0,BM297/Q297))</f>
      </c>
      <c r="BO297" s="73">
        <f>IF(B297="","",IF(J297=0,0,BM297/J297))</f>
      </c>
      <c r="BP297" s="60">
        <f>IF(B297="","",IFERROR(MATCH(D297,COSTOS_FIJOS!$G$5:$AD$5,0),0))</f>
      </c>
      <c r="BQ297" s="60">
        <f>IF(B297="","",COUNTIFS($D$6:$D$305,D297))</f>
      </c>
      <c r="BR297" s="67">
        <f>IF(B297="","",SUMIFS($J$6:$J$305,$D$6:$D$305,D297))</f>
      </c>
      <c r="BS297" s="72">
        <f>IF(B297="","",IF(Metodo_Prorrateo="KG",IF(BR297=0,0,J297/BR297),1/BQ297))</f>
      </c>
      <c r="BT297" s="37">
        <f>IF(B297="","",IF(BP297=0,0,INDEX(COSTOS_FIJOS!$G$38:$AD$38,BP297))*BS297)</f>
      </c>
      <c r="BU297" s="72">
        <f>IF(B297="","",IF(Metodo_Prorrateo="KG",IF(SUMIFS($G$6:$G$305,$D$6:$D$305,D297)=0,0,G297/SUMIFS($G$6:$G$305,$D$6:$D$305,D297)),IF(G297&gt;0,1/COUNTIFS($D$6:$D$305,D297,$G$6:$G$305,"&gt;0"),0)))</f>
      </c>
      <c r="BV297" s="37">
        <f>IF(B297="","",IF(BP297=0,0,INDEX(COSTOS_FIJOS!$G$39:$AD$39,BP297))*BU297)</f>
      </c>
      <c r="BW297" s="72">
        <f>IF(B297="","",IF(Metodo_Prorrateo="KG",IF(SUMIFS($H$6:$H$305,$D$6:$D$305,D297)=0,0,H297/SUMIFS($H$6:$H$305,$D$6:$D$305,D297)),IF(H297&gt;0,1/COUNTIFS($D$6:$D$305,D297,$H$6:$H$305,"&gt;0"),0)))</f>
      </c>
      <c r="BX297" s="37">
        <f>IF(B297="","",IF(BP297=0,0,INDEX(COSTOS_FIJOS!$G$40:$AD$40,BP297))*BW297)</f>
      </c>
      <c r="BY297" s="72">
        <f>IF(B297="","",IF(Metodo_Prorrateo="KG",IF(SUMIFS($I$6:$I$305,$D$6:$D$305,D297)=0,0,I297/SUMIFS($I$6:$I$305,$D$6:$D$305,D297)),IF(I297&gt;0,1/COUNTIFS($D$6:$D$305,D297,$I$6:$I$305,"&gt;0"),0)))</f>
      </c>
      <c r="BZ297" s="37">
        <f>IF(B297="","",IF(BP297=0,0,INDEX(COSTOS_FIJOS!$G$41:$AD$41,BP297))*BY297)</f>
      </c>
      <c r="CA297" s="70">
        <f>IF(B297="","",BT297+BV297+BX297+BZ297)</f>
      </c>
      <c r="CB297" s="37">
        <f>IF(B297="","",Q297*Imp_Ventas_Serv)</f>
      </c>
      <c r="CC297" s="37">
        <f>IF(B297="","",Q297*Contrib_Territorial)</f>
      </c>
      <c r="CD297" s="70">
        <f>IF(B297="","",BM297-CA297-CB297-CC297)</f>
      </c>
      <c r="CE297" s="37">
        <f>IF(B297="","",MAX(0,CD297)*Imp_Utilidades)</f>
      </c>
      <c r="CF297" s="70">
        <f>IF(B297="","",CD297-CE297)</f>
      </c>
      <c r="CG297" s="72">
        <f>IF(B297="","",IF(Q297=0,0,CF297/Q297))</f>
      </c>
      <c r="CH297" s="73">
        <f>IF(B297="","",IF(J297=0,0,(BL297+CA297+CB297+CC297)/J297))</f>
      </c>
      <c r="CI297" s="73">
        <f>IF(B297="","",IF(J297=0,0,Q297/J297))</f>
      </c>
      <c r="CJ297" s="73">
        <f>IF(B297="","",IF(J297=0,0,CD297/J297))</f>
      </c>
      <c r="CK297" s="37">
        <f>IF(B297="","",Y297+AE297+BK297+BT297)</f>
      </c>
      <c r="CL297" s="37">
        <f>IF(B297="","",IF(J297=0,0,(M297+P297*G297/J297)*(1-Pct_Reclamaciones-Pct_Banco-Imp_Ventas_Serv-Contrib_Territorial)-AI297-BE297-BV297-CK297*G297/J297))</f>
      </c>
      <c r="CM297" s="37">
        <f>IF(B297="","",IF(J297=0,0,(N297+P297*H297/J297)*(1-Pct_Reclamaciones-Pct_Banco-Imp_Ventas_Serv-Contrib_Territorial)-AS297-BF297-BX297-CK297*H297/J297))</f>
      </c>
      <c r="CN297" s="37">
        <f>IF(B297="","",IF(J297=0,0,(O297+P297*I297/J297)*(1-Pct_Reclamaciones-Pct_Banco-Imp_Ventas_Serv-Contrib_Territorial)-BC297-BG297-BZ297-CK297*I297/J297))</f>
      </c>
      <c r="CO297" s="37">
        <f>IF(B297="","",IF(J297=0,0,ROUND(CD297-CL297-CM297-CN297,4)))</f>
      </c>
      <c r="CP297" s="71">
        <f>IF(B297="","",T297+AG297+AK297+AM297+AU297+AW297)</f>
      </c>
      <c r="CQ297" s="71">
        <f>IF(B297="","",U297+AH297+AL297+AN297+AV297+AX297)</f>
      </c>
      <c r="CR297" s="72">
        <f>IF(B297="","",IF(CP297=0,0,CQ297/CP297-1))</f>
      </c>
      <c r="CS297" s="60">
        <f>IF(B297="","",IF(ENTRADA!$Y297="","",ENTRADA!$Y297-C297))</f>
      </c>
      <c r="CT297" s="66">
        <f>IF(B297="","",IF(ENTRADA!$C297="","Falta fecha. ","")&amp;IF(BP297=0,"Mes fuera del rango de COSTOS_FIJOS. ","")&amp;IF(J297=0,"Sin kg. ","")&amp;IF(E297="","Falta transitaria. ","")&amp;IF(AND(T297&gt;0,U297/T297-1&gt;Tolerancia_Comb),"Combustible al puerto "&amp;TEXT(U297/T297-1,"+0%")&amp;" sobre norma. ","")&amp;IF(AND(AG297&gt;0,AH297/AG297-1&gt;Tolerancia_Comb),"Combustible distribución Occidente "&amp;TEXT(AH297/AG297-1,"+0%")&amp;" sobre norma. ","")&amp;IF(AND(AK297&gt;0,AL297/AK297-1&gt;Tolerancia_Comb),"Combustible traslado Centro "&amp;TEXT(AL297/AK297-1,"+0%")&amp;" sobre norma. ","")&amp;IF(AND(AM297&gt;0,AN297/AM297-1&gt;Tolerancia_Comb),"Combustible distribución Centro "&amp;TEXT(AN297/AM297-1,"+0%")&amp;" sobre norma. ","")&amp;IF(AND(AU297&gt;0,AV297/AU297-1&gt;Tolerancia_Comb),"Combustible traslado Oriente "&amp;TEXT(AV297/AU297-1,"+0%")&amp;" sobre norma. ","")&amp;IF(AND(AW297&gt;0,AX297/AW297-1&gt;Tolerancia_Comb),"Combustible distribución Oriente "&amp;TEXT(AX297/AW297-1,"+0%")&amp;" sobre norma. ","")&amp;IF(AND(ENTRADA!$C297&lt;&gt;"",C297&lt;PRECIOS!$A$6),"Fecha anterior a la 1ª vigencia de precios. ","")&amp;IF(CD297&lt;0,"Contenedor con pérdida. ",""))</f>
      </c>
    </row>
    <row r="298">
      <c r="A298" s="60">
        <f>IF(B298="","",ROW()-5)</f>
      </c>
      <c r="B298" s="63">
        <f>IF(ENTRADA!$B298="","",ENTRADA!$B298)</f>
      </c>
      <c r="C298" s="64">
        <f>IF(B298="","",ENTRADA!$C298)</f>
      </c>
      <c r="D298" s="65">
        <f>IF(B298="","",DATE(YEAR(C298),MONTH(C298),1))</f>
      </c>
      <c r="E298" s="66">
        <f>IF(B298="","",ENTRADA!$D298&amp;"")</f>
      </c>
      <c r="F298" s="66">
        <f>IF(B298="","",ENTRADA!$Z298&amp;"")</f>
      </c>
      <c r="G298" s="67">
        <f>IF(B298="","",N(ENTRADA!$G298))</f>
      </c>
      <c r="H298" s="67">
        <f>IF(B298="","",N(ENTRADA!$H298))</f>
      </c>
      <c r="I298" s="67">
        <f>IF(B298="","",N(ENTRADA!$I298))</f>
      </c>
      <c r="J298" s="68">
        <f>IF(B298="","",G298+H298+I298)</f>
      </c>
      <c r="K298" s="60">
        <f>IF(B298="","",IFERROR(MATCH(SUMPRODUCT(MAX((PRECIOS!$A$6:$A$55&lt;=C298)*PRECIOS!$A$6:$A$55)),PRECIOS!$A$6:$A$55,0),1))</f>
      </c>
      <c r="L298" s="69">
        <f>IF(B298="","",INDEX(PRECIOS!$A$6:$A$55,K298))</f>
      </c>
      <c r="M298" s="37">
        <f>IF(B298="","",G298*INDEX(PRECIOS!$B$6:$B$55,K298))</f>
      </c>
      <c r="N298" s="37">
        <f>IF(B298="","",H298*INDEX(PRECIOS!$C$6:$C$55,K298))</f>
      </c>
      <c r="O298" s="37">
        <f>IF(B298="","",I298*INDEX(PRECIOS!$D$6:$D$55,K298))</f>
      </c>
      <c r="P298" s="37">
        <f>IF(B298="","",N(ENTRADA!$X298))</f>
      </c>
      <c r="Q298" s="70">
        <f>IF(B298="","",M298+N298+O298+P298)</f>
      </c>
      <c r="R298" s="71">
        <f>IF(B298="","",IF(ENTRADA!$J298="",Std_Viajes_Puerto,ENTRADA!$J298))</f>
      </c>
      <c r="S298" s="37">
        <f>IF(B298="","",R298*INDEX(PRECIOS!$F$6:$F$55,K298))</f>
      </c>
      <c r="T298" s="71">
        <f>IF(B298="","",R298*Litros_Puerto_Viaje)</f>
      </c>
      <c r="U298" s="71">
        <f>IF(B298="","",IF(ENTRADA!$K298="",T298,ENTRADA!$K298))</f>
      </c>
      <c r="V298" s="37">
        <f>IF(B298="","",U298*INDEX(PRECIOS!$E$6:$E$55,K298))</f>
      </c>
      <c r="W298" s="37">
        <f>IF(B298="","",IF(ENTRADA!$L298="",R298*INDEX(PRECIOS!$G$6:$G$55,K298),ENTRADA!$L298))</f>
      </c>
      <c r="X298" s="37">
        <f>IF(B298="","",R298*Km_Puerto_Viaje*INDEX(PRECIOS!$N$6:$N$55,K298))</f>
      </c>
      <c r="Y298" s="70">
        <f>IF(B298="","",S298+V298+W298+X298)</f>
      </c>
      <c r="Z298" s="71">
        <f>IF(B298="","",IF(J298=0,0,ROUNDUP(J298/Rend_Desagrupe,0)))</f>
      </c>
      <c r="AA298" s="71">
        <f>IF(B298="","",IF(ENTRADA!$M298="",Z298,ENTRADA!$M298))</f>
      </c>
      <c r="AB298" s="37">
        <f>IF(B298="","",AA298*INDEX(PRECIOS!$H$6:$H$55,K298))</f>
      </c>
      <c r="AC298" s="37">
        <f>IF(B298="","",IF(E298="ENCI",INDEX(PRECIOS!$J$6:$J$55,K298),IF(E298="A.V",INDEX(PRECIOS!$K$6:$K$55,K298),0)))</f>
      </c>
      <c r="AD298" s="37">
        <f>IF(B298="","",N(ENTRADA!$N298))</f>
      </c>
      <c r="AE298" s="70">
        <f>IF(B298="","",AB298+AC298+AD298)</f>
      </c>
      <c r="AF298" s="71">
        <f>IF(B298="","",IF(G298=0,0,ROUNDUP(G298/Cap_Camion_OCC,0)))</f>
      </c>
      <c r="AG298" s="71">
        <f>IF(B298="","",AF298*L_Dist_OCC)</f>
      </c>
      <c r="AH298" s="71">
        <f>IF(B298="","",IF(ENTRADA!$O298="",AG298,ENTRADA!$O298))</f>
      </c>
      <c r="AI298" s="37">
        <f>IF(B298="","",AH298*INDEX(PRECIOS!$E$6:$E$55,K298))</f>
      </c>
      <c r="AJ298" s="71">
        <f>IF(B298="","",IF(H298=0,0,ROUNDUP(H298/Cap_Camion_CEN,0)))</f>
      </c>
      <c r="AK298" s="71">
        <f>IF(B298="","",AJ298*L_Tras_CEN)</f>
      </c>
      <c r="AL298" s="71">
        <f>IF(B298="","",IF(ENTRADA!$P298="",AK298,ENTRADA!$P298))</f>
      </c>
      <c r="AM298" s="71">
        <f>IF(B298="","",AJ298*L_Dist_CEN)</f>
      </c>
      <c r="AN298" s="71">
        <f>IF(B298="","",IF(ENTRADA!$Q298="",AM298,ENTRADA!$Q298))</f>
      </c>
      <c r="AO298" s="37">
        <f>IF(B298="","",(AL298+AN298)*INDEX(PRECIOS!$E$6:$E$55,K298))</f>
      </c>
      <c r="AP298" s="71">
        <f>IF(B298="","",IF(H298=0,0,ROUNDUP(H298/Rend_Desagrupe_CT,0)))</f>
      </c>
      <c r="AQ298" s="71">
        <f>IF(B298="","",IF(ENTRADA!$R298="",AP298,ENTRADA!$R298))</f>
      </c>
      <c r="AR298" s="37">
        <f>IF(B298="","",AQ298*INDEX(PRECIOS!$I$6:$I$55,K298))</f>
      </c>
      <c r="AS298" s="37">
        <f>IF(B298="","",AO298+AR298)</f>
      </c>
      <c r="AT298" s="71">
        <f>IF(B298="","",IF(I298=0,0,ROUNDUP(I298/Cap_Camion_ORI,0)))</f>
      </c>
      <c r="AU298" s="71">
        <f>IF(B298="","",AT298*L_Tras_ORI)</f>
      </c>
      <c r="AV298" s="71">
        <f>IF(B298="","",IF(ENTRADA!$S298="",AU298,ENTRADA!$S298))</f>
      </c>
      <c r="AW298" s="71">
        <f>IF(B298="","",AT298*L_Dist_ORI)</f>
      </c>
      <c r="AX298" s="71">
        <f>IF(B298="","",IF(ENTRADA!$T298="",AW298,ENTRADA!$T298))</f>
      </c>
      <c r="AY298" s="37">
        <f>IF(B298="","",(AV298+AX298)*INDEX(PRECIOS!$E$6:$E$55,K298))</f>
      </c>
      <c r="AZ298" s="71">
        <f>IF(B298="","",IF(I298=0,0,ROUNDUP(I298/Rend_Desagrupe_CT,0)))</f>
      </c>
      <c r="BA298" s="71">
        <f>IF(B298="","",IF(ENTRADA!$U298="",AZ298,ENTRADA!$U298))</f>
      </c>
      <c r="BB298" s="37">
        <f>IF(B298="","",BA298*INDEX(PRECIOS!$I$6:$I$55,K298))</f>
      </c>
      <c r="BC298" s="37">
        <f>IF(B298="","",AY298+BB298)</f>
      </c>
      <c r="BD298" s="70">
        <f>IF(B298="","",AI298+AS298+BC298)</f>
      </c>
      <c r="BE298" s="37">
        <f>IF(B298="","",IF(Base_Comision="% DEL INGRESO",M298*INDEX(PRECIOS!$L$6:$L$55,K298),G298*INDEX(PRECIOS!$M$6:$M$55,K298)))</f>
      </c>
      <c r="BF298" s="37">
        <f>IF(B298="","",IF(Base_Comision="% DEL INGRESO",N298*INDEX(PRECIOS!$L$6:$L$55,K298),H298*INDEX(PRECIOS!$M$6:$M$55,K298)))</f>
      </c>
      <c r="BG298" s="37">
        <f>IF(B298="","",IF(Base_Comision="% DEL INGRESO",O298*INDEX(PRECIOS!$L$6:$L$55,K298),I298*INDEX(PRECIOS!$M$6:$M$55,K298)))</f>
      </c>
      <c r="BH298" s="70">
        <f>IF(B298="","",BE298+BF298+BG298)</f>
      </c>
      <c r="BI298" s="37">
        <f>IF(B298="","",Q298*Pct_Reclamaciones)</f>
      </c>
      <c r="BJ298" s="37">
        <f>IF(B298="","",Q298*Pct_Banco)</f>
      </c>
      <c r="BK298" s="37">
        <f>IF(B298="","",N(ENTRADA!$V298))</f>
      </c>
      <c r="BL298" s="70">
        <f>IF(B298="","",Y298+AE298+BD298+BH298+BI298+BJ298+BK298)</f>
      </c>
      <c r="BM298" s="70">
        <f>IF(B298="","",Q298-BL298)</f>
      </c>
      <c r="BN298" s="72">
        <f>IF(B298="","",IF(Q298=0,0,BM298/Q298))</f>
      </c>
      <c r="BO298" s="73">
        <f>IF(B298="","",IF(J298=0,0,BM298/J298))</f>
      </c>
      <c r="BP298" s="60">
        <f>IF(B298="","",IFERROR(MATCH(D298,COSTOS_FIJOS!$G$5:$AD$5,0),0))</f>
      </c>
      <c r="BQ298" s="60">
        <f>IF(B298="","",COUNTIFS($D$6:$D$305,D298))</f>
      </c>
      <c r="BR298" s="67">
        <f>IF(B298="","",SUMIFS($J$6:$J$305,$D$6:$D$305,D298))</f>
      </c>
      <c r="BS298" s="72">
        <f>IF(B298="","",IF(Metodo_Prorrateo="KG",IF(BR298=0,0,J298/BR298),1/BQ298))</f>
      </c>
      <c r="BT298" s="37">
        <f>IF(B298="","",IF(BP298=0,0,INDEX(COSTOS_FIJOS!$G$38:$AD$38,BP298))*BS298)</f>
      </c>
      <c r="BU298" s="72">
        <f>IF(B298="","",IF(Metodo_Prorrateo="KG",IF(SUMIFS($G$6:$G$305,$D$6:$D$305,D298)=0,0,G298/SUMIFS($G$6:$G$305,$D$6:$D$305,D298)),IF(G298&gt;0,1/COUNTIFS($D$6:$D$305,D298,$G$6:$G$305,"&gt;0"),0)))</f>
      </c>
      <c r="BV298" s="37">
        <f>IF(B298="","",IF(BP298=0,0,INDEX(COSTOS_FIJOS!$G$39:$AD$39,BP298))*BU298)</f>
      </c>
      <c r="BW298" s="72">
        <f>IF(B298="","",IF(Metodo_Prorrateo="KG",IF(SUMIFS($H$6:$H$305,$D$6:$D$305,D298)=0,0,H298/SUMIFS($H$6:$H$305,$D$6:$D$305,D298)),IF(H298&gt;0,1/COUNTIFS($D$6:$D$305,D298,$H$6:$H$305,"&gt;0"),0)))</f>
      </c>
      <c r="BX298" s="37">
        <f>IF(B298="","",IF(BP298=0,0,INDEX(COSTOS_FIJOS!$G$40:$AD$40,BP298))*BW298)</f>
      </c>
      <c r="BY298" s="72">
        <f>IF(B298="","",IF(Metodo_Prorrateo="KG",IF(SUMIFS($I$6:$I$305,$D$6:$D$305,D298)=0,0,I298/SUMIFS($I$6:$I$305,$D$6:$D$305,D298)),IF(I298&gt;0,1/COUNTIFS($D$6:$D$305,D298,$I$6:$I$305,"&gt;0"),0)))</f>
      </c>
      <c r="BZ298" s="37">
        <f>IF(B298="","",IF(BP298=0,0,INDEX(COSTOS_FIJOS!$G$41:$AD$41,BP298))*BY298)</f>
      </c>
      <c r="CA298" s="70">
        <f>IF(B298="","",BT298+BV298+BX298+BZ298)</f>
      </c>
      <c r="CB298" s="37">
        <f>IF(B298="","",Q298*Imp_Ventas_Serv)</f>
      </c>
      <c r="CC298" s="37">
        <f>IF(B298="","",Q298*Contrib_Territorial)</f>
      </c>
      <c r="CD298" s="70">
        <f>IF(B298="","",BM298-CA298-CB298-CC298)</f>
      </c>
      <c r="CE298" s="37">
        <f>IF(B298="","",MAX(0,CD298)*Imp_Utilidades)</f>
      </c>
      <c r="CF298" s="70">
        <f>IF(B298="","",CD298-CE298)</f>
      </c>
      <c r="CG298" s="72">
        <f>IF(B298="","",IF(Q298=0,0,CF298/Q298))</f>
      </c>
      <c r="CH298" s="73">
        <f>IF(B298="","",IF(J298=0,0,(BL298+CA298+CB298+CC298)/J298))</f>
      </c>
      <c r="CI298" s="73">
        <f>IF(B298="","",IF(J298=0,0,Q298/J298))</f>
      </c>
      <c r="CJ298" s="73">
        <f>IF(B298="","",IF(J298=0,0,CD298/J298))</f>
      </c>
      <c r="CK298" s="37">
        <f>IF(B298="","",Y298+AE298+BK298+BT298)</f>
      </c>
      <c r="CL298" s="37">
        <f>IF(B298="","",IF(J298=0,0,(M298+P298*G298/J298)*(1-Pct_Reclamaciones-Pct_Banco-Imp_Ventas_Serv-Contrib_Territorial)-AI298-BE298-BV298-CK298*G298/J298))</f>
      </c>
      <c r="CM298" s="37">
        <f>IF(B298="","",IF(J298=0,0,(N298+P298*H298/J298)*(1-Pct_Reclamaciones-Pct_Banco-Imp_Ventas_Serv-Contrib_Territorial)-AS298-BF298-BX298-CK298*H298/J298))</f>
      </c>
      <c r="CN298" s="37">
        <f>IF(B298="","",IF(J298=0,0,(O298+P298*I298/J298)*(1-Pct_Reclamaciones-Pct_Banco-Imp_Ventas_Serv-Contrib_Territorial)-BC298-BG298-BZ298-CK298*I298/J298))</f>
      </c>
      <c r="CO298" s="37">
        <f>IF(B298="","",IF(J298=0,0,ROUND(CD298-CL298-CM298-CN298,4)))</f>
      </c>
      <c r="CP298" s="71">
        <f>IF(B298="","",T298+AG298+AK298+AM298+AU298+AW298)</f>
      </c>
      <c r="CQ298" s="71">
        <f>IF(B298="","",U298+AH298+AL298+AN298+AV298+AX298)</f>
      </c>
      <c r="CR298" s="72">
        <f>IF(B298="","",IF(CP298=0,0,CQ298/CP298-1))</f>
      </c>
      <c r="CS298" s="60">
        <f>IF(B298="","",IF(ENTRADA!$Y298="","",ENTRADA!$Y298-C298))</f>
      </c>
      <c r="CT298" s="66">
        <f>IF(B298="","",IF(ENTRADA!$C298="","Falta fecha. ","")&amp;IF(BP298=0,"Mes fuera del rango de COSTOS_FIJOS. ","")&amp;IF(J298=0,"Sin kg. ","")&amp;IF(E298="","Falta transitaria. ","")&amp;IF(AND(T298&gt;0,U298/T298-1&gt;Tolerancia_Comb),"Combustible al puerto "&amp;TEXT(U298/T298-1,"+0%")&amp;" sobre norma. ","")&amp;IF(AND(AG298&gt;0,AH298/AG298-1&gt;Tolerancia_Comb),"Combustible distribución Occidente "&amp;TEXT(AH298/AG298-1,"+0%")&amp;" sobre norma. ","")&amp;IF(AND(AK298&gt;0,AL298/AK298-1&gt;Tolerancia_Comb),"Combustible traslado Centro "&amp;TEXT(AL298/AK298-1,"+0%")&amp;" sobre norma. ","")&amp;IF(AND(AM298&gt;0,AN298/AM298-1&gt;Tolerancia_Comb),"Combustible distribución Centro "&amp;TEXT(AN298/AM298-1,"+0%")&amp;" sobre norma. ","")&amp;IF(AND(AU298&gt;0,AV298/AU298-1&gt;Tolerancia_Comb),"Combustible traslado Oriente "&amp;TEXT(AV298/AU298-1,"+0%")&amp;" sobre norma. ","")&amp;IF(AND(AW298&gt;0,AX298/AW298-1&gt;Tolerancia_Comb),"Combustible distribución Oriente "&amp;TEXT(AX298/AW298-1,"+0%")&amp;" sobre norma. ","")&amp;IF(AND(ENTRADA!$C298&lt;&gt;"",C298&lt;PRECIOS!$A$6),"Fecha anterior a la 1ª vigencia de precios. ","")&amp;IF(CD298&lt;0,"Contenedor con pérdida. ",""))</f>
      </c>
    </row>
    <row r="299">
      <c r="A299" s="60">
        <f>IF(B299="","",ROW()-5)</f>
      </c>
      <c r="B299" s="63">
        <f>IF(ENTRADA!$B299="","",ENTRADA!$B299)</f>
      </c>
      <c r="C299" s="64">
        <f>IF(B299="","",ENTRADA!$C299)</f>
      </c>
      <c r="D299" s="65">
        <f>IF(B299="","",DATE(YEAR(C299),MONTH(C299),1))</f>
      </c>
      <c r="E299" s="66">
        <f>IF(B299="","",ENTRADA!$D299&amp;"")</f>
      </c>
      <c r="F299" s="66">
        <f>IF(B299="","",ENTRADA!$Z299&amp;"")</f>
      </c>
      <c r="G299" s="67">
        <f>IF(B299="","",N(ENTRADA!$G299))</f>
      </c>
      <c r="H299" s="67">
        <f>IF(B299="","",N(ENTRADA!$H299))</f>
      </c>
      <c r="I299" s="67">
        <f>IF(B299="","",N(ENTRADA!$I299))</f>
      </c>
      <c r="J299" s="68">
        <f>IF(B299="","",G299+H299+I299)</f>
      </c>
      <c r="K299" s="60">
        <f>IF(B299="","",IFERROR(MATCH(SUMPRODUCT(MAX((PRECIOS!$A$6:$A$55&lt;=C299)*PRECIOS!$A$6:$A$55)),PRECIOS!$A$6:$A$55,0),1))</f>
      </c>
      <c r="L299" s="69">
        <f>IF(B299="","",INDEX(PRECIOS!$A$6:$A$55,K299))</f>
      </c>
      <c r="M299" s="37">
        <f>IF(B299="","",G299*INDEX(PRECIOS!$B$6:$B$55,K299))</f>
      </c>
      <c r="N299" s="37">
        <f>IF(B299="","",H299*INDEX(PRECIOS!$C$6:$C$55,K299))</f>
      </c>
      <c r="O299" s="37">
        <f>IF(B299="","",I299*INDEX(PRECIOS!$D$6:$D$55,K299))</f>
      </c>
      <c r="P299" s="37">
        <f>IF(B299="","",N(ENTRADA!$X299))</f>
      </c>
      <c r="Q299" s="70">
        <f>IF(B299="","",M299+N299+O299+P299)</f>
      </c>
      <c r="R299" s="71">
        <f>IF(B299="","",IF(ENTRADA!$J299="",Std_Viajes_Puerto,ENTRADA!$J299))</f>
      </c>
      <c r="S299" s="37">
        <f>IF(B299="","",R299*INDEX(PRECIOS!$F$6:$F$55,K299))</f>
      </c>
      <c r="T299" s="71">
        <f>IF(B299="","",R299*Litros_Puerto_Viaje)</f>
      </c>
      <c r="U299" s="71">
        <f>IF(B299="","",IF(ENTRADA!$K299="",T299,ENTRADA!$K299))</f>
      </c>
      <c r="V299" s="37">
        <f>IF(B299="","",U299*INDEX(PRECIOS!$E$6:$E$55,K299))</f>
      </c>
      <c r="W299" s="37">
        <f>IF(B299="","",IF(ENTRADA!$L299="",R299*INDEX(PRECIOS!$G$6:$G$55,K299),ENTRADA!$L299))</f>
      </c>
      <c r="X299" s="37">
        <f>IF(B299="","",R299*Km_Puerto_Viaje*INDEX(PRECIOS!$N$6:$N$55,K299))</f>
      </c>
      <c r="Y299" s="70">
        <f>IF(B299="","",S299+V299+W299+X299)</f>
      </c>
      <c r="Z299" s="71">
        <f>IF(B299="","",IF(J299=0,0,ROUNDUP(J299/Rend_Desagrupe,0)))</f>
      </c>
      <c r="AA299" s="71">
        <f>IF(B299="","",IF(ENTRADA!$M299="",Z299,ENTRADA!$M299))</f>
      </c>
      <c r="AB299" s="37">
        <f>IF(B299="","",AA299*INDEX(PRECIOS!$H$6:$H$55,K299))</f>
      </c>
      <c r="AC299" s="37">
        <f>IF(B299="","",IF(E299="ENCI",INDEX(PRECIOS!$J$6:$J$55,K299),IF(E299="A.V",INDEX(PRECIOS!$K$6:$K$55,K299),0)))</f>
      </c>
      <c r="AD299" s="37">
        <f>IF(B299="","",N(ENTRADA!$N299))</f>
      </c>
      <c r="AE299" s="70">
        <f>IF(B299="","",AB299+AC299+AD299)</f>
      </c>
      <c r="AF299" s="71">
        <f>IF(B299="","",IF(G299=0,0,ROUNDUP(G299/Cap_Camion_OCC,0)))</f>
      </c>
      <c r="AG299" s="71">
        <f>IF(B299="","",AF299*L_Dist_OCC)</f>
      </c>
      <c r="AH299" s="71">
        <f>IF(B299="","",IF(ENTRADA!$O299="",AG299,ENTRADA!$O299))</f>
      </c>
      <c r="AI299" s="37">
        <f>IF(B299="","",AH299*INDEX(PRECIOS!$E$6:$E$55,K299))</f>
      </c>
      <c r="AJ299" s="71">
        <f>IF(B299="","",IF(H299=0,0,ROUNDUP(H299/Cap_Camion_CEN,0)))</f>
      </c>
      <c r="AK299" s="71">
        <f>IF(B299="","",AJ299*L_Tras_CEN)</f>
      </c>
      <c r="AL299" s="71">
        <f>IF(B299="","",IF(ENTRADA!$P299="",AK299,ENTRADA!$P299))</f>
      </c>
      <c r="AM299" s="71">
        <f>IF(B299="","",AJ299*L_Dist_CEN)</f>
      </c>
      <c r="AN299" s="71">
        <f>IF(B299="","",IF(ENTRADA!$Q299="",AM299,ENTRADA!$Q299))</f>
      </c>
      <c r="AO299" s="37">
        <f>IF(B299="","",(AL299+AN299)*INDEX(PRECIOS!$E$6:$E$55,K299))</f>
      </c>
      <c r="AP299" s="71">
        <f>IF(B299="","",IF(H299=0,0,ROUNDUP(H299/Rend_Desagrupe_CT,0)))</f>
      </c>
      <c r="AQ299" s="71">
        <f>IF(B299="","",IF(ENTRADA!$R299="",AP299,ENTRADA!$R299))</f>
      </c>
      <c r="AR299" s="37">
        <f>IF(B299="","",AQ299*INDEX(PRECIOS!$I$6:$I$55,K299))</f>
      </c>
      <c r="AS299" s="37">
        <f>IF(B299="","",AO299+AR299)</f>
      </c>
      <c r="AT299" s="71">
        <f>IF(B299="","",IF(I299=0,0,ROUNDUP(I299/Cap_Camion_ORI,0)))</f>
      </c>
      <c r="AU299" s="71">
        <f>IF(B299="","",AT299*L_Tras_ORI)</f>
      </c>
      <c r="AV299" s="71">
        <f>IF(B299="","",IF(ENTRADA!$S299="",AU299,ENTRADA!$S299))</f>
      </c>
      <c r="AW299" s="71">
        <f>IF(B299="","",AT299*L_Dist_ORI)</f>
      </c>
      <c r="AX299" s="71">
        <f>IF(B299="","",IF(ENTRADA!$T299="",AW299,ENTRADA!$T299))</f>
      </c>
      <c r="AY299" s="37">
        <f>IF(B299="","",(AV299+AX299)*INDEX(PRECIOS!$E$6:$E$55,K299))</f>
      </c>
      <c r="AZ299" s="71">
        <f>IF(B299="","",IF(I299=0,0,ROUNDUP(I299/Rend_Desagrupe_CT,0)))</f>
      </c>
      <c r="BA299" s="71">
        <f>IF(B299="","",IF(ENTRADA!$U299="",AZ299,ENTRADA!$U299))</f>
      </c>
      <c r="BB299" s="37">
        <f>IF(B299="","",BA299*INDEX(PRECIOS!$I$6:$I$55,K299))</f>
      </c>
      <c r="BC299" s="37">
        <f>IF(B299="","",AY299+BB299)</f>
      </c>
      <c r="BD299" s="70">
        <f>IF(B299="","",AI299+AS299+BC299)</f>
      </c>
      <c r="BE299" s="37">
        <f>IF(B299="","",IF(Base_Comision="% DEL INGRESO",M299*INDEX(PRECIOS!$L$6:$L$55,K299),G299*INDEX(PRECIOS!$M$6:$M$55,K299)))</f>
      </c>
      <c r="BF299" s="37">
        <f>IF(B299="","",IF(Base_Comision="% DEL INGRESO",N299*INDEX(PRECIOS!$L$6:$L$55,K299),H299*INDEX(PRECIOS!$M$6:$M$55,K299)))</f>
      </c>
      <c r="BG299" s="37">
        <f>IF(B299="","",IF(Base_Comision="% DEL INGRESO",O299*INDEX(PRECIOS!$L$6:$L$55,K299),I299*INDEX(PRECIOS!$M$6:$M$55,K299)))</f>
      </c>
      <c r="BH299" s="70">
        <f>IF(B299="","",BE299+BF299+BG299)</f>
      </c>
      <c r="BI299" s="37">
        <f>IF(B299="","",Q299*Pct_Reclamaciones)</f>
      </c>
      <c r="BJ299" s="37">
        <f>IF(B299="","",Q299*Pct_Banco)</f>
      </c>
      <c r="BK299" s="37">
        <f>IF(B299="","",N(ENTRADA!$V299))</f>
      </c>
      <c r="BL299" s="70">
        <f>IF(B299="","",Y299+AE299+BD299+BH299+BI299+BJ299+BK299)</f>
      </c>
      <c r="BM299" s="70">
        <f>IF(B299="","",Q299-BL299)</f>
      </c>
      <c r="BN299" s="72">
        <f>IF(B299="","",IF(Q299=0,0,BM299/Q299))</f>
      </c>
      <c r="BO299" s="73">
        <f>IF(B299="","",IF(J299=0,0,BM299/J299))</f>
      </c>
      <c r="BP299" s="60">
        <f>IF(B299="","",IFERROR(MATCH(D299,COSTOS_FIJOS!$G$5:$AD$5,0),0))</f>
      </c>
      <c r="BQ299" s="60">
        <f>IF(B299="","",COUNTIFS($D$6:$D$305,D299))</f>
      </c>
      <c r="BR299" s="67">
        <f>IF(B299="","",SUMIFS($J$6:$J$305,$D$6:$D$305,D299))</f>
      </c>
      <c r="BS299" s="72">
        <f>IF(B299="","",IF(Metodo_Prorrateo="KG",IF(BR299=0,0,J299/BR299),1/BQ299))</f>
      </c>
      <c r="BT299" s="37">
        <f>IF(B299="","",IF(BP299=0,0,INDEX(COSTOS_FIJOS!$G$38:$AD$38,BP299))*BS299)</f>
      </c>
      <c r="BU299" s="72">
        <f>IF(B299="","",IF(Metodo_Prorrateo="KG",IF(SUMIFS($G$6:$G$305,$D$6:$D$305,D299)=0,0,G299/SUMIFS($G$6:$G$305,$D$6:$D$305,D299)),IF(G299&gt;0,1/COUNTIFS($D$6:$D$305,D299,$G$6:$G$305,"&gt;0"),0)))</f>
      </c>
      <c r="BV299" s="37">
        <f>IF(B299="","",IF(BP299=0,0,INDEX(COSTOS_FIJOS!$G$39:$AD$39,BP299))*BU299)</f>
      </c>
      <c r="BW299" s="72">
        <f>IF(B299="","",IF(Metodo_Prorrateo="KG",IF(SUMIFS($H$6:$H$305,$D$6:$D$305,D299)=0,0,H299/SUMIFS($H$6:$H$305,$D$6:$D$305,D299)),IF(H299&gt;0,1/COUNTIFS($D$6:$D$305,D299,$H$6:$H$305,"&gt;0"),0)))</f>
      </c>
      <c r="BX299" s="37">
        <f>IF(B299="","",IF(BP299=0,0,INDEX(COSTOS_FIJOS!$G$40:$AD$40,BP299))*BW299)</f>
      </c>
      <c r="BY299" s="72">
        <f>IF(B299="","",IF(Metodo_Prorrateo="KG",IF(SUMIFS($I$6:$I$305,$D$6:$D$305,D299)=0,0,I299/SUMIFS($I$6:$I$305,$D$6:$D$305,D299)),IF(I299&gt;0,1/COUNTIFS($D$6:$D$305,D299,$I$6:$I$305,"&gt;0"),0)))</f>
      </c>
      <c r="BZ299" s="37">
        <f>IF(B299="","",IF(BP299=0,0,INDEX(COSTOS_FIJOS!$G$41:$AD$41,BP299))*BY299)</f>
      </c>
      <c r="CA299" s="70">
        <f>IF(B299="","",BT299+BV299+BX299+BZ299)</f>
      </c>
      <c r="CB299" s="37">
        <f>IF(B299="","",Q299*Imp_Ventas_Serv)</f>
      </c>
      <c r="CC299" s="37">
        <f>IF(B299="","",Q299*Contrib_Territorial)</f>
      </c>
      <c r="CD299" s="70">
        <f>IF(B299="","",BM299-CA299-CB299-CC299)</f>
      </c>
      <c r="CE299" s="37">
        <f>IF(B299="","",MAX(0,CD299)*Imp_Utilidades)</f>
      </c>
      <c r="CF299" s="70">
        <f>IF(B299="","",CD299-CE299)</f>
      </c>
      <c r="CG299" s="72">
        <f>IF(B299="","",IF(Q299=0,0,CF299/Q299))</f>
      </c>
      <c r="CH299" s="73">
        <f>IF(B299="","",IF(J299=0,0,(BL299+CA299+CB299+CC299)/J299))</f>
      </c>
      <c r="CI299" s="73">
        <f>IF(B299="","",IF(J299=0,0,Q299/J299))</f>
      </c>
      <c r="CJ299" s="73">
        <f>IF(B299="","",IF(J299=0,0,CD299/J299))</f>
      </c>
      <c r="CK299" s="37">
        <f>IF(B299="","",Y299+AE299+BK299+BT299)</f>
      </c>
      <c r="CL299" s="37">
        <f>IF(B299="","",IF(J299=0,0,(M299+P299*G299/J299)*(1-Pct_Reclamaciones-Pct_Banco-Imp_Ventas_Serv-Contrib_Territorial)-AI299-BE299-BV299-CK299*G299/J299))</f>
      </c>
      <c r="CM299" s="37">
        <f>IF(B299="","",IF(J299=0,0,(N299+P299*H299/J299)*(1-Pct_Reclamaciones-Pct_Banco-Imp_Ventas_Serv-Contrib_Territorial)-AS299-BF299-BX299-CK299*H299/J299))</f>
      </c>
      <c r="CN299" s="37">
        <f>IF(B299="","",IF(J299=0,0,(O299+P299*I299/J299)*(1-Pct_Reclamaciones-Pct_Banco-Imp_Ventas_Serv-Contrib_Territorial)-BC299-BG299-BZ299-CK299*I299/J299))</f>
      </c>
      <c r="CO299" s="37">
        <f>IF(B299="","",IF(J299=0,0,ROUND(CD299-CL299-CM299-CN299,4)))</f>
      </c>
      <c r="CP299" s="71">
        <f>IF(B299="","",T299+AG299+AK299+AM299+AU299+AW299)</f>
      </c>
      <c r="CQ299" s="71">
        <f>IF(B299="","",U299+AH299+AL299+AN299+AV299+AX299)</f>
      </c>
      <c r="CR299" s="72">
        <f>IF(B299="","",IF(CP299=0,0,CQ299/CP299-1))</f>
      </c>
      <c r="CS299" s="60">
        <f>IF(B299="","",IF(ENTRADA!$Y299="","",ENTRADA!$Y299-C299))</f>
      </c>
      <c r="CT299" s="66">
        <f>IF(B299="","",IF(ENTRADA!$C299="","Falta fecha. ","")&amp;IF(BP299=0,"Mes fuera del rango de COSTOS_FIJOS. ","")&amp;IF(J299=0,"Sin kg. ","")&amp;IF(E299="","Falta transitaria. ","")&amp;IF(AND(T299&gt;0,U299/T299-1&gt;Tolerancia_Comb),"Combustible al puerto "&amp;TEXT(U299/T299-1,"+0%")&amp;" sobre norma. ","")&amp;IF(AND(AG299&gt;0,AH299/AG299-1&gt;Tolerancia_Comb),"Combustible distribución Occidente "&amp;TEXT(AH299/AG299-1,"+0%")&amp;" sobre norma. ","")&amp;IF(AND(AK299&gt;0,AL299/AK299-1&gt;Tolerancia_Comb),"Combustible traslado Centro "&amp;TEXT(AL299/AK299-1,"+0%")&amp;" sobre norma. ","")&amp;IF(AND(AM299&gt;0,AN299/AM299-1&gt;Tolerancia_Comb),"Combustible distribución Centro "&amp;TEXT(AN299/AM299-1,"+0%")&amp;" sobre norma. ","")&amp;IF(AND(AU299&gt;0,AV299/AU299-1&gt;Tolerancia_Comb),"Combustible traslado Oriente "&amp;TEXT(AV299/AU299-1,"+0%")&amp;" sobre norma. ","")&amp;IF(AND(AW299&gt;0,AX299/AW299-1&gt;Tolerancia_Comb),"Combustible distribución Oriente "&amp;TEXT(AX299/AW299-1,"+0%")&amp;" sobre norma. ","")&amp;IF(AND(ENTRADA!$C299&lt;&gt;"",C299&lt;PRECIOS!$A$6),"Fecha anterior a la 1ª vigencia de precios. ","")&amp;IF(CD299&lt;0,"Contenedor con pérdida. ",""))</f>
      </c>
    </row>
    <row r="300">
      <c r="A300" s="60">
        <f>IF(B300="","",ROW()-5)</f>
      </c>
      <c r="B300" s="63">
        <f>IF(ENTRADA!$B300="","",ENTRADA!$B300)</f>
      </c>
      <c r="C300" s="64">
        <f>IF(B300="","",ENTRADA!$C300)</f>
      </c>
      <c r="D300" s="65">
        <f>IF(B300="","",DATE(YEAR(C300),MONTH(C300),1))</f>
      </c>
      <c r="E300" s="66">
        <f>IF(B300="","",ENTRADA!$D300&amp;"")</f>
      </c>
      <c r="F300" s="66">
        <f>IF(B300="","",ENTRADA!$Z300&amp;"")</f>
      </c>
      <c r="G300" s="67">
        <f>IF(B300="","",N(ENTRADA!$G300))</f>
      </c>
      <c r="H300" s="67">
        <f>IF(B300="","",N(ENTRADA!$H300))</f>
      </c>
      <c r="I300" s="67">
        <f>IF(B300="","",N(ENTRADA!$I300))</f>
      </c>
      <c r="J300" s="68">
        <f>IF(B300="","",G300+H300+I300)</f>
      </c>
      <c r="K300" s="60">
        <f>IF(B300="","",IFERROR(MATCH(SUMPRODUCT(MAX((PRECIOS!$A$6:$A$55&lt;=C300)*PRECIOS!$A$6:$A$55)),PRECIOS!$A$6:$A$55,0),1))</f>
      </c>
      <c r="L300" s="69">
        <f>IF(B300="","",INDEX(PRECIOS!$A$6:$A$55,K300))</f>
      </c>
      <c r="M300" s="37">
        <f>IF(B300="","",G300*INDEX(PRECIOS!$B$6:$B$55,K300))</f>
      </c>
      <c r="N300" s="37">
        <f>IF(B300="","",H300*INDEX(PRECIOS!$C$6:$C$55,K300))</f>
      </c>
      <c r="O300" s="37">
        <f>IF(B300="","",I300*INDEX(PRECIOS!$D$6:$D$55,K300))</f>
      </c>
      <c r="P300" s="37">
        <f>IF(B300="","",N(ENTRADA!$X300))</f>
      </c>
      <c r="Q300" s="70">
        <f>IF(B300="","",M300+N300+O300+P300)</f>
      </c>
      <c r="R300" s="71">
        <f>IF(B300="","",IF(ENTRADA!$J300="",Std_Viajes_Puerto,ENTRADA!$J300))</f>
      </c>
      <c r="S300" s="37">
        <f>IF(B300="","",R300*INDEX(PRECIOS!$F$6:$F$55,K300))</f>
      </c>
      <c r="T300" s="71">
        <f>IF(B300="","",R300*Litros_Puerto_Viaje)</f>
      </c>
      <c r="U300" s="71">
        <f>IF(B300="","",IF(ENTRADA!$K300="",T300,ENTRADA!$K300))</f>
      </c>
      <c r="V300" s="37">
        <f>IF(B300="","",U300*INDEX(PRECIOS!$E$6:$E$55,K300))</f>
      </c>
      <c r="W300" s="37">
        <f>IF(B300="","",IF(ENTRADA!$L300="",R300*INDEX(PRECIOS!$G$6:$G$55,K300),ENTRADA!$L300))</f>
      </c>
      <c r="X300" s="37">
        <f>IF(B300="","",R300*Km_Puerto_Viaje*INDEX(PRECIOS!$N$6:$N$55,K300))</f>
      </c>
      <c r="Y300" s="70">
        <f>IF(B300="","",S300+V300+W300+X300)</f>
      </c>
      <c r="Z300" s="71">
        <f>IF(B300="","",IF(J300=0,0,ROUNDUP(J300/Rend_Desagrupe,0)))</f>
      </c>
      <c r="AA300" s="71">
        <f>IF(B300="","",IF(ENTRADA!$M300="",Z300,ENTRADA!$M300))</f>
      </c>
      <c r="AB300" s="37">
        <f>IF(B300="","",AA300*INDEX(PRECIOS!$H$6:$H$55,K300))</f>
      </c>
      <c r="AC300" s="37">
        <f>IF(B300="","",IF(E300="ENCI",INDEX(PRECIOS!$J$6:$J$55,K300),IF(E300="A.V",INDEX(PRECIOS!$K$6:$K$55,K300),0)))</f>
      </c>
      <c r="AD300" s="37">
        <f>IF(B300="","",N(ENTRADA!$N300))</f>
      </c>
      <c r="AE300" s="70">
        <f>IF(B300="","",AB300+AC300+AD300)</f>
      </c>
      <c r="AF300" s="71">
        <f>IF(B300="","",IF(G300=0,0,ROUNDUP(G300/Cap_Camion_OCC,0)))</f>
      </c>
      <c r="AG300" s="71">
        <f>IF(B300="","",AF300*L_Dist_OCC)</f>
      </c>
      <c r="AH300" s="71">
        <f>IF(B300="","",IF(ENTRADA!$O300="",AG300,ENTRADA!$O300))</f>
      </c>
      <c r="AI300" s="37">
        <f>IF(B300="","",AH300*INDEX(PRECIOS!$E$6:$E$55,K300))</f>
      </c>
      <c r="AJ300" s="71">
        <f>IF(B300="","",IF(H300=0,0,ROUNDUP(H300/Cap_Camion_CEN,0)))</f>
      </c>
      <c r="AK300" s="71">
        <f>IF(B300="","",AJ300*L_Tras_CEN)</f>
      </c>
      <c r="AL300" s="71">
        <f>IF(B300="","",IF(ENTRADA!$P300="",AK300,ENTRADA!$P300))</f>
      </c>
      <c r="AM300" s="71">
        <f>IF(B300="","",AJ300*L_Dist_CEN)</f>
      </c>
      <c r="AN300" s="71">
        <f>IF(B300="","",IF(ENTRADA!$Q300="",AM300,ENTRADA!$Q300))</f>
      </c>
      <c r="AO300" s="37">
        <f>IF(B300="","",(AL300+AN300)*INDEX(PRECIOS!$E$6:$E$55,K300))</f>
      </c>
      <c r="AP300" s="71">
        <f>IF(B300="","",IF(H300=0,0,ROUNDUP(H300/Rend_Desagrupe_CT,0)))</f>
      </c>
      <c r="AQ300" s="71">
        <f>IF(B300="","",IF(ENTRADA!$R300="",AP300,ENTRADA!$R300))</f>
      </c>
      <c r="AR300" s="37">
        <f>IF(B300="","",AQ300*INDEX(PRECIOS!$I$6:$I$55,K300))</f>
      </c>
      <c r="AS300" s="37">
        <f>IF(B300="","",AO300+AR300)</f>
      </c>
      <c r="AT300" s="71">
        <f>IF(B300="","",IF(I300=0,0,ROUNDUP(I300/Cap_Camion_ORI,0)))</f>
      </c>
      <c r="AU300" s="71">
        <f>IF(B300="","",AT300*L_Tras_ORI)</f>
      </c>
      <c r="AV300" s="71">
        <f>IF(B300="","",IF(ENTRADA!$S300="",AU300,ENTRADA!$S300))</f>
      </c>
      <c r="AW300" s="71">
        <f>IF(B300="","",AT300*L_Dist_ORI)</f>
      </c>
      <c r="AX300" s="71">
        <f>IF(B300="","",IF(ENTRADA!$T300="",AW300,ENTRADA!$T300))</f>
      </c>
      <c r="AY300" s="37">
        <f>IF(B300="","",(AV300+AX300)*INDEX(PRECIOS!$E$6:$E$55,K300))</f>
      </c>
      <c r="AZ300" s="71">
        <f>IF(B300="","",IF(I300=0,0,ROUNDUP(I300/Rend_Desagrupe_CT,0)))</f>
      </c>
      <c r="BA300" s="71">
        <f>IF(B300="","",IF(ENTRADA!$U300="",AZ300,ENTRADA!$U300))</f>
      </c>
      <c r="BB300" s="37">
        <f>IF(B300="","",BA300*INDEX(PRECIOS!$I$6:$I$55,K300))</f>
      </c>
      <c r="BC300" s="37">
        <f>IF(B300="","",AY300+BB300)</f>
      </c>
      <c r="BD300" s="70">
        <f>IF(B300="","",AI300+AS300+BC300)</f>
      </c>
      <c r="BE300" s="37">
        <f>IF(B300="","",IF(Base_Comision="% DEL INGRESO",M300*INDEX(PRECIOS!$L$6:$L$55,K300),G300*INDEX(PRECIOS!$M$6:$M$55,K300)))</f>
      </c>
      <c r="BF300" s="37">
        <f>IF(B300="","",IF(Base_Comision="% DEL INGRESO",N300*INDEX(PRECIOS!$L$6:$L$55,K300),H300*INDEX(PRECIOS!$M$6:$M$55,K300)))</f>
      </c>
      <c r="BG300" s="37">
        <f>IF(B300="","",IF(Base_Comision="% DEL INGRESO",O300*INDEX(PRECIOS!$L$6:$L$55,K300),I300*INDEX(PRECIOS!$M$6:$M$55,K300)))</f>
      </c>
      <c r="BH300" s="70">
        <f>IF(B300="","",BE300+BF300+BG300)</f>
      </c>
      <c r="BI300" s="37">
        <f>IF(B300="","",Q300*Pct_Reclamaciones)</f>
      </c>
      <c r="BJ300" s="37">
        <f>IF(B300="","",Q300*Pct_Banco)</f>
      </c>
      <c r="BK300" s="37">
        <f>IF(B300="","",N(ENTRADA!$V300))</f>
      </c>
      <c r="BL300" s="70">
        <f>IF(B300="","",Y300+AE300+BD300+BH300+BI300+BJ300+BK300)</f>
      </c>
      <c r="BM300" s="70">
        <f>IF(B300="","",Q300-BL300)</f>
      </c>
      <c r="BN300" s="72">
        <f>IF(B300="","",IF(Q300=0,0,BM300/Q300))</f>
      </c>
      <c r="BO300" s="73">
        <f>IF(B300="","",IF(J300=0,0,BM300/J300))</f>
      </c>
      <c r="BP300" s="60">
        <f>IF(B300="","",IFERROR(MATCH(D300,COSTOS_FIJOS!$G$5:$AD$5,0),0))</f>
      </c>
      <c r="BQ300" s="60">
        <f>IF(B300="","",COUNTIFS($D$6:$D$305,D300))</f>
      </c>
      <c r="BR300" s="67">
        <f>IF(B300="","",SUMIFS($J$6:$J$305,$D$6:$D$305,D300))</f>
      </c>
      <c r="BS300" s="72">
        <f>IF(B300="","",IF(Metodo_Prorrateo="KG",IF(BR300=0,0,J300/BR300),1/BQ300))</f>
      </c>
      <c r="BT300" s="37">
        <f>IF(B300="","",IF(BP300=0,0,INDEX(COSTOS_FIJOS!$G$38:$AD$38,BP300))*BS300)</f>
      </c>
      <c r="BU300" s="72">
        <f>IF(B300="","",IF(Metodo_Prorrateo="KG",IF(SUMIFS($G$6:$G$305,$D$6:$D$305,D300)=0,0,G300/SUMIFS($G$6:$G$305,$D$6:$D$305,D300)),IF(G300&gt;0,1/COUNTIFS($D$6:$D$305,D300,$G$6:$G$305,"&gt;0"),0)))</f>
      </c>
      <c r="BV300" s="37">
        <f>IF(B300="","",IF(BP300=0,0,INDEX(COSTOS_FIJOS!$G$39:$AD$39,BP300))*BU300)</f>
      </c>
      <c r="BW300" s="72">
        <f>IF(B300="","",IF(Metodo_Prorrateo="KG",IF(SUMIFS($H$6:$H$305,$D$6:$D$305,D300)=0,0,H300/SUMIFS($H$6:$H$305,$D$6:$D$305,D300)),IF(H300&gt;0,1/COUNTIFS($D$6:$D$305,D300,$H$6:$H$305,"&gt;0"),0)))</f>
      </c>
      <c r="BX300" s="37">
        <f>IF(B300="","",IF(BP300=0,0,INDEX(COSTOS_FIJOS!$G$40:$AD$40,BP300))*BW300)</f>
      </c>
      <c r="BY300" s="72">
        <f>IF(B300="","",IF(Metodo_Prorrateo="KG",IF(SUMIFS($I$6:$I$305,$D$6:$D$305,D300)=0,0,I300/SUMIFS($I$6:$I$305,$D$6:$D$305,D300)),IF(I300&gt;0,1/COUNTIFS($D$6:$D$305,D300,$I$6:$I$305,"&gt;0"),0)))</f>
      </c>
      <c r="BZ300" s="37">
        <f>IF(B300="","",IF(BP300=0,0,INDEX(COSTOS_FIJOS!$G$41:$AD$41,BP300))*BY300)</f>
      </c>
      <c r="CA300" s="70">
        <f>IF(B300="","",BT300+BV300+BX300+BZ300)</f>
      </c>
      <c r="CB300" s="37">
        <f>IF(B300="","",Q300*Imp_Ventas_Serv)</f>
      </c>
      <c r="CC300" s="37">
        <f>IF(B300="","",Q300*Contrib_Territorial)</f>
      </c>
      <c r="CD300" s="70">
        <f>IF(B300="","",BM300-CA300-CB300-CC300)</f>
      </c>
      <c r="CE300" s="37">
        <f>IF(B300="","",MAX(0,CD300)*Imp_Utilidades)</f>
      </c>
      <c r="CF300" s="70">
        <f>IF(B300="","",CD300-CE300)</f>
      </c>
      <c r="CG300" s="72">
        <f>IF(B300="","",IF(Q300=0,0,CF300/Q300))</f>
      </c>
      <c r="CH300" s="73">
        <f>IF(B300="","",IF(J300=0,0,(BL300+CA300+CB300+CC300)/J300))</f>
      </c>
      <c r="CI300" s="73">
        <f>IF(B300="","",IF(J300=0,0,Q300/J300))</f>
      </c>
      <c r="CJ300" s="73">
        <f>IF(B300="","",IF(J300=0,0,CD300/J300))</f>
      </c>
      <c r="CK300" s="37">
        <f>IF(B300="","",Y300+AE300+BK300+BT300)</f>
      </c>
      <c r="CL300" s="37">
        <f>IF(B300="","",IF(J300=0,0,(M300+P300*G300/J300)*(1-Pct_Reclamaciones-Pct_Banco-Imp_Ventas_Serv-Contrib_Territorial)-AI300-BE300-BV300-CK300*G300/J300))</f>
      </c>
      <c r="CM300" s="37">
        <f>IF(B300="","",IF(J300=0,0,(N300+P300*H300/J300)*(1-Pct_Reclamaciones-Pct_Banco-Imp_Ventas_Serv-Contrib_Territorial)-AS300-BF300-BX300-CK300*H300/J300))</f>
      </c>
      <c r="CN300" s="37">
        <f>IF(B300="","",IF(J300=0,0,(O300+P300*I300/J300)*(1-Pct_Reclamaciones-Pct_Banco-Imp_Ventas_Serv-Contrib_Territorial)-BC300-BG300-BZ300-CK300*I300/J300))</f>
      </c>
      <c r="CO300" s="37">
        <f>IF(B300="","",IF(J300=0,0,ROUND(CD300-CL300-CM300-CN300,4)))</f>
      </c>
      <c r="CP300" s="71">
        <f>IF(B300="","",T300+AG300+AK300+AM300+AU300+AW300)</f>
      </c>
      <c r="CQ300" s="71">
        <f>IF(B300="","",U300+AH300+AL300+AN300+AV300+AX300)</f>
      </c>
      <c r="CR300" s="72">
        <f>IF(B300="","",IF(CP300=0,0,CQ300/CP300-1))</f>
      </c>
      <c r="CS300" s="60">
        <f>IF(B300="","",IF(ENTRADA!$Y300="","",ENTRADA!$Y300-C300))</f>
      </c>
      <c r="CT300" s="66">
        <f>IF(B300="","",IF(ENTRADA!$C300="","Falta fecha. ","")&amp;IF(BP300=0,"Mes fuera del rango de COSTOS_FIJOS. ","")&amp;IF(J300=0,"Sin kg. ","")&amp;IF(E300="","Falta transitaria. ","")&amp;IF(AND(T300&gt;0,U300/T300-1&gt;Tolerancia_Comb),"Combustible al puerto "&amp;TEXT(U300/T300-1,"+0%")&amp;" sobre norma. ","")&amp;IF(AND(AG300&gt;0,AH300/AG300-1&gt;Tolerancia_Comb),"Combustible distribución Occidente "&amp;TEXT(AH300/AG300-1,"+0%")&amp;" sobre norma. ","")&amp;IF(AND(AK300&gt;0,AL300/AK300-1&gt;Tolerancia_Comb),"Combustible traslado Centro "&amp;TEXT(AL300/AK300-1,"+0%")&amp;" sobre norma. ","")&amp;IF(AND(AM300&gt;0,AN300/AM300-1&gt;Tolerancia_Comb),"Combustible distribución Centro "&amp;TEXT(AN300/AM300-1,"+0%")&amp;" sobre norma. ","")&amp;IF(AND(AU300&gt;0,AV300/AU300-1&gt;Tolerancia_Comb),"Combustible traslado Oriente "&amp;TEXT(AV300/AU300-1,"+0%")&amp;" sobre norma. ","")&amp;IF(AND(AW300&gt;0,AX300/AW300-1&gt;Tolerancia_Comb),"Combustible distribución Oriente "&amp;TEXT(AX300/AW300-1,"+0%")&amp;" sobre norma. ","")&amp;IF(AND(ENTRADA!$C300&lt;&gt;"",C300&lt;PRECIOS!$A$6),"Fecha anterior a la 1ª vigencia de precios. ","")&amp;IF(CD300&lt;0,"Contenedor con pérdida. ",""))</f>
      </c>
    </row>
    <row r="301">
      <c r="A301" s="60">
        <f>IF(B301="","",ROW()-5)</f>
      </c>
      <c r="B301" s="63">
        <f>IF(ENTRADA!$B301="","",ENTRADA!$B301)</f>
      </c>
      <c r="C301" s="64">
        <f>IF(B301="","",ENTRADA!$C301)</f>
      </c>
      <c r="D301" s="65">
        <f>IF(B301="","",DATE(YEAR(C301),MONTH(C301),1))</f>
      </c>
      <c r="E301" s="66">
        <f>IF(B301="","",ENTRADA!$D301&amp;"")</f>
      </c>
      <c r="F301" s="66">
        <f>IF(B301="","",ENTRADA!$Z301&amp;"")</f>
      </c>
      <c r="G301" s="67">
        <f>IF(B301="","",N(ENTRADA!$G301))</f>
      </c>
      <c r="H301" s="67">
        <f>IF(B301="","",N(ENTRADA!$H301))</f>
      </c>
      <c r="I301" s="67">
        <f>IF(B301="","",N(ENTRADA!$I301))</f>
      </c>
      <c r="J301" s="68">
        <f>IF(B301="","",G301+H301+I301)</f>
      </c>
      <c r="K301" s="60">
        <f>IF(B301="","",IFERROR(MATCH(SUMPRODUCT(MAX((PRECIOS!$A$6:$A$55&lt;=C301)*PRECIOS!$A$6:$A$55)),PRECIOS!$A$6:$A$55,0),1))</f>
      </c>
      <c r="L301" s="69">
        <f>IF(B301="","",INDEX(PRECIOS!$A$6:$A$55,K301))</f>
      </c>
      <c r="M301" s="37">
        <f>IF(B301="","",G301*INDEX(PRECIOS!$B$6:$B$55,K301))</f>
      </c>
      <c r="N301" s="37">
        <f>IF(B301="","",H301*INDEX(PRECIOS!$C$6:$C$55,K301))</f>
      </c>
      <c r="O301" s="37">
        <f>IF(B301="","",I301*INDEX(PRECIOS!$D$6:$D$55,K301))</f>
      </c>
      <c r="P301" s="37">
        <f>IF(B301="","",N(ENTRADA!$X301))</f>
      </c>
      <c r="Q301" s="70">
        <f>IF(B301="","",M301+N301+O301+P301)</f>
      </c>
      <c r="R301" s="71">
        <f>IF(B301="","",IF(ENTRADA!$J301="",Std_Viajes_Puerto,ENTRADA!$J301))</f>
      </c>
      <c r="S301" s="37">
        <f>IF(B301="","",R301*INDEX(PRECIOS!$F$6:$F$55,K301))</f>
      </c>
      <c r="T301" s="71">
        <f>IF(B301="","",R301*Litros_Puerto_Viaje)</f>
      </c>
      <c r="U301" s="71">
        <f>IF(B301="","",IF(ENTRADA!$K301="",T301,ENTRADA!$K301))</f>
      </c>
      <c r="V301" s="37">
        <f>IF(B301="","",U301*INDEX(PRECIOS!$E$6:$E$55,K301))</f>
      </c>
      <c r="W301" s="37">
        <f>IF(B301="","",IF(ENTRADA!$L301="",R301*INDEX(PRECIOS!$G$6:$G$55,K301),ENTRADA!$L301))</f>
      </c>
      <c r="X301" s="37">
        <f>IF(B301="","",R301*Km_Puerto_Viaje*INDEX(PRECIOS!$N$6:$N$55,K301))</f>
      </c>
      <c r="Y301" s="70">
        <f>IF(B301="","",S301+V301+W301+X301)</f>
      </c>
      <c r="Z301" s="71">
        <f>IF(B301="","",IF(J301=0,0,ROUNDUP(J301/Rend_Desagrupe,0)))</f>
      </c>
      <c r="AA301" s="71">
        <f>IF(B301="","",IF(ENTRADA!$M301="",Z301,ENTRADA!$M301))</f>
      </c>
      <c r="AB301" s="37">
        <f>IF(B301="","",AA301*INDEX(PRECIOS!$H$6:$H$55,K301))</f>
      </c>
      <c r="AC301" s="37">
        <f>IF(B301="","",IF(E301="ENCI",INDEX(PRECIOS!$J$6:$J$55,K301),IF(E301="A.V",INDEX(PRECIOS!$K$6:$K$55,K301),0)))</f>
      </c>
      <c r="AD301" s="37">
        <f>IF(B301="","",N(ENTRADA!$N301))</f>
      </c>
      <c r="AE301" s="70">
        <f>IF(B301="","",AB301+AC301+AD301)</f>
      </c>
      <c r="AF301" s="71">
        <f>IF(B301="","",IF(G301=0,0,ROUNDUP(G301/Cap_Camion_OCC,0)))</f>
      </c>
      <c r="AG301" s="71">
        <f>IF(B301="","",AF301*L_Dist_OCC)</f>
      </c>
      <c r="AH301" s="71">
        <f>IF(B301="","",IF(ENTRADA!$O301="",AG301,ENTRADA!$O301))</f>
      </c>
      <c r="AI301" s="37">
        <f>IF(B301="","",AH301*INDEX(PRECIOS!$E$6:$E$55,K301))</f>
      </c>
      <c r="AJ301" s="71">
        <f>IF(B301="","",IF(H301=0,0,ROUNDUP(H301/Cap_Camion_CEN,0)))</f>
      </c>
      <c r="AK301" s="71">
        <f>IF(B301="","",AJ301*L_Tras_CEN)</f>
      </c>
      <c r="AL301" s="71">
        <f>IF(B301="","",IF(ENTRADA!$P301="",AK301,ENTRADA!$P301))</f>
      </c>
      <c r="AM301" s="71">
        <f>IF(B301="","",AJ301*L_Dist_CEN)</f>
      </c>
      <c r="AN301" s="71">
        <f>IF(B301="","",IF(ENTRADA!$Q301="",AM301,ENTRADA!$Q301))</f>
      </c>
      <c r="AO301" s="37">
        <f>IF(B301="","",(AL301+AN301)*INDEX(PRECIOS!$E$6:$E$55,K301))</f>
      </c>
      <c r="AP301" s="71">
        <f>IF(B301="","",IF(H301=0,0,ROUNDUP(H301/Rend_Desagrupe_CT,0)))</f>
      </c>
      <c r="AQ301" s="71">
        <f>IF(B301="","",IF(ENTRADA!$R301="",AP301,ENTRADA!$R301))</f>
      </c>
      <c r="AR301" s="37">
        <f>IF(B301="","",AQ301*INDEX(PRECIOS!$I$6:$I$55,K301))</f>
      </c>
      <c r="AS301" s="37">
        <f>IF(B301="","",AO301+AR301)</f>
      </c>
      <c r="AT301" s="71">
        <f>IF(B301="","",IF(I301=0,0,ROUNDUP(I301/Cap_Camion_ORI,0)))</f>
      </c>
      <c r="AU301" s="71">
        <f>IF(B301="","",AT301*L_Tras_ORI)</f>
      </c>
      <c r="AV301" s="71">
        <f>IF(B301="","",IF(ENTRADA!$S301="",AU301,ENTRADA!$S301))</f>
      </c>
      <c r="AW301" s="71">
        <f>IF(B301="","",AT301*L_Dist_ORI)</f>
      </c>
      <c r="AX301" s="71">
        <f>IF(B301="","",IF(ENTRADA!$T301="",AW301,ENTRADA!$T301))</f>
      </c>
      <c r="AY301" s="37">
        <f>IF(B301="","",(AV301+AX301)*INDEX(PRECIOS!$E$6:$E$55,K301))</f>
      </c>
      <c r="AZ301" s="71">
        <f>IF(B301="","",IF(I301=0,0,ROUNDUP(I301/Rend_Desagrupe_CT,0)))</f>
      </c>
      <c r="BA301" s="71">
        <f>IF(B301="","",IF(ENTRADA!$U301="",AZ301,ENTRADA!$U301))</f>
      </c>
      <c r="BB301" s="37">
        <f>IF(B301="","",BA301*INDEX(PRECIOS!$I$6:$I$55,K301))</f>
      </c>
      <c r="BC301" s="37">
        <f>IF(B301="","",AY301+BB301)</f>
      </c>
      <c r="BD301" s="70">
        <f>IF(B301="","",AI301+AS301+BC301)</f>
      </c>
      <c r="BE301" s="37">
        <f>IF(B301="","",IF(Base_Comision="% DEL INGRESO",M301*INDEX(PRECIOS!$L$6:$L$55,K301),G301*INDEX(PRECIOS!$M$6:$M$55,K301)))</f>
      </c>
      <c r="BF301" s="37">
        <f>IF(B301="","",IF(Base_Comision="% DEL INGRESO",N301*INDEX(PRECIOS!$L$6:$L$55,K301),H301*INDEX(PRECIOS!$M$6:$M$55,K301)))</f>
      </c>
      <c r="BG301" s="37">
        <f>IF(B301="","",IF(Base_Comision="% DEL INGRESO",O301*INDEX(PRECIOS!$L$6:$L$55,K301),I301*INDEX(PRECIOS!$M$6:$M$55,K301)))</f>
      </c>
      <c r="BH301" s="70">
        <f>IF(B301="","",BE301+BF301+BG301)</f>
      </c>
      <c r="BI301" s="37">
        <f>IF(B301="","",Q301*Pct_Reclamaciones)</f>
      </c>
      <c r="BJ301" s="37">
        <f>IF(B301="","",Q301*Pct_Banco)</f>
      </c>
      <c r="BK301" s="37">
        <f>IF(B301="","",N(ENTRADA!$V301))</f>
      </c>
      <c r="BL301" s="70">
        <f>IF(B301="","",Y301+AE301+BD301+BH301+BI301+BJ301+BK301)</f>
      </c>
      <c r="BM301" s="70">
        <f>IF(B301="","",Q301-BL301)</f>
      </c>
      <c r="BN301" s="72">
        <f>IF(B301="","",IF(Q301=0,0,BM301/Q301))</f>
      </c>
      <c r="BO301" s="73">
        <f>IF(B301="","",IF(J301=0,0,BM301/J301))</f>
      </c>
      <c r="BP301" s="60">
        <f>IF(B301="","",IFERROR(MATCH(D301,COSTOS_FIJOS!$G$5:$AD$5,0),0))</f>
      </c>
      <c r="BQ301" s="60">
        <f>IF(B301="","",COUNTIFS($D$6:$D$305,D301))</f>
      </c>
      <c r="BR301" s="67">
        <f>IF(B301="","",SUMIFS($J$6:$J$305,$D$6:$D$305,D301))</f>
      </c>
      <c r="BS301" s="72">
        <f>IF(B301="","",IF(Metodo_Prorrateo="KG",IF(BR301=0,0,J301/BR301),1/BQ301))</f>
      </c>
      <c r="BT301" s="37">
        <f>IF(B301="","",IF(BP301=0,0,INDEX(COSTOS_FIJOS!$G$38:$AD$38,BP301))*BS301)</f>
      </c>
      <c r="BU301" s="72">
        <f>IF(B301="","",IF(Metodo_Prorrateo="KG",IF(SUMIFS($G$6:$G$305,$D$6:$D$305,D301)=0,0,G301/SUMIFS($G$6:$G$305,$D$6:$D$305,D301)),IF(G301&gt;0,1/COUNTIFS($D$6:$D$305,D301,$G$6:$G$305,"&gt;0"),0)))</f>
      </c>
      <c r="BV301" s="37">
        <f>IF(B301="","",IF(BP301=0,0,INDEX(COSTOS_FIJOS!$G$39:$AD$39,BP301))*BU301)</f>
      </c>
      <c r="BW301" s="72">
        <f>IF(B301="","",IF(Metodo_Prorrateo="KG",IF(SUMIFS($H$6:$H$305,$D$6:$D$305,D301)=0,0,H301/SUMIFS($H$6:$H$305,$D$6:$D$305,D301)),IF(H301&gt;0,1/COUNTIFS($D$6:$D$305,D301,$H$6:$H$305,"&gt;0"),0)))</f>
      </c>
      <c r="BX301" s="37">
        <f>IF(B301="","",IF(BP301=0,0,INDEX(COSTOS_FIJOS!$G$40:$AD$40,BP301))*BW301)</f>
      </c>
      <c r="BY301" s="72">
        <f>IF(B301="","",IF(Metodo_Prorrateo="KG",IF(SUMIFS($I$6:$I$305,$D$6:$D$305,D301)=0,0,I301/SUMIFS($I$6:$I$305,$D$6:$D$305,D301)),IF(I301&gt;0,1/COUNTIFS($D$6:$D$305,D301,$I$6:$I$305,"&gt;0"),0)))</f>
      </c>
      <c r="BZ301" s="37">
        <f>IF(B301="","",IF(BP301=0,0,INDEX(COSTOS_FIJOS!$G$41:$AD$41,BP301))*BY301)</f>
      </c>
      <c r="CA301" s="70">
        <f>IF(B301="","",BT301+BV301+BX301+BZ301)</f>
      </c>
      <c r="CB301" s="37">
        <f>IF(B301="","",Q301*Imp_Ventas_Serv)</f>
      </c>
      <c r="CC301" s="37">
        <f>IF(B301="","",Q301*Contrib_Territorial)</f>
      </c>
      <c r="CD301" s="70">
        <f>IF(B301="","",BM301-CA301-CB301-CC301)</f>
      </c>
      <c r="CE301" s="37">
        <f>IF(B301="","",MAX(0,CD301)*Imp_Utilidades)</f>
      </c>
      <c r="CF301" s="70">
        <f>IF(B301="","",CD301-CE301)</f>
      </c>
      <c r="CG301" s="72">
        <f>IF(B301="","",IF(Q301=0,0,CF301/Q301))</f>
      </c>
      <c r="CH301" s="73">
        <f>IF(B301="","",IF(J301=0,0,(BL301+CA301+CB301+CC301)/J301))</f>
      </c>
      <c r="CI301" s="73">
        <f>IF(B301="","",IF(J301=0,0,Q301/J301))</f>
      </c>
      <c r="CJ301" s="73">
        <f>IF(B301="","",IF(J301=0,0,CD301/J301))</f>
      </c>
      <c r="CK301" s="37">
        <f>IF(B301="","",Y301+AE301+BK301+BT301)</f>
      </c>
      <c r="CL301" s="37">
        <f>IF(B301="","",IF(J301=0,0,(M301+P301*G301/J301)*(1-Pct_Reclamaciones-Pct_Banco-Imp_Ventas_Serv-Contrib_Territorial)-AI301-BE301-BV301-CK301*G301/J301))</f>
      </c>
      <c r="CM301" s="37">
        <f>IF(B301="","",IF(J301=0,0,(N301+P301*H301/J301)*(1-Pct_Reclamaciones-Pct_Banco-Imp_Ventas_Serv-Contrib_Territorial)-AS301-BF301-BX301-CK301*H301/J301))</f>
      </c>
      <c r="CN301" s="37">
        <f>IF(B301="","",IF(J301=0,0,(O301+P301*I301/J301)*(1-Pct_Reclamaciones-Pct_Banco-Imp_Ventas_Serv-Contrib_Territorial)-BC301-BG301-BZ301-CK301*I301/J301))</f>
      </c>
      <c r="CO301" s="37">
        <f>IF(B301="","",IF(J301=0,0,ROUND(CD301-CL301-CM301-CN301,4)))</f>
      </c>
      <c r="CP301" s="71">
        <f>IF(B301="","",T301+AG301+AK301+AM301+AU301+AW301)</f>
      </c>
      <c r="CQ301" s="71">
        <f>IF(B301="","",U301+AH301+AL301+AN301+AV301+AX301)</f>
      </c>
      <c r="CR301" s="72">
        <f>IF(B301="","",IF(CP301=0,0,CQ301/CP301-1))</f>
      </c>
      <c r="CS301" s="60">
        <f>IF(B301="","",IF(ENTRADA!$Y301="","",ENTRADA!$Y301-C301))</f>
      </c>
      <c r="CT301" s="66">
        <f>IF(B301="","",IF(ENTRADA!$C301="","Falta fecha. ","")&amp;IF(BP301=0,"Mes fuera del rango de COSTOS_FIJOS. ","")&amp;IF(J301=0,"Sin kg. ","")&amp;IF(E301="","Falta transitaria. ","")&amp;IF(AND(T301&gt;0,U301/T301-1&gt;Tolerancia_Comb),"Combustible al puerto "&amp;TEXT(U301/T301-1,"+0%")&amp;" sobre norma. ","")&amp;IF(AND(AG301&gt;0,AH301/AG301-1&gt;Tolerancia_Comb),"Combustible distribución Occidente "&amp;TEXT(AH301/AG301-1,"+0%")&amp;" sobre norma. ","")&amp;IF(AND(AK301&gt;0,AL301/AK301-1&gt;Tolerancia_Comb),"Combustible traslado Centro "&amp;TEXT(AL301/AK301-1,"+0%")&amp;" sobre norma. ","")&amp;IF(AND(AM301&gt;0,AN301/AM301-1&gt;Tolerancia_Comb),"Combustible distribución Centro "&amp;TEXT(AN301/AM301-1,"+0%")&amp;" sobre norma. ","")&amp;IF(AND(AU301&gt;0,AV301/AU301-1&gt;Tolerancia_Comb),"Combustible traslado Oriente "&amp;TEXT(AV301/AU301-1,"+0%")&amp;" sobre norma. ","")&amp;IF(AND(AW301&gt;0,AX301/AW301-1&gt;Tolerancia_Comb),"Combustible distribución Oriente "&amp;TEXT(AX301/AW301-1,"+0%")&amp;" sobre norma. ","")&amp;IF(AND(ENTRADA!$C301&lt;&gt;"",C301&lt;PRECIOS!$A$6),"Fecha anterior a la 1ª vigencia de precios. ","")&amp;IF(CD301&lt;0,"Contenedor con pérdida. ",""))</f>
      </c>
    </row>
    <row r="302">
      <c r="A302" s="60">
        <f>IF(B302="","",ROW()-5)</f>
      </c>
      <c r="B302" s="63">
        <f>IF(ENTRADA!$B302="","",ENTRADA!$B302)</f>
      </c>
      <c r="C302" s="64">
        <f>IF(B302="","",ENTRADA!$C302)</f>
      </c>
      <c r="D302" s="65">
        <f>IF(B302="","",DATE(YEAR(C302),MONTH(C302),1))</f>
      </c>
      <c r="E302" s="66">
        <f>IF(B302="","",ENTRADA!$D302&amp;"")</f>
      </c>
      <c r="F302" s="66">
        <f>IF(B302="","",ENTRADA!$Z302&amp;"")</f>
      </c>
      <c r="G302" s="67">
        <f>IF(B302="","",N(ENTRADA!$G302))</f>
      </c>
      <c r="H302" s="67">
        <f>IF(B302="","",N(ENTRADA!$H302))</f>
      </c>
      <c r="I302" s="67">
        <f>IF(B302="","",N(ENTRADA!$I302))</f>
      </c>
      <c r="J302" s="68">
        <f>IF(B302="","",G302+H302+I302)</f>
      </c>
      <c r="K302" s="60">
        <f>IF(B302="","",IFERROR(MATCH(SUMPRODUCT(MAX((PRECIOS!$A$6:$A$55&lt;=C302)*PRECIOS!$A$6:$A$55)),PRECIOS!$A$6:$A$55,0),1))</f>
      </c>
      <c r="L302" s="69">
        <f>IF(B302="","",INDEX(PRECIOS!$A$6:$A$55,K302))</f>
      </c>
      <c r="M302" s="37">
        <f>IF(B302="","",G302*INDEX(PRECIOS!$B$6:$B$55,K302))</f>
      </c>
      <c r="N302" s="37">
        <f>IF(B302="","",H302*INDEX(PRECIOS!$C$6:$C$55,K302))</f>
      </c>
      <c r="O302" s="37">
        <f>IF(B302="","",I302*INDEX(PRECIOS!$D$6:$D$55,K302))</f>
      </c>
      <c r="P302" s="37">
        <f>IF(B302="","",N(ENTRADA!$X302))</f>
      </c>
      <c r="Q302" s="70">
        <f>IF(B302="","",M302+N302+O302+P302)</f>
      </c>
      <c r="R302" s="71">
        <f>IF(B302="","",IF(ENTRADA!$J302="",Std_Viajes_Puerto,ENTRADA!$J302))</f>
      </c>
      <c r="S302" s="37">
        <f>IF(B302="","",R302*INDEX(PRECIOS!$F$6:$F$55,K302))</f>
      </c>
      <c r="T302" s="71">
        <f>IF(B302="","",R302*Litros_Puerto_Viaje)</f>
      </c>
      <c r="U302" s="71">
        <f>IF(B302="","",IF(ENTRADA!$K302="",T302,ENTRADA!$K302))</f>
      </c>
      <c r="V302" s="37">
        <f>IF(B302="","",U302*INDEX(PRECIOS!$E$6:$E$55,K302))</f>
      </c>
      <c r="W302" s="37">
        <f>IF(B302="","",IF(ENTRADA!$L302="",R302*INDEX(PRECIOS!$G$6:$G$55,K302),ENTRADA!$L302))</f>
      </c>
      <c r="X302" s="37">
        <f>IF(B302="","",R302*Km_Puerto_Viaje*INDEX(PRECIOS!$N$6:$N$55,K302))</f>
      </c>
      <c r="Y302" s="70">
        <f>IF(B302="","",S302+V302+W302+X302)</f>
      </c>
      <c r="Z302" s="71">
        <f>IF(B302="","",IF(J302=0,0,ROUNDUP(J302/Rend_Desagrupe,0)))</f>
      </c>
      <c r="AA302" s="71">
        <f>IF(B302="","",IF(ENTRADA!$M302="",Z302,ENTRADA!$M302))</f>
      </c>
      <c r="AB302" s="37">
        <f>IF(B302="","",AA302*INDEX(PRECIOS!$H$6:$H$55,K302))</f>
      </c>
      <c r="AC302" s="37">
        <f>IF(B302="","",IF(E302="ENCI",INDEX(PRECIOS!$J$6:$J$55,K302),IF(E302="A.V",INDEX(PRECIOS!$K$6:$K$55,K302),0)))</f>
      </c>
      <c r="AD302" s="37">
        <f>IF(B302="","",N(ENTRADA!$N302))</f>
      </c>
      <c r="AE302" s="70">
        <f>IF(B302="","",AB302+AC302+AD302)</f>
      </c>
      <c r="AF302" s="71">
        <f>IF(B302="","",IF(G302=0,0,ROUNDUP(G302/Cap_Camion_OCC,0)))</f>
      </c>
      <c r="AG302" s="71">
        <f>IF(B302="","",AF302*L_Dist_OCC)</f>
      </c>
      <c r="AH302" s="71">
        <f>IF(B302="","",IF(ENTRADA!$O302="",AG302,ENTRADA!$O302))</f>
      </c>
      <c r="AI302" s="37">
        <f>IF(B302="","",AH302*INDEX(PRECIOS!$E$6:$E$55,K302))</f>
      </c>
      <c r="AJ302" s="71">
        <f>IF(B302="","",IF(H302=0,0,ROUNDUP(H302/Cap_Camion_CEN,0)))</f>
      </c>
      <c r="AK302" s="71">
        <f>IF(B302="","",AJ302*L_Tras_CEN)</f>
      </c>
      <c r="AL302" s="71">
        <f>IF(B302="","",IF(ENTRADA!$P302="",AK302,ENTRADA!$P302))</f>
      </c>
      <c r="AM302" s="71">
        <f>IF(B302="","",AJ302*L_Dist_CEN)</f>
      </c>
      <c r="AN302" s="71">
        <f>IF(B302="","",IF(ENTRADA!$Q302="",AM302,ENTRADA!$Q302))</f>
      </c>
      <c r="AO302" s="37">
        <f>IF(B302="","",(AL302+AN302)*INDEX(PRECIOS!$E$6:$E$55,K302))</f>
      </c>
      <c r="AP302" s="71">
        <f>IF(B302="","",IF(H302=0,0,ROUNDUP(H302/Rend_Desagrupe_CT,0)))</f>
      </c>
      <c r="AQ302" s="71">
        <f>IF(B302="","",IF(ENTRADA!$R302="",AP302,ENTRADA!$R302))</f>
      </c>
      <c r="AR302" s="37">
        <f>IF(B302="","",AQ302*INDEX(PRECIOS!$I$6:$I$55,K302))</f>
      </c>
      <c r="AS302" s="37">
        <f>IF(B302="","",AO302+AR302)</f>
      </c>
      <c r="AT302" s="71">
        <f>IF(B302="","",IF(I302=0,0,ROUNDUP(I302/Cap_Camion_ORI,0)))</f>
      </c>
      <c r="AU302" s="71">
        <f>IF(B302="","",AT302*L_Tras_ORI)</f>
      </c>
      <c r="AV302" s="71">
        <f>IF(B302="","",IF(ENTRADA!$S302="",AU302,ENTRADA!$S302))</f>
      </c>
      <c r="AW302" s="71">
        <f>IF(B302="","",AT302*L_Dist_ORI)</f>
      </c>
      <c r="AX302" s="71">
        <f>IF(B302="","",IF(ENTRADA!$T302="",AW302,ENTRADA!$T302))</f>
      </c>
      <c r="AY302" s="37">
        <f>IF(B302="","",(AV302+AX302)*INDEX(PRECIOS!$E$6:$E$55,K302))</f>
      </c>
      <c r="AZ302" s="71">
        <f>IF(B302="","",IF(I302=0,0,ROUNDUP(I302/Rend_Desagrupe_CT,0)))</f>
      </c>
      <c r="BA302" s="71">
        <f>IF(B302="","",IF(ENTRADA!$U302="",AZ302,ENTRADA!$U302))</f>
      </c>
      <c r="BB302" s="37">
        <f>IF(B302="","",BA302*INDEX(PRECIOS!$I$6:$I$55,K302))</f>
      </c>
      <c r="BC302" s="37">
        <f>IF(B302="","",AY302+BB302)</f>
      </c>
      <c r="BD302" s="70">
        <f>IF(B302="","",AI302+AS302+BC302)</f>
      </c>
      <c r="BE302" s="37">
        <f>IF(B302="","",IF(Base_Comision="% DEL INGRESO",M302*INDEX(PRECIOS!$L$6:$L$55,K302),G302*INDEX(PRECIOS!$M$6:$M$55,K302)))</f>
      </c>
      <c r="BF302" s="37">
        <f>IF(B302="","",IF(Base_Comision="% DEL INGRESO",N302*INDEX(PRECIOS!$L$6:$L$55,K302),H302*INDEX(PRECIOS!$M$6:$M$55,K302)))</f>
      </c>
      <c r="BG302" s="37">
        <f>IF(B302="","",IF(Base_Comision="% DEL INGRESO",O302*INDEX(PRECIOS!$L$6:$L$55,K302),I302*INDEX(PRECIOS!$M$6:$M$55,K302)))</f>
      </c>
      <c r="BH302" s="70">
        <f>IF(B302="","",BE302+BF302+BG302)</f>
      </c>
      <c r="BI302" s="37">
        <f>IF(B302="","",Q302*Pct_Reclamaciones)</f>
      </c>
      <c r="BJ302" s="37">
        <f>IF(B302="","",Q302*Pct_Banco)</f>
      </c>
      <c r="BK302" s="37">
        <f>IF(B302="","",N(ENTRADA!$V302))</f>
      </c>
      <c r="BL302" s="70">
        <f>IF(B302="","",Y302+AE302+BD302+BH302+BI302+BJ302+BK302)</f>
      </c>
      <c r="BM302" s="70">
        <f>IF(B302="","",Q302-BL302)</f>
      </c>
      <c r="BN302" s="72">
        <f>IF(B302="","",IF(Q302=0,0,BM302/Q302))</f>
      </c>
      <c r="BO302" s="73">
        <f>IF(B302="","",IF(J302=0,0,BM302/J302))</f>
      </c>
      <c r="BP302" s="60">
        <f>IF(B302="","",IFERROR(MATCH(D302,COSTOS_FIJOS!$G$5:$AD$5,0),0))</f>
      </c>
      <c r="BQ302" s="60">
        <f>IF(B302="","",COUNTIFS($D$6:$D$305,D302))</f>
      </c>
      <c r="BR302" s="67">
        <f>IF(B302="","",SUMIFS($J$6:$J$305,$D$6:$D$305,D302))</f>
      </c>
      <c r="BS302" s="72">
        <f>IF(B302="","",IF(Metodo_Prorrateo="KG",IF(BR302=0,0,J302/BR302),1/BQ302))</f>
      </c>
      <c r="BT302" s="37">
        <f>IF(B302="","",IF(BP302=0,0,INDEX(COSTOS_FIJOS!$G$38:$AD$38,BP302))*BS302)</f>
      </c>
      <c r="BU302" s="72">
        <f>IF(B302="","",IF(Metodo_Prorrateo="KG",IF(SUMIFS($G$6:$G$305,$D$6:$D$305,D302)=0,0,G302/SUMIFS($G$6:$G$305,$D$6:$D$305,D302)),IF(G302&gt;0,1/COUNTIFS($D$6:$D$305,D302,$G$6:$G$305,"&gt;0"),0)))</f>
      </c>
      <c r="BV302" s="37">
        <f>IF(B302="","",IF(BP302=0,0,INDEX(COSTOS_FIJOS!$G$39:$AD$39,BP302))*BU302)</f>
      </c>
      <c r="BW302" s="72">
        <f>IF(B302="","",IF(Metodo_Prorrateo="KG",IF(SUMIFS($H$6:$H$305,$D$6:$D$305,D302)=0,0,H302/SUMIFS($H$6:$H$305,$D$6:$D$305,D302)),IF(H302&gt;0,1/COUNTIFS($D$6:$D$305,D302,$H$6:$H$305,"&gt;0"),0)))</f>
      </c>
      <c r="BX302" s="37">
        <f>IF(B302="","",IF(BP302=0,0,INDEX(COSTOS_FIJOS!$G$40:$AD$40,BP302))*BW302)</f>
      </c>
      <c r="BY302" s="72">
        <f>IF(B302="","",IF(Metodo_Prorrateo="KG",IF(SUMIFS($I$6:$I$305,$D$6:$D$305,D302)=0,0,I302/SUMIFS($I$6:$I$305,$D$6:$D$305,D302)),IF(I302&gt;0,1/COUNTIFS($D$6:$D$305,D302,$I$6:$I$305,"&gt;0"),0)))</f>
      </c>
      <c r="BZ302" s="37">
        <f>IF(B302="","",IF(BP302=0,0,INDEX(COSTOS_FIJOS!$G$41:$AD$41,BP302))*BY302)</f>
      </c>
      <c r="CA302" s="70">
        <f>IF(B302="","",BT302+BV302+BX302+BZ302)</f>
      </c>
      <c r="CB302" s="37">
        <f>IF(B302="","",Q302*Imp_Ventas_Serv)</f>
      </c>
      <c r="CC302" s="37">
        <f>IF(B302="","",Q302*Contrib_Territorial)</f>
      </c>
      <c r="CD302" s="70">
        <f>IF(B302="","",BM302-CA302-CB302-CC302)</f>
      </c>
      <c r="CE302" s="37">
        <f>IF(B302="","",MAX(0,CD302)*Imp_Utilidades)</f>
      </c>
      <c r="CF302" s="70">
        <f>IF(B302="","",CD302-CE302)</f>
      </c>
      <c r="CG302" s="72">
        <f>IF(B302="","",IF(Q302=0,0,CF302/Q302))</f>
      </c>
      <c r="CH302" s="73">
        <f>IF(B302="","",IF(J302=0,0,(BL302+CA302+CB302+CC302)/J302))</f>
      </c>
      <c r="CI302" s="73">
        <f>IF(B302="","",IF(J302=0,0,Q302/J302))</f>
      </c>
      <c r="CJ302" s="73">
        <f>IF(B302="","",IF(J302=0,0,CD302/J302))</f>
      </c>
      <c r="CK302" s="37">
        <f>IF(B302="","",Y302+AE302+BK302+BT302)</f>
      </c>
      <c r="CL302" s="37">
        <f>IF(B302="","",IF(J302=0,0,(M302+P302*G302/J302)*(1-Pct_Reclamaciones-Pct_Banco-Imp_Ventas_Serv-Contrib_Territorial)-AI302-BE302-BV302-CK302*G302/J302))</f>
      </c>
      <c r="CM302" s="37">
        <f>IF(B302="","",IF(J302=0,0,(N302+P302*H302/J302)*(1-Pct_Reclamaciones-Pct_Banco-Imp_Ventas_Serv-Contrib_Territorial)-AS302-BF302-BX302-CK302*H302/J302))</f>
      </c>
      <c r="CN302" s="37">
        <f>IF(B302="","",IF(J302=0,0,(O302+P302*I302/J302)*(1-Pct_Reclamaciones-Pct_Banco-Imp_Ventas_Serv-Contrib_Territorial)-BC302-BG302-BZ302-CK302*I302/J302))</f>
      </c>
      <c r="CO302" s="37">
        <f>IF(B302="","",IF(J302=0,0,ROUND(CD302-CL302-CM302-CN302,4)))</f>
      </c>
      <c r="CP302" s="71">
        <f>IF(B302="","",T302+AG302+AK302+AM302+AU302+AW302)</f>
      </c>
      <c r="CQ302" s="71">
        <f>IF(B302="","",U302+AH302+AL302+AN302+AV302+AX302)</f>
      </c>
      <c r="CR302" s="72">
        <f>IF(B302="","",IF(CP302=0,0,CQ302/CP302-1))</f>
      </c>
      <c r="CS302" s="60">
        <f>IF(B302="","",IF(ENTRADA!$Y302="","",ENTRADA!$Y302-C302))</f>
      </c>
      <c r="CT302" s="66">
        <f>IF(B302="","",IF(ENTRADA!$C302="","Falta fecha. ","")&amp;IF(BP302=0,"Mes fuera del rango de COSTOS_FIJOS. ","")&amp;IF(J302=0,"Sin kg. ","")&amp;IF(E302="","Falta transitaria. ","")&amp;IF(AND(T302&gt;0,U302/T302-1&gt;Tolerancia_Comb),"Combustible al puerto "&amp;TEXT(U302/T302-1,"+0%")&amp;" sobre norma. ","")&amp;IF(AND(AG302&gt;0,AH302/AG302-1&gt;Tolerancia_Comb),"Combustible distribución Occidente "&amp;TEXT(AH302/AG302-1,"+0%")&amp;" sobre norma. ","")&amp;IF(AND(AK302&gt;0,AL302/AK302-1&gt;Tolerancia_Comb),"Combustible traslado Centro "&amp;TEXT(AL302/AK302-1,"+0%")&amp;" sobre norma. ","")&amp;IF(AND(AM302&gt;0,AN302/AM302-1&gt;Tolerancia_Comb),"Combustible distribución Centro "&amp;TEXT(AN302/AM302-1,"+0%")&amp;" sobre norma. ","")&amp;IF(AND(AU302&gt;0,AV302/AU302-1&gt;Tolerancia_Comb),"Combustible traslado Oriente "&amp;TEXT(AV302/AU302-1,"+0%")&amp;" sobre norma. ","")&amp;IF(AND(AW302&gt;0,AX302/AW302-1&gt;Tolerancia_Comb),"Combustible distribución Oriente "&amp;TEXT(AX302/AW302-1,"+0%")&amp;" sobre norma. ","")&amp;IF(AND(ENTRADA!$C302&lt;&gt;"",C302&lt;PRECIOS!$A$6),"Fecha anterior a la 1ª vigencia de precios. ","")&amp;IF(CD302&lt;0,"Contenedor con pérdida. ",""))</f>
      </c>
    </row>
    <row r="303">
      <c r="A303" s="60">
        <f>IF(B303="","",ROW()-5)</f>
      </c>
      <c r="B303" s="63">
        <f>IF(ENTRADA!$B303="","",ENTRADA!$B303)</f>
      </c>
      <c r="C303" s="64">
        <f>IF(B303="","",ENTRADA!$C303)</f>
      </c>
      <c r="D303" s="65">
        <f>IF(B303="","",DATE(YEAR(C303),MONTH(C303),1))</f>
      </c>
      <c r="E303" s="66">
        <f>IF(B303="","",ENTRADA!$D303&amp;"")</f>
      </c>
      <c r="F303" s="66">
        <f>IF(B303="","",ENTRADA!$Z303&amp;"")</f>
      </c>
      <c r="G303" s="67">
        <f>IF(B303="","",N(ENTRADA!$G303))</f>
      </c>
      <c r="H303" s="67">
        <f>IF(B303="","",N(ENTRADA!$H303))</f>
      </c>
      <c r="I303" s="67">
        <f>IF(B303="","",N(ENTRADA!$I303))</f>
      </c>
      <c r="J303" s="68">
        <f>IF(B303="","",G303+H303+I303)</f>
      </c>
      <c r="K303" s="60">
        <f>IF(B303="","",IFERROR(MATCH(SUMPRODUCT(MAX((PRECIOS!$A$6:$A$55&lt;=C303)*PRECIOS!$A$6:$A$55)),PRECIOS!$A$6:$A$55,0),1))</f>
      </c>
      <c r="L303" s="69">
        <f>IF(B303="","",INDEX(PRECIOS!$A$6:$A$55,K303))</f>
      </c>
      <c r="M303" s="37">
        <f>IF(B303="","",G303*INDEX(PRECIOS!$B$6:$B$55,K303))</f>
      </c>
      <c r="N303" s="37">
        <f>IF(B303="","",H303*INDEX(PRECIOS!$C$6:$C$55,K303))</f>
      </c>
      <c r="O303" s="37">
        <f>IF(B303="","",I303*INDEX(PRECIOS!$D$6:$D$55,K303))</f>
      </c>
      <c r="P303" s="37">
        <f>IF(B303="","",N(ENTRADA!$X303))</f>
      </c>
      <c r="Q303" s="70">
        <f>IF(B303="","",M303+N303+O303+P303)</f>
      </c>
      <c r="R303" s="71">
        <f>IF(B303="","",IF(ENTRADA!$J303="",Std_Viajes_Puerto,ENTRADA!$J303))</f>
      </c>
      <c r="S303" s="37">
        <f>IF(B303="","",R303*INDEX(PRECIOS!$F$6:$F$55,K303))</f>
      </c>
      <c r="T303" s="71">
        <f>IF(B303="","",R303*Litros_Puerto_Viaje)</f>
      </c>
      <c r="U303" s="71">
        <f>IF(B303="","",IF(ENTRADA!$K303="",T303,ENTRADA!$K303))</f>
      </c>
      <c r="V303" s="37">
        <f>IF(B303="","",U303*INDEX(PRECIOS!$E$6:$E$55,K303))</f>
      </c>
      <c r="W303" s="37">
        <f>IF(B303="","",IF(ENTRADA!$L303="",R303*INDEX(PRECIOS!$G$6:$G$55,K303),ENTRADA!$L303))</f>
      </c>
      <c r="X303" s="37">
        <f>IF(B303="","",R303*Km_Puerto_Viaje*INDEX(PRECIOS!$N$6:$N$55,K303))</f>
      </c>
      <c r="Y303" s="70">
        <f>IF(B303="","",S303+V303+W303+X303)</f>
      </c>
      <c r="Z303" s="71">
        <f>IF(B303="","",IF(J303=0,0,ROUNDUP(J303/Rend_Desagrupe,0)))</f>
      </c>
      <c r="AA303" s="71">
        <f>IF(B303="","",IF(ENTRADA!$M303="",Z303,ENTRADA!$M303))</f>
      </c>
      <c r="AB303" s="37">
        <f>IF(B303="","",AA303*INDEX(PRECIOS!$H$6:$H$55,K303))</f>
      </c>
      <c r="AC303" s="37">
        <f>IF(B303="","",IF(E303="ENCI",INDEX(PRECIOS!$J$6:$J$55,K303),IF(E303="A.V",INDEX(PRECIOS!$K$6:$K$55,K303),0)))</f>
      </c>
      <c r="AD303" s="37">
        <f>IF(B303="","",N(ENTRADA!$N303))</f>
      </c>
      <c r="AE303" s="70">
        <f>IF(B303="","",AB303+AC303+AD303)</f>
      </c>
      <c r="AF303" s="71">
        <f>IF(B303="","",IF(G303=0,0,ROUNDUP(G303/Cap_Camion_OCC,0)))</f>
      </c>
      <c r="AG303" s="71">
        <f>IF(B303="","",AF303*L_Dist_OCC)</f>
      </c>
      <c r="AH303" s="71">
        <f>IF(B303="","",IF(ENTRADA!$O303="",AG303,ENTRADA!$O303))</f>
      </c>
      <c r="AI303" s="37">
        <f>IF(B303="","",AH303*INDEX(PRECIOS!$E$6:$E$55,K303))</f>
      </c>
      <c r="AJ303" s="71">
        <f>IF(B303="","",IF(H303=0,0,ROUNDUP(H303/Cap_Camion_CEN,0)))</f>
      </c>
      <c r="AK303" s="71">
        <f>IF(B303="","",AJ303*L_Tras_CEN)</f>
      </c>
      <c r="AL303" s="71">
        <f>IF(B303="","",IF(ENTRADA!$P303="",AK303,ENTRADA!$P303))</f>
      </c>
      <c r="AM303" s="71">
        <f>IF(B303="","",AJ303*L_Dist_CEN)</f>
      </c>
      <c r="AN303" s="71">
        <f>IF(B303="","",IF(ENTRADA!$Q303="",AM303,ENTRADA!$Q303))</f>
      </c>
      <c r="AO303" s="37">
        <f>IF(B303="","",(AL303+AN303)*INDEX(PRECIOS!$E$6:$E$55,K303))</f>
      </c>
      <c r="AP303" s="71">
        <f>IF(B303="","",IF(H303=0,0,ROUNDUP(H303/Rend_Desagrupe_CT,0)))</f>
      </c>
      <c r="AQ303" s="71">
        <f>IF(B303="","",IF(ENTRADA!$R303="",AP303,ENTRADA!$R303))</f>
      </c>
      <c r="AR303" s="37">
        <f>IF(B303="","",AQ303*INDEX(PRECIOS!$I$6:$I$55,K303))</f>
      </c>
      <c r="AS303" s="37">
        <f>IF(B303="","",AO303+AR303)</f>
      </c>
      <c r="AT303" s="71">
        <f>IF(B303="","",IF(I303=0,0,ROUNDUP(I303/Cap_Camion_ORI,0)))</f>
      </c>
      <c r="AU303" s="71">
        <f>IF(B303="","",AT303*L_Tras_ORI)</f>
      </c>
      <c r="AV303" s="71">
        <f>IF(B303="","",IF(ENTRADA!$S303="",AU303,ENTRADA!$S303))</f>
      </c>
      <c r="AW303" s="71">
        <f>IF(B303="","",AT303*L_Dist_ORI)</f>
      </c>
      <c r="AX303" s="71">
        <f>IF(B303="","",IF(ENTRADA!$T303="",AW303,ENTRADA!$T303))</f>
      </c>
      <c r="AY303" s="37">
        <f>IF(B303="","",(AV303+AX303)*INDEX(PRECIOS!$E$6:$E$55,K303))</f>
      </c>
      <c r="AZ303" s="71">
        <f>IF(B303="","",IF(I303=0,0,ROUNDUP(I303/Rend_Desagrupe_CT,0)))</f>
      </c>
      <c r="BA303" s="71">
        <f>IF(B303="","",IF(ENTRADA!$U303="",AZ303,ENTRADA!$U303))</f>
      </c>
      <c r="BB303" s="37">
        <f>IF(B303="","",BA303*INDEX(PRECIOS!$I$6:$I$55,K303))</f>
      </c>
      <c r="BC303" s="37">
        <f>IF(B303="","",AY303+BB303)</f>
      </c>
      <c r="BD303" s="70">
        <f>IF(B303="","",AI303+AS303+BC303)</f>
      </c>
      <c r="BE303" s="37">
        <f>IF(B303="","",IF(Base_Comision="% DEL INGRESO",M303*INDEX(PRECIOS!$L$6:$L$55,K303),G303*INDEX(PRECIOS!$M$6:$M$55,K303)))</f>
      </c>
      <c r="BF303" s="37">
        <f>IF(B303="","",IF(Base_Comision="% DEL INGRESO",N303*INDEX(PRECIOS!$L$6:$L$55,K303),H303*INDEX(PRECIOS!$M$6:$M$55,K303)))</f>
      </c>
      <c r="BG303" s="37">
        <f>IF(B303="","",IF(Base_Comision="% DEL INGRESO",O303*INDEX(PRECIOS!$L$6:$L$55,K303),I303*INDEX(PRECIOS!$M$6:$M$55,K303)))</f>
      </c>
      <c r="BH303" s="70">
        <f>IF(B303="","",BE303+BF303+BG303)</f>
      </c>
      <c r="BI303" s="37">
        <f>IF(B303="","",Q303*Pct_Reclamaciones)</f>
      </c>
      <c r="BJ303" s="37">
        <f>IF(B303="","",Q303*Pct_Banco)</f>
      </c>
      <c r="BK303" s="37">
        <f>IF(B303="","",N(ENTRADA!$V303))</f>
      </c>
      <c r="BL303" s="70">
        <f>IF(B303="","",Y303+AE303+BD303+BH303+BI303+BJ303+BK303)</f>
      </c>
      <c r="BM303" s="70">
        <f>IF(B303="","",Q303-BL303)</f>
      </c>
      <c r="BN303" s="72">
        <f>IF(B303="","",IF(Q303=0,0,BM303/Q303))</f>
      </c>
      <c r="BO303" s="73">
        <f>IF(B303="","",IF(J303=0,0,BM303/J303))</f>
      </c>
      <c r="BP303" s="60">
        <f>IF(B303="","",IFERROR(MATCH(D303,COSTOS_FIJOS!$G$5:$AD$5,0),0))</f>
      </c>
      <c r="BQ303" s="60">
        <f>IF(B303="","",COUNTIFS($D$6:$D$305,D303))</f>
      </c>
      <c r="BR303" s="67">
        <f>IF(B303="","",SUMIFS($J$6:$J$305,$D$6:$D$305,D303))</f>
      </c>
      <c r="BS303" s="72">
        <f>IF(B303="","",IF(Metodo_Prorrateo="KG",IF(BR303=0,0,J303/BR303),1/BQ303))</f>
      </c>
      <c r="BT303" s="37">
        <f>IF(B303="","",IF(BP303=0,0,INDEX(COSTOS_FIJOS!$G$38:$AD$38,BP303))*BS303)</f>
      </c>
      <c r="BU303" s="72">
        <f>IF(B303="","",IF(Metodo_Prorrateo="KG",IF(SUMIFS($G$6:$G$305,$D$6:$D$305,D303)=0,0,G303/SUMIFS($G$6:$G$305,$D$6:$D$305,D303)),IF(G303&gt;0,1/COUNTIFS($D$6:$D$305,D303,$G$6:$G$305,"&gt;0"),0)))</f>
      </c>
      <c r="BV303" s="37">
        <f>IF(B303="","",IF(BP303=0,0,INDEX(COSTOS_FIJOS!$G$39:$AD$39,BP303))*BU303)</f>
      </c>
      <c r="BW303" s="72">
        <f>IF(B303="","",IF(Metodo_Prorrateo="KG",IF(SUMIFS($H$6:$H$305,$D$6:$D$305,D303)=0,0,H303/SUMIFS($H$6:$H$305,$D$6:$D$305,D303)),IF(H303&gt;0,1/COUNTIFS($D$6:$D$305,D303,$H$6:$H$305,"&gt;0"),0)))</f>
      </c>
      <c r="BX303" s="37">
        <f>IF(B303="","",IF(BP303=0,0,INDEX(COSTOS_FIJOS!$G$40:$AD$40,BP303))*BW303)</f>
      </c>
      <c r="BY303" s="72">
        <f>IF(B303="","",IF(Metodo_Prorrateo="KG",IF(SUMIFS($I$6:$I$305,$D$6:$D$305,D303)=0,0,I303/SUMIFS($I$6:$I$305,$D$6:$D$305,D303)),IF(I303&gt;0,1/COUNTIFS($D$6:$D$305,D303,$I$6:$I$305,"&gt;0"),0)))</f>
      </c>
      <c r="BZ303" s="37">
        <f>IF(B303="","",IF(BP303=0,0,INDEX(COSTOS_FIJOS!$G$41:$AD$41,BP303))*BY303)</f>
      </c>
      <c r="CA303" s="70">
        <f>IF(B303="","",BT303+BV303+BX303+BZ303)</f>
      </c>
      <c r="CB303" s="37">
        <f>IF(B303="","",Q303*Imp_Ventas_Serv)</f>
      </c>
      <c r="CC303" s="37">
        <f>IF(B303="","",Q303*Contrib_Territorial)</f>
      </c>
      <c r="CD303" s="70">
        <f>IF(B303="","",BM303-CA303-CB303-CC303)</f>
      </c>
      <c r="CE303" s="37">
        <f>IF(B303="","",MAX(0,CD303)*Imp_Utilidades)</f>
      </c>
      <c r="CF303" s="70">
        <f>IF(B303="","",CD303-CE303)</f>
      </c>
      <c r="CG303" s="72">
        <f>IF(B303="","",IF(Q303=0,0,CF303/Q303))</f>
      </c>
      <c r="CH303" s="73">
        <f>IF(B303="","",IF(J303=0,0,(BL303+CA303+CB303+CC303)/J303))</f>
      </c>
      <c r="CI303" s="73">
        <f>IF(B303="","",IF(J303=0,0,Q303/J303))</f>
      </c>
      <c r="CJ303" s="73">
        <f>IF(B303="","",IF(J303=0,0,CD303/J303))</f>
      </c>
      <c r="CK303" s="37">
        <f>IF(B303="","",Y303+AE303+BK303+BT303)</f>
      </c>
      <c r="CL303" s="37">
        <f>IF(B303="","",IF(J303=0,0,(M303+P303*G303/J303)*(1-Pct_Reclamaciones-Pct_Banco-Imp_Ventas_Serv-Contrib_Territorial)-AI303-BE303-BV303-CK303*G303/J303))</f>
      </c>
      <c r="CM303" s="37">
        <f>IF(B303="","",IF(J303=0,0,(N303+P303*H303/J303)*(1-Pct_Reclamaciones-Pct_Banco-Imp_Ventas_Serv-Contrib_Territorial)-AS303-BF303-BX303-CK303*H303/J303))</f>
      </c>
      <c r="CN303" s="37">
        <f>IF(B303="","",IF(J303=0,0,(O303+P303*I303/J303)*(1-Pct_Reclamaciones-Pct_Banco-Imp_Ventas_Serv-Contrib_Territorial)-BC303-BG303-BZ303-CK303*I303/J303))</f>
      </c>
      <c r="CO303" s="37">
        <f>IF(B303="","",IF(J303=0,0,ROUND(CD303-CL303-CM303-CN303,4)))</f>
      </c>
      <c r="CP303" s="71">
        <f>IF(B303="","",T303+AG303+AK303+AM303+AU303+AW303)</f>
      </c>
      <c r="CQ303" s="71">
        <f>IF(B303="","",U303+AH303+AL303+AN303+AV303+AX303)</f>
      </c>
      <c r="CR303" s="72">
        <f>IF(B303="","",IF(CP303=0,0,CQ303/CP303-1))</f>
      </c>
      <c r="CS303" s="60">
        <f>IF(B303="","",IF(ENTRADA!$Y303="","",ENTRADA!$Y303-C303))</f>
      </c>
      <c r="CT303" s="66">
        <f>IF(B303="","",IF(ENTRADA!$C303="","Falta fecha. ","")&amp;IF(BP303=0,"Mes fuera del rango de COSTOS_FIJOS. ","")&amp;IF(J303=0,"Sin kg. ","")&amp;IF(E303="","Falta transitaria. ","")&amp;IF(AND(T303&gt;0,U303/T303-1&gt;Tolerancia_Comb),"Combustible al puerto "&amp;TEXT(U303/T303-1,"+0%")&amp;" sobre norma. ","")&amp;IF(AND(AG303&gt;0,AH303/AG303-1&gt;Tolerancia_Comb),"Combustible distribución Occidente "&amp;TEXT(AH303/AG303-1,"+0%")&amp;" sobre norma. ","")&amp;IF(AND(AK303&gt;0,AL303/AK303-1&gt;Tolerancia_Comb),"Combustible traslado Centro "&amp;TEXT(AL303/AK303-1,"+0%")&amp;" sobre norma. ","")&amp;IF(AND(AM303&gt;0,AN303/AM303-1&gt;Tolerancia_Comb),"Combustible distribución Centro "&amp;TEXT(AN303/AM303-1,"+0%")&amp;" sobre norma. ","")&amp;IF(AND(AU303&gt;0,AV303/AU303-1&gt;Tolerancia_Comb),"Combustible traslado Oriente "&amp;TEXT(AV303/AU303-1,"+0%")&amp;" sobre norma. ","")&amp;IF(AND(AW303&gt;0,AX303/AW303-1&gt;Tolerancia_Comb),"Combustible distribución Oriente "&amp;TEXT(AX303/AW303-1,"+0%")&amp;" sobre norma. ","")&amp;IF(AND(ENTRADA!$C303&lt;&gt;"",C303&lt;PRECIOS!$A$6),"Fecha anterior a la 1ª vigencia de precios. ","")&amp;IF(CD303&lt;0,"Contenedor con pérdida. ",""))</f>
      </c>
    </row>
    <row r="304">
      <c r="A304" s="60">
        <f>IF(B304="","",ROW()-5)</f>
      </c>
      <c r="B304" s="63">
        <f>IF(ENTRADA!$B304="","",ENTRADA!$B304)</f>
      </c>
      <c r="C304" s="64">
        <f>IF(B304="","",ENTRADA!$C304)</f>
      </c>
      <c r="D304" s="65">
        <f>IF(B304="","",DATE(YEAR(C304),MONTH(C304),1))</f>
      </c>
      <c r="E304" s="66">
        <f>IF(B304="","",ENTRADA!$D304&amp;"")</f>
      </c>
      <c r="F304" s="66">
        <f>IF(B304="","",ENTRADA!$Z304&amp;"")</f>
      </c>
      <c r="G304" s="67">
        <f>IF(B304="","",N(ENTRADA!$G304))</f>
      </c>
      <c r="H304" s="67">
        <f>IF(B304="","",N(ENTRADA!$H304))</f>
      </c>
      <c r="I304" s="67">
        <f>IF(B304="","",N(ENTRADA!$I304))</f>
      </c>
      <c r="J304" s="68">
        <f>IF(B304="","",G304+H304+I304)</f>
      </c>
      <c r="K304" s="60">
        <f>IF(B304="","",IFERROR(MATCH(SUMPRODUCT(MAX((PRECIOS!$A$6:$A$55&lt;=C304)*PRECIOS!$A$6:$A$55)),PRECIOS!$A$6:$A$55,0),1))</f>
      </c>
      <c r="L304" s="69">
        <f>IF(B304="","",INDEX(PRECIOS!$A$6:$A$55,K304))</f>
      </c>
      <c r="M304" s="37">
        <f>IF(B304="","",G304*INDEX(PRECIOS!$B$6:$B$55,K304))</f>
      </c>
      <c r="N304" s="37">
        <f>IF(B304="","",H304*INDEX(PRECIOS!$C$6:$C$55,K304))</f>
      </c>
      <c r="O304" s="37">
        <f>IF(B304="","",I304*INDEX(PRECIOS!$D$6:$D$55,K304))</f>
      </c>
      <c r="P304" s="37">
        <f>IF(B304="","",N(ENTRADA!$X304))</f>
      </c>
      <c r="Q304" s="70">
        <f>IF(B304="","",M304+N304+O304+P304)</f>
      </c>
      <c r="R304" s="71">
        <f>IF(B304="","",IF(ENTRADA!$J304="",Std_Viajes_Puerto,ENTRADA!$J304))</f>
      </c>
      <c r="S304" s="37">
        <f>IF(B304="","",R304*INDEX(PRECIOS!$F$6:$F$55,K304))</f>
      </c>
      <c r="T304" s="71">
        <f>IF(B304="","",R304*Litros_Puerto_Viaje)</f>
      </c>
      <c r="U304" s="71">
        <f>IF(B304="","",IF(ENTRADA!$K304="",T304,ENTRADA!$K304))</f>
      </c>
      <c r="V304" s="37">
        <f>IF(B304="","",U304*INDEX(PRECIOS!$E$6:$E$55,K304))</f>
      </c>
      <c r="W304" s="37">
        <f>IF(B304="","",IF(ENTRADA!$L304="",R304*INDEX(PRECIOS!$G$6:$G$55,K304),ENTRADA!$L304))</f>
      </c>
      <c r="X304" s="37">
        <f>IF(B304="","",R304*Km_Puerto_Viaje*INDEX(PRECIOS!$N$6:$N$55,K304))</f>
      </c>
      <c r="Y304" s="70">
        <f>IF(B304="","",S304+V304+W304+X304)</f>
      </c>
      <c r="Z304" s="71">
        <f>IF(B304="","",IF(J304=0,0,ROUNDUP(J304/Rend_Desagrupe,0)))</f>
      </c>
      <c r="AA304" s="71">
        <f>IF(B304="","",IF(ENTRADA!$M304="",Z304,ENTRADA!$M304))</f>
      </c>
      <c r="AB304" s="37">
        <f>IF(B304="","",AA304*INDEX(PRECIOS!$H$6:$H$55,K304))</f>
      </c>
      <c r="AC304" s="37">
        <f>IF(B304="","",IF(E304="ENCI",INDEX(PRECIOS!$J$6:$J$55,K304),IF(E304="A.V",INDEX(PRECIOS!$K$6:$K$55,K304),0)))</f>
      </c>
      <c r="AD304" s="37">
        <f>IF(B304="","",N(ENTRADA!$N304))</f>
      </c>
      <c r="AE304" s="70">
        <f>IF(B304="","",AB304+AC304+AD304)</f>
      </c>
      <c r="AF304" s="71">
        <f>IF(B304="","",IF(G304=0,0,ROUNDUP(G304/Cap_Camion_OCC,0)))</f>
      </c>
      <c r="AG304" s="71">
        <f>IF(B304="","",AF304*L_Dist_OCC)</f>
      </c>
      <c r="AH304" s="71">
        <f>IF(B304="","",IF(ENTRADA!$O304="",AG304,ENTRADA!$O304))</f>
      </c>
      <c r="AI304" s="37">
        <f>IF(B304="","",AH304*INDEX(PRECIOS!$E$6:$E$55,K304))</f>
      </c>
      <c r="AJ304" s="71">
        <f>IF(B304="","",IF(H304=0,0,ROUNDUP(H304/Cap_Camion_CEN,0)))</f>
      </c>
      <c r="AK304" s="71">
        <f>IF(B304="","",AJ304*L_Tras_CEN)</f>
      </c>
      <c r="AL304" s="71">
        <f>IF(B304="","",IF(ENTRADA!$P304="",AK304,ENTRADA!$P304))</f>
      </c>
      <c r="AM304" s="71">
        <f>IF(B304="","",AJ304*L_Dist_CEN)</f>
      </c>
      <c r="AN304" s="71">
        <f>IF(B304="","",IF(ENTRADA!$Q304="",AM304,ENTRADA!$Q304))</f>
      </c>
      <c r="AO304" s="37">
        <f>IF(B304="","",(AL304+AN304)*INDEX(PRECIOS!$E$6:$E$55,K304))</f>
      </c>
      <c r="AP304" s="71">
        <f>IF(B304="","",IF(H304=0,0,ROUNDUP(H304/Rend_Desagrupe_CT,0)))</f>
      </c>
      <c r="AQ304" s="71">
        <f>IF(B304="","",IF(ENTRADA!$R304="",AP304,ENTRADA!$R304))</f>
      </c>
      <c r="AR304" s="37">
        <f>IF(B304="","",AQ304*INDEX(PRECIOS!$I$6:$I$55,K304))</f>
      </c>
      <c r="AS304" s="37">
        <f>IF(B304="","",AO304+AR304)</f>
      </c>
      <c r="AT304" s="71">
        <f>IF(B304="","",IF(I304=0,0,ROUNDUP(I304/Cap_Camion_ORI,0)))</f>
      </c>
      <c r="AU304" s="71">
        <f>IF(B304="","",AT304*L_Tras_ORI)</f>
      </c>
      <c r="AV304" s="71">
        <f>IF(B304="","",IF(ENTRADA!$S304="",AU304,ENTRADA!$S304))</f>
      </c>
      <c r="AW304" s="71">
        <f>IF(B304="","",AT304*L_Dist_ORI)</f>
      </c>
      <c r="AX304" s="71">
        <f>IF(B304="","",IF(ENTRADA!$T304="",AW304,ENTRADA!$T304))</f>
      </c>
      <c r="AY304" s="37">
        <f>IF(B304="","",(AV304+AX304)*INDEX(PRECIOS!$E$6:$E$55,K304))</f>
      </c>
      <c r="AZ304" s="71">
        <f>IF(B304="","",IF(I304=0,0,ROUNDUP(I304/Rend_Desagrupe_CT,0)))</f>
      </c>
      <c r="BA304" s="71">
        <f>IF(B304="","",IF(ENTRADA!$U304="",AZ304,ENTRADA!$U304))</f>
      </c>
      <c r="BB304" s="37">
        <f>IF(B304="","",BA304*INDEX(PRECIOS!$I$6:$I$55,K304))</f>
      </c>
      <c r="BC304" s="37">
        <f>IF(B304="","",AY304+BB304)</f>
      </c>
      <c r="BD304" s="70">
        <f>IF(B304="","",AI304+AS304+BC304)</f>
      </c>
      <c r="BE304" s="37">
        <f>IF(B304="","",IF(Base_Comision="% DEL INGRESO",M304*INDEX(PRECIOS!$L$6:$L$55,K304),G304*INDEX(PRECIOS!$M$6:$M$55,K304)))</f>
      </c>
      <c r="BF304" s="37">
        <f>IF(B304="","",IF(Base_Comision="% DEL INGRESO",N304*INDEX(PRECIOS!$L$6:$L$55,K304),H304*INDEX(PRECIOS!$M$6:$M$55,K304)))</f>
      </c>
      <c r="BG304" s="37">
        <f>IF(B304="","",IF(Base_Comision="% DEL INGRESO",O304*INDEX(PRECIOS!$L$6:$L$55,K304),I304*INDEX(PRECIOS!$M$6:$M$55,K304)))</f>
      </c>
      <c r="BH304" s="70">
        <f>IF(B304="","",BE304+BF304+BG304)</f>
      </c>
      <c r="BI304" s="37">
        <f>IF(B304="","",Q304*Pct_Reclamaciones)</f>
      </c>
      <c r="BJ304" s="37">
        <f>IF(B304="","",Q304*Pct_Banco)</f>
      </c>
      <c r="BK304" s="37">
        <f>IF(B304="","",N(ENTRADA!$V304))</f>
      </c>
      <c r="BL304" s="70">
        <f>IF(B304="","",Y304+AE304+BD304+BH304+BI304+BJ304+BK304)</f>
      </c>
      <c r="BM304" s="70">
        <f>IF(B304="","",Q304-BL304)</f>
      </c>
      <c r="BN304" s="72">
        <f>IF(B304="","",IF(Q304=0,0,BM304/Q304))</f>
      </c>
      <c r="BO304" s="73">
        <f>IF(B304="","",IF(J304=0,0,BM304/J304))</f>
      </c>
      <c r="BP304" s="60">
        <f>IF(B304="","",IFERROR(MATCH(D304,COSTOS_FIJOS!$G$5:$AD$5,0),0))</f>
      </c>
      <c r="BQ304" s="60">
        <f>IF(B304="","",COUNTIFS($D$6:$D$305,D304))</f>
      </c>
      <c r="BR304" s="67">
        <f>IF(B304="","",SUMIFS($J$6:$J$305,$D$6:$D$305,D304))</f>
      </c>
      <c r="BS304" s="72">
        <f>IF(B304="","",IF(Metodo_Prorrateo="KG",IF(BR304=0,0,J304/BR304),1/BQ304))</f>
      </c>
      <c r="BT304" s="37">
        <f>IF(B304="","",IF(BP304=0,0,INDEX(COSTOS_FIJOS!$G$38:$AD$38,BP304))*BS304)</f>
      </c>
      <c r="BU304" s="72">
        <f>IF(B304="","",IF(Metodo_Prorrateo="KG",IF(SUMIFS($G$6:$G$305,$D$6:$D$305,D304)=0,0,G304/SUMIFS($G$6:$G$305,$D$6:$D$305,D304)),IF(G304&gt;0,1/COUNTIFS($D$6:$D$305,D304,$G$6:$G$305,"&gt;0"),0)))</f>
      </c>
      <c r="BV304" s="37">
        <f>IF(B304="","",IF(BP304=0,0,INDEX(COSTOS_FIJOS!$G$39:$AD$39,BP304))*BU304)</f>
      </c>
      <c r="BW304" s="72">
        <f>IF(B304="","",IF(Metodo_Prorrateo="KG",IF(SUMIFS($H$6:$H$305,$D$6:$D$305,D304)=0,0,H304/SUMIFS($H$6:$H$305,$D$6:$D$305,D304)),IF(H304&gt;0,1/COUNTIFS($D$6:$D$305,D304,$H$6:$H$305,"&gt;0"),0)))</f>
      </c>
      <c r="BX304" s="37">
        <f>IF(B304="","",IF(BP304=0,0,INDEX(COSTOS_FIJOS!$G$40:$AD$40,BP304))*BW304)</f>
      </c>
      <c r="BY304" s="72">
        <f>IF(B304="","",IF(Metodo_Prorrateo="KG",IF(SUMIFS($I$6:$I$305,$D$6:$D$305,D304)=0,0,I304/SUMIFS($I$6:$I$305,$D$6:$D$305,D304)),IF(I304&gt;0,1/COUNTIFS($D$6:$D$305,D304,$I$6:$I$305,"&gt;0"),0)))</f>
      </c>
      <c r="BZ304" s="37">
        <f>IF(B304="","",IF(BP304=0,0,INDEX(COSTOS_FIJOS!$G$41:$AD$41,BP304))*BY304)</f>
      </c>
      <c r="CA304" s="70">
        <f>IF(B304="","",BT304+BV304+BX304+BZ304)</f>
      </c>
      <c r="CB304" s="37">
        <f>IF(B304="","",Q304*Imp_Ventas_Serv)</f>
      </c>
      <c r="CC304" s="37">
        <f>IF(B304="","",Q304*Contrib_Territorial)</f>
      </c>
      <c r="CD304" s="70">
        <f>IF(B304="","",BM304-CA304-CB304-CC304)</f>
      </c>
      <c r="CE304" s="37">
        <f>IF(B304="","",MAX(0,CD304)*Imp_Utilidades)</f>
      </c>
      <c r="CF304" s="70">
        <f>IF(B304="","",CD304-CE304)</f>
      </c>
      <c r="CG304" s="72">
        <f>IF(B304="","",IF(Q304=0,0,CF304/Q304))</f>
      </c>
      <c r="CH304" s="73">
        <f>IF(B304="","",IF(J304=0,0,(BL304+CA304+CB304+CC304)/J304))</f>
      </c>
      <c r="CI304" s="73">
        <f>IF(B304="","",IF(J304=0,0,Q304/J304))</f>
      </c>
      <c r="CJ304" s="73">
        <f>IF(B304="","",IF(J304=0,0,CD304/J304))</f>
      </c>
      <c r="CK304" s="37">
        <f>IF(B304="","",Y304+AE304+BK304+BT304)</f>
      </c>
      <c r="CL304" s="37">
        <f>IF(B304="","",IF(J304=0,0,(M304+P304*G304/J304)*(1-Pct_Reclamaciones-Pct_Banco-Imp_Ventas_Serv-Contrib_Territorial)-AI304-BE304-BV304-CK304*G304/J304))</f>
      </c>
      <c r="CM304" s="37">
        <f>IF(B304="","",IF(J304=0,0,(N304+P304*H304/J304)*(1-Pct_Reclamaciones-Pct_Banco-Imp_Ventas_Serv-Contrib_Territorial)-AS304-BF304-BX304-CK304*H304/J304))</f>
      </c>
      <c r="CN304" s="37">
        <f>IF(B304="","",IF(J304=0,0,(O304+P304*I304/J304)*(1-Pct_Reclamaciones-Pct_Banco-Imp_Ventas_Serv-Contrib_Territorial)-BC304-BG304-BZ304-CK304*I304/J304))</f>
      </c>
      <c r="CO304" s="37">
        <f>IF(B304="","",IF(J304=0,0,ROUND(CD304-CL304-CM304-CN304,4)))</f>
      </c>
      <c r="CP304" s="71">
        <f>IF(B304="","",T304+AG304+AK304+AM304+AU304+AW304)</f>
      </c>
      <c r="CQ304" s="71">
        <f>IF(B304="","",U304+AH304+AL304+AN304+AV304+AX304)</f>
      </c>
      <c r="CR304" s="72">
        <f>IF(B304="","",IF(CP304=0,0,CQ304/CP304-1))</f>
      </c>
      <c r="CS304" s="60">
        <f>IF(B304="","",IF(ENTRADA!$Y304="","",ENTRADA!$Y304-C304))</f>
      </c>
      <c r="CT304" s="66">
        <f>IF(B304="","",IF(ENTRADA!$C304="","Falta fecha. ","")&amp;IF(BP304=0,"Mes fuera del rango de COSTOS_FIJOS. ","")&amp;IF(J304=0,"Sin kg. ","")&amp;IF(E304="","Falta transitaria. ","")&amp;IF(AND(T304&gt;0,U304/T304-1&gt;Tolerancia_Comb),"Combustible al puerto "&amp;TEXT(U304/T304-1,"+0%")&amp;" sobre norma. ","")&amp;IF(AND(AG304&gt;0,AH304/AG304-1&gt;Tolerancia_Comb),"Combustible distribución Occidente "&amp;TEXT(AH304/AG304-1,"+0%")&amp;" sobre norma. ","")&amp;IF(AND(AK304&gt;0,AL304/AK304-1&gt;Tolerancia_Comb),"Combustible traslado Centro "&amp;TEXT(AL304/AK304-1,"+0%")&amp;" sobre norma. ","")&amp;IF(AND(AM304&gt;0,AN304/AM304-1&gt;Tolerancia_Comb),"Combustible distribución Centro "&amp;TEXT(AN304/AM304-1,"+0%")&amp;" sobre norma. ","")&amp;IF(AND(AU304&gt;0,AV304/AU304-1&gt;Tolerancia_Comb),"Combustible traslado Oriente "&amp;TEXT(AV304/AU304-1,"+0%")&amp;" sobre norma. ","")&amp;IF(AND(AW304&gt;0,AX304/AW304-1&gt;Tolerancia_Comb),"Combustible distribución Oriente "&amp;TEXT(AX304/AW304-1,"+0%")&amp;" sobre norma. ","")&amp;IF(AND(ENTRADA!$C304&lt;&gt;"",C304&lt;PRECIOS!$A$6),"Fecha anterior a la 1ª vigencia de precios. ","")&amp;IF(CD304&lt;0,"Contenedor con pérdida. ",""))</f>
      </c>
    </row>
    <row r="305">
      <c r="A305" s="60">
        <f>IF(B305="","",ROW()-5)</f>
      </c>
      <c r="B305" s="63">
        <f>IF(ENTRADA!$B305="","",ENTRADA!$B305)</f>
      </c>
      <c r="C305" s="64">
        <f>IF(B305="","",ENTRADA!$C305)</f>
      </c>
      <c r="D305" s="65">
        <f>IF(B305="","",DATE(YEAR(C305),MONTH(C305),1))</f>
      </c>
      <c r="E305" s="66">
        <f>IF(B305="","",ENTRADA!$D305&amp;"")</f>
      </c>
      <c r="F305" s="66">
        <f>IF(B305="","",ENTRADA!$Z305&amp;"")</f>
      </c>
      <c r="G305" s="67">
        <f>IF(B305="","",N(ENTRADA!$G305))</f>
      </c>
      <c r="H305" s="67">
        <f>IF(B305="","",N(ENTRADA!$H305))</f>
      </c>
      <c r="I305" s="67">
        <f>IF(B305="","",N(ENTRADA!$I305))</f>
      </c>
      <c r="J305" s="68">
        <f>IF(B305="","",G305+H305+I305)</f>
      </c>
      <c r="K305" s="60">
        <f>IF(B305="","",IFERROR(MATCH(SUMPRODUCT(MAX((PRECIOS!$A$6:$A$55&lt;=C305)*PRECIOS!$A$6:$A$55)),PRECIOS!$A$6:$A$55,0),1))</f>
      </c>
      <c r="L305" s="69">
        <f>IF(B305="","",INDEX(PRECIOS!$A$6:$A$55,K305))</f>
      </c>
      <c r="M305" s="37">
        <f>IF(B305="","",G305*INDEX(PRECIOS!$B$6:$B$55,K305))</f>
      </c>
      <c r="N305" s="37">
        <f>IF(B305="","",H305*INDEX(PRECIOS!$C$6:$C$55,K305))</f>
      </c>
      <c r="O305" s="37">
        <f>IF(B305="","",I305*INDEX(PRECIOS!$D$6:$D$55,K305))</f>
      </c>
      <c r="P305" s="37">
        <f>IF(B305="","",N(ENTRADA!$X305))</f>
      </c>
      <c r="Q305" s="70">
        <f>IF(B305="","",M305+N305+O305+P305)</f>
      </c>
      <c r="R305" s="71">
        <f>IF(B305="","",IF(ENTRADA!$J305="",Std_Viajes_Puerto,ENTRADA!$J305))</f>
      </c>
      <c r="S305" s="37">
        <f>IF(B305="","",R305*INDEX(PRECIOS!$F$6:$F$55,K305))</f>
      </c>
      <c r="T305" s="71">
        <f>IF(B305="","",R305*Litros_Puerto_Viaje)</f>
      </c>
      <c r="U305" s="71">
        <f>IF(B305="","",IF(ENTRADA!$K305="",T305,ENTRADA!$K305))</f>
      </c>
      <c r="V305" s="37">
        <f>IF(B305="","",U305*INDEX(PRECIOS!$E$6:$E$55,K305))</f>
      </c>
      <c r="W305" s="37">
        <f>IF(B305="","",IF(ENTRADA!$L305="",R305*INDEX(PRECIOS!$G$6:$G$55,K305),ENTRADA!$L305))</f>
      </c>
      <c r="X305" s="37">
        <f>IF(B305="","",R305*Km_Puerto_Viaje*INDEX(PRECIOS!$N$6:$N$55,K305))</f>
      </c>
      <c r="Y305" s="70">
        <f>IF(B305="","",S305+V305+W305+X305)</f>
      </c>
      <c r="Z305" s="71">
        <f>IF(B305="","",IF(J305=0,0,ROUNDUP(J305/Rend_Desagrupe,0)))</f>
      </c>
      <c r="AA305" s="71">
        <f>IF(B305="","",IF(ENTRADA!$M305="",Z305,ENTRADA!$M305))</f>
      </c>
      <c r="AB305" s="37">
        <f>IF(B305="","",AA305*INDEX(PRECIOS!$H$6:$H$55,K305))</f>
      </c>
      <c r="AC305" s="37">
        <f>IF(B305="","",IF(E305="ENCI",INDEX(PRECIOS!$J$6:$J$55,K305),IF(E305="A.V",INDEX(PRECIOS!$K$6:$K$55,K305),0)))</f>
      </c>
      <c r="AD305" s="37">
        <f>IF(B305="","",N(ENTRADA!$N305))</f>
      </c>
      <c r="AE305" s="70">
        <f>IF(B305="","",AB305+AC305+AD305)</f>
      </c>
      <c r="AF305" s="71">
        <f>IF(B305="","",IF(G305=0,0,ROUNDUP(G305/Cap_Camion_OCC,0)))</f>
      </c>
      <c r="AG305" s="71">
        <f>IF(B305="","",AF305*L_Dist_OCC)</f>
      </c>
      <c r="AH305" s="71">
        <f>IF(B305="","",IF(ENTRADA!$O305="",AG305,ENTRADA!$O305))</f>
      </c>
      <c r="AI305" s="37">
        <f>IF(B305="","",AH305*INDEX(PRECIOS!$E$6:$E$55,K305))</f>
      </c>
      <c r="AJ305" s="71">
        <f>IF(B305="","",IF(H305=0,0,ROUNDUP(H305/Cap_Camion_CEN,0)))</f>
      </c>
      <c r="AK305" s="71">
        <f>IF(B305="","",AJ305*L_Tras_CEN)</f>
      </c>
      <c r="AL305" s="71">
        <f>IF(B305="","",IF(ENTRADA!$P305="",AK305,ENTRADA!$P305))</f>
      </c>
      <c r="AM305" s="71">
        <f>IF(B305="","",AJ305*L_Dist_CEN)</f>
      </c>
      <c r="AN305" s="71">
        <f>IF(B305="","",IF(ENTRADA!$Q305="",AM305,ENTRADA!$Q305))</f>
      </c>
      <c r="AO305" s="37">
        <f>IF(B305="","",(AL305+AN305)*INDEX(PRECIOS!$E$6:$E$55,K305))</f>
      </c>
      <c r="AP305" s="71">
        <f>IF(B305="","",IF(H305=0,0,ROUNDUP(H305/Rend_Desagrupe_CT,0)))</f>
      </c>
      <c r="AQ305" s="71">
        <f>IF(B305="","",IF(ENTRADA!$R305="",AP305,ENTRADA!$R305))</f>
      </c>
      <c r="AR305" s="37">
        <f>IF(B305="","",AQ305*INDEX(PRECIOS!$I$6:$I$55,K305))</f>
      </c>
      <c r="AS305" s="37">
        <f>IF(B305="","",AO305+AR305)</f>
      </c>
      <c r="AT305" s="71">
        <f>IF(B305="","",IF(I305=0,0,ROUNDUP(I305/Cap_Camion_ORI,0)))</f>
      </c>
      <c r="AU305" s="71">
        <f>IF(B305="","",AT305*L_Tras_ORI)</f>
      </c>
      <c r="AV305" s="71">
        <f>IF(B305="","",IF(ENTRADA!$S305="",AU305,ENTRADA!$S305))</f>
      </c>
      <c r="AW305" s="71">
        <f>IF(B305="","",AT305*L_Dist_ORI)</f>
      </c>
      <c r="AX305" s="71">
        <f>IF(B305="","",IF(ENTRADA!$T305="",AW305,ENTRADA!$T305))</f>
      </c>
      <c r="AY305" s="37">
        <f>IF(B305="","",(AV305+AX305)*INDEX(PRECIOS!$E$6:$E$55,K305))</f>
      </c>
      <c r="AZ305" s="71">
        <f>IF(B305="","",IF(I305=0,0,ROUNDUP(I305/Rend_Desagrupe_CT,0)))</f>
      </c>
      <c r="BA305" s="71">
        <f>IF(B305="","",IF(ENTRADA!$U305="",AZ305,ENTRADA!$U305))</f>
      </c>
      <c r="BB305" s="37">
        <f>IF(B305="","",BA305*INDEX(PRECIOS!$I$6:$I$55,K305))</f>
      </c>
      <c r="BC305" s="37">
        <f>IF(B305="","",AY305+BB305)</f>
      </c>
      <c r="BD305" s="70">
        <f>IF(B305="","",AI305+AS305+BC305)</f>
      </c>
      <c r="BE305" s="37">
        <f>IF(B305="","",IF(Base_Comision="% DEL INGRESO",M305*INDEX(PRECIOS!$L$6:$L$55,K305),G305*INDEX(PRECIOS!$M$6:$M$55,K305)))</f>
      </c>
      <c r="BF305" s="37">
        <f>IF(B305="","",IF(Base_Comision="% DEL INGRESO",N305*INDEX(PRECIOS!$L$6:$L$55,K305),H305*INDEX(PRECIOS!$M$6:$M$55,K305)))</f>
      </c>
      <c r="BG305" s="37">
        <f>IF(B305="","",IF(Base_Comision="% DEL INGRESO",O305*INDEX(PRECIOS!$L$6:$L$55,K305),I305*INDEX(PRECIOS!$M$6:$M$55,K305)))</f>
      </c>
      <c r="BH305" s="70">
        <f>IF(B305="","",BE305+BF305+BG305)</f>
      </c>
      <c r="BI305" s="37">
        <f>IF(B305="","",Q305*Pct_Reclamaciones)</f>
      </c>
      <c r="BJ305" s="37">
        <f>IF(B305="","",Q305*Pct_Banco)</f>
      </c>
      <c r="BK305" s="37">
        <f>IF(B305="","",N(ENTRADA!$V305))</f>
      </c>
      <c r="BL305" s="70">
        <f>IF(B305="","",Y305+AE305+BD305+BH305+BI305+BJ305+BK305)</f>
      </c>
      <c r="BM305" s="70">
        <f>IF(B305="","",Q305-BL305)</f>
      </c>
      <c r="BN305" s="72">
        <f>IF(B305="","",IF(Q305=0,0,BM305/Q305))</f>
      </c>
      <c r="BO305" s="73">
        <f>IF(B305="","",IF(J305=0,0,BM305/J305))</f>
      </c>
      <c r="BP305" s="60">
        <f>IF(B305="","",IFERROR(MATCH(D305,COSTOS_FIJOS!$G$5:$AD$5,0),0))</f>
      </c>
      <c r="BQ305" s="60">
        <f>IF(B305="","",COUNTIFS($D$6:$D$305,D305))</f>
      </c>
      <c r="BR305" s="67">
        <f>IF(B305="","",SUMIFS($J$6:$J$305,$D$6:$D$305,D305))</f>
      </c>
      <c r="BS305" s="72">
        <f>IF(B305="","",IF(Metodo_Prorrateo="KG",IF(BR305=0,0,J305/BR305),1/BQ305))</f>
      </c>
      <c r="BT305" s="37">
        <f>IF(B305="","",IF(BP305=0,0,INDEX(COSTOS_FIJOS!$G$38:$AD$38,BP305))*BS305)</f>
      </c>
      <c r="BU305" s="72">
        <f>IF(B305="","",IF(Metodo_Prorrateo="KG",IF(SUMIFS($G$6:$G$305,$D$6:$D$305,D305)=0,0,G305/SUMIFS($G$6:$G$305,$D$6:$D$305,D305)),IF(G305&gt;0,1/COUNTIFS($D$6:$D$305,D305,$G$6:$G$305,"&gt;0"),0)))</f>
      </c>
      <c r="BV305" s="37">
        <f>IF(B305="","",IF(BP305=0,0,INDEX(COSTOS_FIJOS!$G$39:$AD$39,BP305))*BU305)</f>
      </c>
      <c r="BW305" s="72">
        <f>IF(B305="","",IF(Metodo_Prorrateo="KG",IF(SUMIFS($H$6:$H$305,$D$6:$D$305,D305)=0,0,H305/SUMIFS($H$6:$H$305,$D$6:$D$305,D305)),IF(H305&gt;0,1/COUNTIFS($D$6:$D$305,D305,$H$6:$H$305,"&gt;0"),0)))</f>
      </c>
      <c r="BX305" s="37">
        <f>IF(B305="","",IF(BP305=0,0,INDEX(COSTOS_FIJOS!$G$40:$AD$40,BP305))*BW305)</f>
      </c>
      <c r="BY305" s="72">
        <f>IF(B305="","",IF(Metodo_Prorrateo="KG",IF(SUMIFS($I$6:$I$305,$D$6:$D$305,D305)=0,0,I305/SUMIFS($I$6:$I$305,$D$6:$D$305,D305)),IF(I305&gt;0,1/COUNTIFS($D$6:$D$305,D305,$I$6:$I$305,"&gt;0"),0)))</f>
      </c>
      <c r="BZ305" s="37">
        <f>IF(B305="","",IF(BP305=0,0,INDEX(COSTOS_FIJOS!$G$41:$AD$41,BP305))*BY305)</f>
      </c>
      <c r="CA305" s="70">
        <f>IF(B305="","",BT305+BV305+BX305+BZ305)</f>
      </c>
      <c r="CB305" s="37">
        <f>IF(B305="","",Q305*Imp_Ventas_Serv)</f>
      </c>
      <c r="CC305" s="37">
        <f>IF(B305="","",Q305*Contrib_Territorial)</f>
      </c>
      <c r="CD305" s="70">
        <f>IF(B305="","",BM305-CA305-CB305-CC305)</f>
      </c>
      <c r="CE305" s="37">
        <f>IF(B305="","",MAX(0,CD305)*Imp_Utilidades)</f>
      </c>
      <c r="CF305" s="70">
        <f>IF(B305="","",CD305-CE305)</f>
      </c>
      <c r="CG305" s="72">
        <f>IF(B305="","",IF(Q305=0,0,CF305/Q305))</f>
      </c>
      <c r="CH305" s="73">
        <f>IF(B305="","",IF(J305=0,0,(BL305+CA305+CB305+CC305)/J305))</f>
      </c>
      <c r="CI305" s="73">
        <f>IF(B305="","",IF(J305=0,0,Q305/J305))</f>
      </c>
      <c r="CJ305" s="73">
        <f>IF(B305="","",IF(J305=0,0,CD305/J305))</f>
      </c>
      <c r="CK305" s="37">
        <f>IF(B305="","",Y305+AE305+BK305+BT305)</f>
      </c>
      <c r="CL305" s="37">
        <f>IF(B305="","",IF(J305=0,0,(M305+P305*G305/J305)*(1-Pct_Reclamaciones-Pct_Banco-Imp_Ventas_Serv-Contrib_Territorial)-AI305-BE305-BV305-CK305*G305/J305))</f>
      </c>
      <c r="CM305" s="37">
        <f>IF(B305="","",IF(J305=0,0,(N305+P305*H305/J305)*(1-Pct_Reclamaciones-Pct_Banco-Imp_Ventas_Serv-Contrib_Territorial)-AS305-BF305-BX305-CK305*H305/J305))</f>
      </c>
      <c r="CN305" s="37">
        <f>IF(B305="","",IF(J305=0,0,(O305+P305*I305/J305)*(1-Pct_Reclamaciones-Pct_Banco-Imp_Ventas_Serv-Contrib_Territorial)-BC305-BG305-BZ305-CK305*I305/J305))</f>
      </c>
      <c r="CO305" s="37">
        <f>IF(B305="","",IF(J305=0,0,ROUND(CD305-CL305-CM305-CN305,4)))</f>
      </c>
      <c r="CP305" s="71">
        <f>IF(B305="","",T305+AG305+AK305+AM305+AU305+AW305)</f>
      </c>
      <c r="CQ305" s="71">
        <f>IF(B305="","",U305+AH305+AL305+AN305+AV305+AX305)</f>
      </c>
      <c r="CR305" s="72">
        <f>IF(B305="","",IF(CP305=0,0,CQ305/CP305-1))</f>
      </c>
      <c r="CS305" s="60">
        <f>IF(B305="","",IF(ENTRADA!$Y305="","",ENTRADA!$Y305-C305))</f>
      </c>
      <c r="CT305" s="66">
        <f>IF(B305="","",IF(ENTRADA!$C305="","Falta fecha. ","")&amp;IF(BP305=0,"Mes fuera del rango de COSTOS_FIJOS. ","")&amp;IF(J305=0,"Sin kg. ","")&amp;IF(E305="","Falta transitaria. ","")&amp;IF(AND(T305&gt;0,U305/T305-1&gt;Tolerancia_Comb),"Combustible al puerto "&amp;TEXT(U305/T305-1,"+0%")&amp;" sobre norma. ","")&amp;IF(AND(AG305&gt;0,AH305/AG305-1&gt;Tolerancia_Comb),"Combustible distribución Occidente "&amp;TEXT(AH305/AG305-1,"+0%")&amp;" sobre norma. ","")&amp;IF(AND(AK305&gt;0,AL305/AK305-1&gt;Tolerancia_Comb),"Combustible traslado Centro "&amp;TEXT(AL305/AK305-1,"+0%")&amp;" sobre norma. ","")&amp;IF(AND(AM305&gt;0,AN305/AM305-1&gt;Tolerancia_Comb),"Combustible distribución Centro "&amp;TEXT(AN305/AM305-1,"+0%")&amp;" sobre norma. ","")&amp;IF(AND(AU305&gt;0,AV305/AU305-1&gt;Tolerancia_Comb),"Combustible traslado Oriente "&amp;TEXT(AV305/AU305-1,"+0%")&amp;" sobre norma. ","")&amp;IF(AND(AW305&gt;0,AX305/AW305-1&gt;Tolerancia_Comb),"Combustible distribución Oriente "&amp;TEXT(AX305/AW305-1,"+0%")&amp;" sobre norma. ","")&amp;IF(AND(ENTRADA!$C305&lt;&gt;"",C305&lt;PRECIOS!$A$6),"Fecha anterior a la 1ª vigencia de precios. ","")&amp;IF(CD305&lt;0,"Contenedor con pérdida. ",""))</f>
      </c>
    </row>
  </sheetData>
  <sheetProtection selectLockedCells="0" selectUnlockedCells="0" sheet="1" objects="0" insertRows="1" insertHyperlinks="1" autoFilter="0" scenarios="0" formatColumns="0" deleteColumns="1" insertColumns="1" pivotTables="1" deleteRows="1" formatCells="1" formatRows="0" sort="1"/>
  <autoFilter ref="A5:CT305"/>
  <mergeCells count="17">
    <mergeCell ref="BP4:CA4"/>
    <mergeCell ref="AT4:BD4"/>
    <mergeCell ref="CP4:CT4"/>
    <mergeCell ref="CB4:CC4"/>
    <mergeCell ref="G4:J4"/>
    <mergeCell ref="CK4:CO4"/>
    <mergeCell ref="BE4:BH4"/>
    <mergeCell ref="AF4:AI4"/>
    <mergeCell ref="BL4:BO4"/>
    <mergeCell ref="CD4:CJ4"/>
    <mergeCell ref="A4:F4"/>
    <mergeCell ref="AJ4:AS4"/>
    <mergeCell ref="K4:L4"/>
    <mergeCell ref="BI4:BK4"/>
    <mergeCell ref="Z4:AE4"/>
    <mergeCell ref="R4:Y4"/>
    <mergeCell ref="M4:Q4"/>
  </mergeCells>
  <conditionalFormatting sqref="CT6:CT305">
    <cfRule type="expression" priority="1" dxfId="2">
      <formula>LEN(CT6)&gt;0</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tabColor rgb="00548235"/>
    <outlinePr summaryBelow="1" summaryRight="1"/>
    <pageSetUpPr fitToPage="1"/>
  </sheetPr>
  <dimension ref="A1:AC38"/>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s>
  <sheetData>
    <row r="1" ht="24" customHeight="1">
      <c r="A1" s="1" t="inlineStr">
        <is>
          <t>Resumen mensual de rentabilidad (automático)</t>
        </is>
      </c>
    </row>
    <row r="2">
      <c r="A2" s="2" t="inlineStr">
        <is>
          <t>Utilidad del mes = margen de contribución − TODOS los costos fijos del mes − tributos sobre ingresos.</t>
        </is>
      </c>
    </row>
    <row r="3">
      <c r="A3" s="18" t="inlineStr">
        <is>
          <t>Mes de corte aplicado:</t>
        </is>
      </c>
      <c r="C3" s="74">
        <f>IF(Mes_Corte="",IF(COUNT(CALCULO!$D$6:$D$305)=0,Fecha_Inicio,MAX(CALCULO!$D$6:$D$305)),DATE(YEAR(Mes_Corte),MONTH(Mes_Corte),1))</f>
        <v>46296.0</v>
      </c>
      <c r="D3" s="2" t="inlineStr">
        <is>
          <t>Los meses posteriores al corte no cargan costos fijos (aún no han ocurrido). Ajustable en PARAMETROS &gt; Mes_Corte.</t>
        </is>
      </c>
    </row>
    <row r="5" ht="54" customHeight="1">
      <c r="A5" s="5" t="inlineStr">
        <is>
          <t>Mes</t>
        </is>
      </c>
      <c r="B5" s="5" t="inlineStr">
        <is>
          <t>Contenedores</t>
        </is>
      </c>
      <c r="C5" s="5" t="inlineStr">
        <is>
          <t>kg Occidente</t>
        </is>
      </c>
      <c r="D5" s="5" t="inlineStr">
        <is>
          <t>kg Centro</t>
        </is>
      </c>
      <c r="E5" s="5" t="inlineStr">
        <is>
          <t>kg Oriente</t>
        </is>
      </c>
      <c r="F5" s="5" t="inlineStr">
        <is>
          <t>kg total</t>
        </is>
      </c>
      <c r="G5" s="5" t="inlineStr">
        <is>
          <t>Ingresos</t>
        </is>
      </c>
      <c r="H5" s="5" t="inlineStr">
        <is>
          <t>Costos variables</t>
        </is>
      </c>
      <c r="I5" s="5" t="inlineStr">
        <is>
          <t>Margen de contribución</t>
        </is>
      </c>
      <c r="J5" s="5" t="inlineStr">
        <is>
          <t>MC %</t>
        </is>
      </c>
      <c r="K5" s="5" t="inlineStr">
        <is>
          <t>Costos fijos del mes (hasta el corte)</t>
        </is>
      </c>
      <c r="L5" s="5" t="inlineStr">
        <is>
          <t>Fijos absorbidos por los contenedores</t>
        </is>
      </c>
      <c r="M5" s="5" t="inlineStr">
        <is>
          <t>Fijos no absorbidos</t>
        </is>
      </c>
      <c r="N5" s="5" t="inlineStr">
        <is>
          <t>Tributos sobre ingresos</t>
        </is>
      </c>
      <c r="O5" s="5" t="inlineStr">
        <is>
          <t>UTILIDAD ANTES DE IMPUESTO</t>
        </is>
      </c>
      <c r="P5" s="5" t="inlineStr">
        <is>
          <t>Margen %</t>
        </is>
      </c>
      <c r="Q5" s="5" t="inlineStr">
        <is>
          <t>Costo total por kg</t>
        </is>
      </c>
      <c r="R5" s="5" t="inlineStr">
        <is>
          <t>Ingreso por kg</t>
        </is>
      </c>
      <c r="S5" s="5" t="inlineStr">
        <is>
          <t>Utilidad por kg</t>
        </is>
      </c>
      <c r="T5" s="5" t="inlineStr">
        <is>
          <t>Punto de equilibrio (kg)</t>
        </is>
      </c>
      <c r="U5" s="5" t="inlineStr">
        <is>
          <t>Punto de equilibrio (contenedores)</t>
        </is>
      </c>
      <c r="V5" s="5" t="inlineStr">
        <is>
          <t>Margen de seguridad</t>
        </is>
      </c>
      <c r="W5" s="5" t="inlineStr">
        <is>
          <t>Utilidad Occidente</t>
        </is>
      </c>
      <c r="X5" s="5" t="inlineStr">
        <is>
          <t>Utilidad Centro</t>
        </is>
      </c>
      <c r="Y5" s="5" t="inlineStr">
        <is>
          <t>Utilidad Oriente</t>
        </is>
      </c>
      <c r="Z5" s="5" t="inlineStr">
        <is>
          <t>Ajuste por fijos no absorbidos</t>
        </is>
      </c>
      <c r="AA5" s="5" t="inlineStr">
        <is>
          <t>Control (debe ser 0)</t>
        </is>
      </c>
      <c r="AB5" s="5" t="inlineStr">
        <is>
          <t>Costos totales</t>
        </is>
      </c>
      <c r="AC5" s="5" t="inlineStr">
        <is>
          <t>Desvío medio del combustible</t>
        </is>
      </c>
    </row>
    <row r="6">
      <c r="A6" s="75">
        <f>EDATE(Fecha_Inicio,0)</f>
        <v>46266.0</v>
      </c>
      <c r="B6" s="76">
        <f>COUNTIFS(CALCULO!$D$6:$D$305,$A6)</f>
        <v>2</v>
      </c>
      <c r="C6" s="31">
        <f>SUMIFS(CALCULO!$G$6:$G$305,CALCULO!$D$6:$D$305,$A6)</f>
        <v>9800</v>
      </c>
      <c r="D6" s="31">
        <f>SUMIFS(CALCULO!$H$6:$H$305,CALCULO!$D$6:$D$305,$A6)</f>
        <v>4700</v>
      </c>
      <c r="E6" s="31">
        <f>SUMIFS(CALCULO!$I$6:$I$305,CALCULO!$D$6:$D$305,$A6)</f>
        <v>5000</v>
      </c>
      <c r="F6" s="31">
        <f>C6+D6+E6</f>
        <v>19500</v>
      </c>
      <c r="G6" s="28">
        <f>SUMIFS(CALCULO!$Q$6:$Q$305,CALCULO!$D$6:$D$305,$A6)</f>
        <v>15600</v>
      </c>
      <c r="H6" s="28">
        <f>SUMIFS(CALCULO!$BL$6:$BL$305,CALCULO!$D$6:$D$305,$A6)</f>
        <v>6574.2</v>
      </c>
      <c r="I6" s="28">
        <f>G6-H6</f>
        <v>9025.8</v>
      </c>
      <c r="J6" s="29">
        <f>IF(G6=0,0,I6/G6)</f>
        <v>0.578576923076923</v>
      </c>
      <c r="K6" s="28">
        <f>IF($A6&gt;$C$3,0,INDEX(COSTOS_FIJOS!$G$42:$AD$42,1))</f>
        <v>3240.06666666667</v>
      </c>
      <c r="L6" s="28">
        <f>SUMIFS(CALCULO!$CA$6:$CA$305,CALCULO!$D$6:$D$305,$A6)</f>
        <v>3240.06666666667</v>
      </c>
      <c r="M6" s="28">
        <f>K6-L6</f>
        <v>0</v>
      </c>
      <c r="N6" s="28">
        <f>SUMIFS(CALCULO!$CB$6:$CB$305,CALCULO!$D$6:$D$305,$A6)+SUMIFS(CALCULO!$CC$6:$CC$305,CALCULO!$D$6:$D$305,$A6)</f>
        <v>1716</v>
      </c>
      <c r="O6" s="77">
        <f>I6-K6-N6</f>
        <v>4069.73333333333</v>
      </c>
      <c r="P6" s="29">
        <f>IF(G6=0,0,O6/G6)</f>
        <v>0.260880341880342</v>
      </c>
      <c r="Q6" s="30">
        <f>IF(F6=0,0,(H6+K6+N6)/F6)</f>
        <v>0.591295726495727</v>
      </c>
      <c r="R6" s="30">
        <f>IF(F6=0,0,G6/F6)</f>
        <v>0.8</v>
      </c>
      <c r="S6" s="30">
        <f>IF(F6=0,0,O6/F6)</f>
        <v>0.208704273504273</v>
      </c>
      <c r="T6" s="31">
        <f>IF(F6=0,"s/d",IF(I6-N6&lt;=0,"No cubre",K6/((I6-N6)/F6)))</f>
        <v>8643.36917562724</v>
      </c>
      <c r="U6" s="78">
        <f>IF(ISNUMBER(T6),T6/(F6/B6),"s/d")</f>
        <v>0.886499402628435</v>
      </c>
      <c r="V6" s="29">
        <f>IF(ISNUMBER(T6),(F6-T6)/F6,"s/d")</f>
        <v>0.556750298685783</v>
      </c>
      <c r="W6" s="28">
        <f>SUMIFS(CALCULO!$CL$6:$CL$305,CALCULO!$D$6:$D$305,$A6)</f>
        <v>3996.57885332887</v>
      </c>
      <c r="X6" s="28">
        <f>SUMIFS(CALCULO!$CM$6:$CM$305,CALCULO!$D$6:$D$305,$A6)</f>
        <v>454.350012225445</v>
      </c>
      <c r="Y6" s="28">
        <f>SUMIFS(CALCULO!$CN$6:$CN$305,CALCULO!$D$6:$D$305,$A6)</f>
        <v>-381.19553222098</v>
      </c>
      <c r="Z6" s="28">
        <f>-M6</f>
        <v>0</v>
      </c>
      <c r="AA6" s="55">
        <f>ROUND(O6-(W6+X6+Y6+Z6),4)</f>
        <v>0</v>
      </c>
      <c r="AB6" s="28">
        <f>H6+K6+N6</f>
        <v>11530.2666666667</v>
      </c>
      <c r="AC6" s="29">
        <f>IFERROR(SUMIFS(CALCULO!$CQ$6:$CQ$305,CALCULO!$D$6:$D$305,$A6)/SUMIFS(CALCULO!$CP$6:$CP$305,CALCULO!$D$6:$D$305,$A6)-1,0)</f>
        <v>0.0125984251968505</v>
      </c>
    </row>
    <row r="7">
      <c r="A7" s="75">
        <f>EDATE(Fecha_Inicio,1)</f>
        <v>46296.0</v>
      </c>
      <c r="B7" s="76">
        <f>COUNTIFS(CALCULO!$D$6:$D$305,$A7)</f>
        <v>2</v>
      </c>
      <c r="C7" s="31">
        <f>SUMIFS(CALCULO!$G$6:$G$305,CALCULO!$D$6:$D$305,$A7)</f>
        <v>9900</v>
      </c>
      <c r="D7" s="31">
        <f>SUMIFS(CALCULO!$H$6:$H$305,CALCULO!$D$6:$D$305,$A7)</f>
        <v>4400</v>
      </c>
      <c r="E7" s="31">
        <f>SUMIFS(CALCULO!$I$6:$I$305,CALCULO!$D$6:$D$305,$A7)</f>
        <v>6300</v>
      </c>
      <c r="F7" s="31">
        <f>C7+D7+E7</f>
        <v>20600</v>
      </c>
      <c r="G7" s="28">
        <f>SUMIFS(CALCULO!$Q$6:$Q$305,CALCULO!$D$6:$D$305,$A7)</f>
        <v>16630</v>
      </c>
      <c r="H7" s="28">
        <f>SUMIFS(CALCULO!$BL$6:$BL$305,CALCULO!$D$6:$D$305,$A7)</f>
        <v>6462.05</v>
      </c>
      <c r="I7" s="28">
        <f>G7-H7</f>
        <v>10167.95</v>
      </c>
      <c r="J7" s="29">
        <f>IF(G7=0,0,I7/G7)</f>
        <v>0.611422128683103</v>
      </c>
      <c r="K7" s="28">
        <f>IF($A7&gt;$C$3,0,INDEX(COSTOS_FIJOS!$G$42:$AD$42,2))</f>
        <v>3240.06666666667</v>
      </c>
      <c r="L7" s="28">
        <f>SUMIFS(CALCULO!$CA$6:$CA$305,CALCULO!$D$6:$D$305,$A7)</f>
        <v>3240.06666666667</v>
      </c>
      <c r="M7" s="28">
        <f>K7-L7</f>
        <v>0</v>
      </c>
      <c r="N7" s="28">
        <f>SUMIFS(CALCULO!$CB$6:$CB$305,CALCULO!$D$6:$D$305,$A7)+SUMIFS(CALCULO!$CC$6:$CC$305,CALCULO!$D$6:$D$305,$A7)</f>
        <v>1829.3</v>
      </c>
      <c r="O7" s="77">
        <f>I7-K7-N7</f>
        <v>5098.58333333333</v>
      </c>
      <c r="P7" s="29">
        <f>IF(G7=0,0,O7/G7)</f>
        <v>0.306589496893165</v>
      </c>
      <c r="Q7" s="30">
        <f>IF(F7=0,0,(H7+K7+N7)/F7)</f>
        <v>0.559777508090615</v>
      </c>
      <c r="R7" s="30">
        <f>IF(F7=0,0,G7/F7)</f>
        <v>0.807281553398058</v>
      </c>
      <c r="S7" s="30">
        <f>IF(F7=0,0,O7/F7)</f>
        <v>0.247504045307443</v>
      </c>
      <c r="T7" s="31">
        <f>IF(F7=0,"s/d",IF(I7-N7&lt;=0,"No cubre",K7/((I7-N7)/F7)))</f>
        <v>8004.33803233537</v>
      </c>
      <c r="U7" s="78">
        <f>IF(ISNUMBER(T7),T7/(F7/B7),"s/d")</f>
        <v>0.777120197314113</v>
      </c>
      <c r="V7" s="29">
        <f>IF(ISNUMBER(T7),(F7-T7)/F7,"s/d")</f>
        <v>0.611439901342943</v>
      </c>
      <c r="W7" s="28">
        <f>SUMIFS(CALCULO!$CL$6:$CL$305,CALCULO!$D$6:$D$305,$A7)</f>
        <v>4423.64197733147</v>
      </c>
      <c r="X7" s="28">
        <f>SUMIFS(CALCULO!$CM$6:$CM$305,CALCULO!$D$6:$D$305,$A7)</f>
        <v>407.284321054853</v>
      </c>
      <c r="Y7" s="28">
        <f>SUMIFS(CALCULO!$CN$6:$CN$305,CALCULO!$D$6:$D$305,$A7)</f>
        <v>267.657034947013</v>
      </c>
      <c r="Z7" s="28">
        <f>-M7</f>
        <v>0</v>
      </c>
      <c r="AA7" s="55">
        <f>ROUND(O7-(W7+X7+Y7+Z7),4)</f>
        <v>0</v>
      </c>
      <c r="AB7" s="28">
        <f>H7+K7+N7</f>
        <v>11531.4166666667</v>
      </c>
      <c r="AC7" s="29">
        <f>IFERROR(SUMIFS(CALCULO!$CQ$6:$CQ$305,CALCULO!$D$6:$D$305,$A7)/SUMIFS(CALCULO!$CP$6:$CP$305,CALCULO!$D$6:$D$305,$A7)-1,0)</f>
        <v>-0.00393700787401574</v>
      </c>
    </row>
    <row r="8">
      <c r="A8" s="75">
        <f>EDATE(Fecha_Inicio,2)</f>
        <v>46327.0</v>
      </c>
      <c r="B8" s="76">
        <f>COUNTIFS(CALCULO!$D$6:$D$305,$A8)</f>
        <v>0</v>
      </c>
      <c r="C8" s="31">
        <f>SUMIFS(CALCULO!$G$6:$G$305,CALCULO!$D$6:$D$305,$A8)</f>
        <v>0</v>
      </c>
      <c r="D8" s="31">
        <f>SUMIFS(CALCULO!$H$6:$H$305,CALCULO!$D$6:$D$305,$A8)</f>
        <v>0</v>
      </c>
      <c r="E8" s="31">
        <f>SUMIFS(CALCULO!$I$6:$I$305,CALCULO!$D$6:$D$305,$A8)</f>
        <v>0</v>
      </c>
      <c r="F8" s="31">
        <f>C8+D8+E8</f>
        <v>0</v>
      </c>
      <c r="G8" s="28">
        <f>SUMIFS(CALCULO!$Q$6:$Q$305,CALCULO!$D$6:$D$305,$A8)</f>
        <v>0</v>
      </c>
      <c r="H8" s="28">
        <f>SUMIFS(CALCULO!$BL$6:$BL$305,CALCULO!$D$6:$D$305,$A8)</f>
        <v>0</v>
      </c>
      <c r="I8" s="28">
        <f>G8-H8</f>
        <v>0</v>
      </c>
      <c r="J8" s="29">
        <f>IF(G8=0,0,I8/G8)</f>
        <v>0</v>
      </c>
      <c r="K8" s="28">
        <f>IF($A8&gt;$C$3,0,INDEX(COSTOS_FIJOS!$G$42:$AD$42,3))</f>
        <v>0</v>
      </c>
      <c r="L8" s="28">
        <f>SUMIFS(CALCULO!$CA$6:$CA$305,CALCULO!$D$6:$D$305,$A8)</f>
        <v>0</v>
      </c>
      <c r="M8" s="28">
        <f>K8-L8</f>
        <v>0</v>
      </c>
      <c r="N8" s="28">
        <f>SUMIFS(CALCULO!$CB$6:$CB$305,CALCULO!$D$6:$D$305,$A8)+SUMIFS(CALCULO!$CC$6:$CC$305,CALCULO!$D$6:$D$305,$A8)</f>
        <v>0</v>
      </c>
      <c r="O8" s="77">
        <f>I8-K8-N8</f>
        <v>0</v>
      </c>
      <c r="P8" s="29">
        <f>IF(G8=0,0,O8/G8)</f>
        <v>0</v>
      </c>
      <c r="Q8" s="30">
        <f>IF(F8=0,0,(H8+K8+N8)/F8)</f>
        <v>0</v>
      </c>
      <c r="R8" s="30">
        <f>IF(F8=0,0,G8/F8)</f>
        <v>0</v>
      </c>
      <c r="S8" s="30">
        <f>IF(F8=0,0,O8/F8)</f>
        <v>0</v>
      </c>
      <c r="T8" s="31" t="str">
        <f>IF(F8=0,"s/d",IF(I8-N8&lt;=0,"No cubre",K8/((I8-N8)/F8)))</f>
        <v>s/d</v>
      </c>
      <c r="U8" s="78" t="str">
        <f>IF(ISNUMBER(T8),T8/(F8/B8),"s/d")</f>
        <v>s/d</v>
      </c>
      <c r="V8" s="29" t="str">
        <f>IF(ISNUMBER(T8),(F8-T8)/F8,"s/d")</f>
        <v>s/d</v>
      </c>
      <c r="W8" s="28">
        <f>SUMIFS(CALCULO!$CL$6:$CL$305,CALCULO!$D$6:$D$305,$A8)</f>
        <v>0</v>
      </c>
      <c r="X8" s="28">
        <f>SUMIFS(CALCULO!$CM$6:$CM$305,CALCULO!$D$6:$D$305,$A8)</f>
        <v>0</v>
      </c>
      <c r="Y8" s="28">
        <f>SUMIFS(CALCULO!$CN$6:$CN$305,CALCULO!$D$6:$D$305,$A8)</f>
        <v>0</v>
      </c>
      <c r="Z8" s="28">
        <f>-M8</f>
        <v>0</v>
      </c>
      <c r="AA8" s="55">
        <f>ROUND(O8-(W8+X8+Y8+Z8),4)</f>
        <v>0</v>
      </c>
      <c r="AB8" s="28">
        <f>H8+K8+N8</f>
        <v>0</v>
      </c>
      <c r="AC8" s="29">
        <f>IFERROR(SUMIFS(CALCULO!$CQ$6:$CQ$305,CALCULO!$D$6:$D$305,$A8)/SUMIFS(CALCULO!$CP$6:$CP$305,CALCULO!$D$6:$D$305,$A8)-1,0)</f>
        <v>0</v>
      </c>
    </row>
    <row r="9">
      <c r="A9" s="75">
        <f>EDATE(Fecha_Inicio,3)</f>
        <v>46357.0</v>
      </c>
      <c r="B9" s="76">
        <f>COUNTIFS(CALCULO!$D$6:$D$305,$A9)</f>
        <v>0</v>
      </c>
      <c r="C9" s="31">
        <f>SUMIFS(CALCULO!$G$6:$G$305,CALCULO!$D$6:$D$305,$A9)</f>
        <v>0</v>
      </c>
      <c r="D9" s="31">
        <f>SUMIFS(CALCULO!$H$6:$H$305,CALCULO!$D$6:$D$305,$A9)</f>
        <v>0</v>
      </c>
      <c r="E9" s="31">
        <f>SUMIFS(CALCULO!$I$6:$I$305,CALCULO!$D$6:$D$305,$A9)</f>
        <v>0</v>
      </c>
      <c r="F9" s="31">
        <f>C9+D9+E9</f>
        <v>0</v>
      </c>
      <c r="G9" s="28">
        <f>SUMIFS(CALCULO!$Q$6:$Q$305,CALCULO!$D$6:$D$305,$A9)</f>
        <v>0</v>
      </c>
      <c r="H9" s="28">
        <f>SUMIFS(CALCULO!$BL$6:$BL$305,CALCULO!$D$6:$D$305,$A9)</f>
        <v>0</v>
      </c>
      <c r="I9" s="28">
        <f>G9-H9</f>
        <v>0</v>
      </c>
      <c r="J9" s="29">
        <f>IF(G9=0,0,I9/G9)</f>
        <v>0</v>
      </c>
      <c r="K9" s="28">
        <f>IF($A9&gt;$C$3,0,INDEX(COSTOS_FIJOS!$G$42:$AD$42,4))</f>
        <v>0</v>
      </c>
      <c r="L9" s="28">
        <f>SUMIFS(CALCULO!$CA$6:$CA$305,CALCULO!$D$6:$D$305,$A9)</f>
        <v>0</v>
      </c>
      <c r="M9" s="28">
        <f>K9-L9</f>
        <v>0</v>
      </c>
      <c r="N9" s="28">
        <f>SUMIFS(CALCULO!$CB$6:$CB$305,CALCULO!$D$6:$D$305,$A9)+SUMIFS(CALCULO!$CC$6:$CC$305,CALCULO!$D$6:$D$305,$A9)</f>
        <v>0</v>
      </c>
      <c r="O9" s="77">
        <f>I9-K9-N9</f>
        <v>0</v>
      </c>
      <c r="P9" s="29">
        <f>IF(G9=0,0,O9/G9)</f>
        <v>0</v>
      </c>
      <c r="Q9" s="30">
        <f>IF(F9=0,0,(H9+K9+N9)/F9)</f>
        <v>0</v>
      </c>
      <c r="R9" s="30">
        <f>IF(F9=0,0,G9/F9)</f>
        <v>0</v>
      </c>
      <c r="S9" s="30">
        <f>IF(F9=0,0,O9/F9)</f>
        <v>0</v>
      </c>
      <c r="T9" s="31" t="str">
        <f>IF(F9=0,"s/d",IF(I9-N9&lt;=0,"No cubre",K9/((I9-N9)/F9)))</f>
        <v>s/d</v>
      </c>
      <c r="U9" s="78" t="str">
        <f>IF(ISNUMBER(T9),T9/(F9/B9),"s/d")</f>
        <v>s/d</v>
      </c>
      <c r="V9" s="29" t="str">
        <f>IF(ISNUMBER(T9),(F9-T9)/F9,"s/d")</f>
        <v>s/d</v>
      </c>
      <c r="W9" s="28">
        <f>SUMIFS(CALCULO!$CL$6:$CL$305,CALCULO!$D$6:$D$305,$A9)</f>
        <v>0</v>
      </c>
      <c r="X9" s="28">
        <f>SUMIFS(CALCULO!$CM$6:$CM$305,CALCULO!$D$6:$D$305,$A9)</f>
        <v>0</v>
      </c>
      <c r="Y9" s="28">
        <f>SUMIFS(CALCULO!$CN$6:$CN$305,CALCULO!$D$6:$D$305,$A9)</f>
        <v>0</v>
      </c>
      <c r="Z9" s="28">
        <f>-M9</f>
        <v>0</v>
      </c>
      <c r="AA9" s="55">
        <f>ROUND(O9-(W9+X9+Y9+Z9),4)</f>
        <v>0</v>
      </c>
      <c r="AB9" s="28">
        <f>H9+K9+N9</f>
        <v>0</v>
      </c>
      <c r="AC9" s="29">
        <f>IFERROR(SUMIFS(CALCULO!$CQ$6:$CQ$305,CALCULO!$D$6:$D$305,$A9)/SUMIFS(CALCULO!$CP$6:$CP$305,CALCULO!$D$6:$D$305,$A9)-1,0)</f>
        <v>0</v>
      </c>
    </row>
    <row r="10">
      <c r="A10" s="75">
        <f>EDATE(Fecha_Inicio,4)</f>
        <v>46388.0</v>
      </c>
      <c r="B10" s="76">
        <f>COUNTIFS(CALCULO!$D$6:$D$305,$A10)</f>
        <v>0</v>
      </c>
      <c r="C10" s="31">
        <f>SUMIFS(CALCULO!$G$6:$G$305,CALCULO!$D$6:$D$305,$A10)</f>
        <v>0</v>
      </c>
      <c r="D10" s="31">
        <f>SUMIFS(CALCULO!$H$6:$H$305,CALCULO!$D$6:$D$305,$A10)</f>
        <v>0</v>
      </c>
      <c r="E10" s="31">
        <f>SUMIFS(CALCULO!$I$6:$I$305,CALCULO!$D$6:$D$305,$A10)</f>
        <v>0</v>
      </c>
      <c r="F10" s="31">
        <f>C10+D10+E10</f>
        <v>0</v>
      </c>
      <c r="G10" s="28">
        <f>SUMIFS(CALCULO!$Q$6:$Q$305,CALCULO!$D$6:$D$305,$A10)</f>
        <v>0</v>
      </c>
      <c r="H10" s="28">
        <f>SUMIFS(CALCULO!$BL$6:$BL$305,CALCULO!$D$6:$D$305,$A10)</f>
        <v>0</v>
      </c>
      <c r="I10" s="28">
        <f>G10-H10</f>
        <v>0</v>
      </c>
      <c r="J10" s="29">
        <f>IF(G10=0,0,I10/G10)</f>
        <v>0</v>
      </c>
      <c r="K10" s="28">
        <f>IF($A10&gt;$C$3,0,INDEX(COSTOS_FIJOS!$G$42:$AD$42,5))</f>
        <v>0</v>
      </c>
      <c r="L10" s="28">
        <f>SUMIFS(CALCULO!$CA$6:$CA$305,CALCULO!$D$6:$D$305,$A10)</f>
        <v>0</v>
      </c>
      <c r="M10" s="28">
        <f>K10-L10</f>
        <v>0</v>
      </c>
      <c r="N10" s="28">
        <f>SUMIFS(CALCULO!$CB$6:$CB$305,CALCULO!$D$6:$D$305,$A10)+SUMIFS(CALCULO!$CC$6:$CC$305,CALCULO!$D$6:$D$305,$A10)</f>
        <v>0</v>
      </c>
      <c r="O10" s="77">
        <f>I10-K10-N10</f>
        <v>0</v>
      </c>
      <c r="P10" s="29">
        <f>IF(G10=0,0,O10/G10)</f>
        <v>0</v>
      </c>
      <c r="Q10" s="30">
        <f>IF(F10=0,0,(H10+K10+N10)/F10)</f>
        <v>0</v>
      </c>
      <c r="R10" s="30">
        <f>IF(F10=0,0,G10/F10)</f>
        <v>0</v>
      </c>
      <c r="S10" s="30">
        <f>IF(F10=0,0,O10/F10)</f>
        <v>0</v>
      </c>
      <c r="T10" s="31" t="str">
        <f>IF(F10=0,"s/d",IF(I10-N10&lt;=0,"No cubre",K10/((I10-N10)/F10)))</f>
        <v>s/d</v>
      </c>
      <c r="U10" s="78" t="str">
        <f>IF(ISNUMBER(T10),T10/(F10/B10),"s/d")</f>
        <v>s/d</v>
      </c>
      <c r="V10" s="29" t="str">
        <f>IF(ISNUMBER(T10),(F10-T10)/F10,"s/d")</f>
        <v>s/d</v>
      </c>
      <c r="W10" s="28">
        <f>SUMIFS(CALCULO!$CL$6:$CL$305,CALCULO!$D$6:$D$305,$A10)</f>
        <v>0</v>
      </c>
      <c r="X10" s="28">
        <f>SUMIFS(CALCULO!$CM$6:$CM$305,CALCULO!$D$6:$D$305,$A10)</f>
        <v>0</v>
      </c>
      <c r="Y10" s="28">
        <f>SUMIFS(CALCULO!$CN$6:$CN$305,CALCULO!$D$6:$D$305,$A10)</f>
        <v>0</v>
      </c>
      <c r="Z10" s="28">
        <f>-M10</f>
        <v>0</v>
      </c>
      <c r="AA10" s="55">
        <f>ROUND(O10-(W10+X10+Y10+Z10),4)</f>
        <v>0</v>
      </c>
      <c r="AB10" s="28">
        <f>H10+K10+N10</f>
        <v>0</v>
      </c>
      <c r="AC10" s="29">
        <f>IFERROR(SUMIFS(CALCULO!$CQ$6:$CQ$305,CALCULO!$D$6:$D$305,$A10)/SUMIFS(CALCULO!$CP$6:$CP$305,CALCULO!$D$6:$D$305,$A10)-1,0)</f>
        <v>0</v>
      </c>
    </row>
    <row r="11">
      <c r="A11" s="75">
        <f>EDATE(Fecha_Inicio,5)</f>
        <v>46419.0</v>
      </c>
      <c r="B11" s="76">
        <f>COUNTIFS(CALCULO!$D$6:$D$305,$A11)</f>
        <v>0</v>
      </c>
      <c r="C11" s="31">
        <f>SUMIFS(CALCULO!$G$6:$G$305,CALCULO!$D$6:$D$305,$A11)</f>
        <v>0</v>
      </c>
      <c r="D11" s="31">
        <f>SUMIFS(CALCULO!$H$6:$H$305,CALCULO!$D$6:$D$305,$A11)</f>
        <v>0</v>
      </c>
      <c r="E11" s="31">
        <f>SUMIFS(CALCULO!$I$6:$I$305,CALCULO!$D$6:$D$305,$A11)</f>
        <v>0</v>
      </c>
      <c r="F11" s="31">
        <f>C11+D11+E11</f>
        <v>0</v>
      </c>
      <c r="G11" s="28">
        <f>SUMIFS(CALCULO!$Q$6:$Q$305,CALCULO!$D$6:$D$305,$A11)</f>
        <v>0</v>
      </c>
      <c r="H11" s="28">
        <f>SUMIFS(CALCULO!$BL$6:$BL$305,CALCULO!$D$6:$D$305,$A11)</f>
        <v>0</v>
      </c>
      <c r="I11" s="28">
        <f>G11-H11</f>
        <v>0</v>
      </c>
      <c r="J11" s="29">
        <f>IF(G11=0,0,I11/G11)</f>
        <v>0</v>
      </c>
      <c r="K11" s="28">
        <f>IF($A11&gt;$C$3,0,INDEX(COSTOS_FIJOS!$G$42:$AD$42,6))</f>
        <v>0</v>
      </c>
      <c r="L11" s="28">
        <f>SUMIFS(CALCULO!$CA$6:$CA$305,CALCULO!$D$6:$D$305,$A11)</f>
        <v>0</v>
      </c>
      <c r="M11" s="28">
        <f>K11-L11</f>
        <v>0</v>
      </c>
      <c r="N11" s="28">
        <f>SUMIFS(CALCULO!$CB$6:$CB$305,CALCULO!$D$6:$D$305,$A11)+SUMIFS(CALCULO!$CC$6:$CC$305,CALCULO!$D$6:$D$305,$A11)</f>
        <v>0</v>
      </c>
      <c r="O11" s="77">
        <f>I11-K11-N11</f>
        <v>0</v>
      </c>
      <c r="P11" s="29">
        <f>IF(G11=0,0,O11/G11)</f>
        <v>0</v>
      </c>
      <c r="Q11" s="30">
        <f>IF(F11=0,0,(H11+K11+N11)/F11)</f>
        <v>0</v>
      </c>
      <c r="R11" s="30">
        <f>IF(F11=0,0,G11/F11)</f>
        <v>0</v>
      </c>
      <c r="S11" s="30">
        <f>IF(F11=0,0,O11/F11)</f>
        <v>0</v>
      </c>
      <c r="T11" s="31" t="str">
        <f>IF(F11=0,"s/d",IF(I11-N11&lt;=0,"No cubre",K11/((I11-N11)/F11)))</f>
        <v>s/d</v>
      </c>
      <c r="U11" s="78" t="str">
        <f>IF(ISNUMBER(T11),T11/(F11/B11),"s/d")</f>
        <v>s/d</v>
      </c>
      <c r="V11" s="29" t="str">
        <f>IF(ISNUMBER(T11),(F11-T11)/F11,"s/d")</f>
        <v>s/d</v>
      </c>
      <c r="W11" s="28">
        <f>SUMIFS(CALCULO!$CL$6:$CL$305,CALCULO!$D$6:$D$305,$A11)</f>
        <v>0</v>
      </c>
      <c r="X11" s="28">
        <f>SUMIFS(CALCULO!$CM$6:$CM$305,CALCULO!$D$6:$D$305,$A11)</f>
        <v>0</v>
      </c>
      <c r="Y11" s="28">
        <f>SUMIFS(CALCULO!$CN$6:$CN$305,CALCULO!$D$6:$D$305,$A11)</f>
        <v>0</v>
      </c>
      <c r="Z11" s="28">
        <f>-M11</f>
        <v>0</v>
      </c>
      <c r="AA11" s="55">
        <f>ROUND(O11-(W11+X11+Y11+Z11),4)</f>
        <v>0</v>
      </c>
      <c r="AB11" s="28">
        <f>H11+K11+N11</f>
        <v>0</v>
      </c>
      <c r="AC11" s="29">
        <f>IFERROR(SUMIFS(CALCULO!$CQ$6:$CQ$305,CALCULO!$D$6:$D$305,$A11)/SUMIFS(CALCULO!$CP$6:$CP$305,CALCULO!$D$6:$D$305,$A11)-1,0)</f>
        <v>0</v>
      </c>
    </row>
    <row r="12">
      <c r="A12" s="75">
        <f>EDATE(Fecha_Inicio,6)</f>
        <v>46447.0</v>
      </c>
      <c r="B12" s="76">
        <f>COUNTIFS(CALCULO!$D$6:$D$305,$A12)</f>
        <v>0</v>
      </c>
      <c r="C12" s="31">
        <f>SUMIFS(CALCULO!$G$6:$G$305,CALCULO!$D$6:$D$305,$A12)</f>
        <v>0</v>
      </c>
      <c r="D12" s="31">
        <f>SUMIFS(CALCULO!$H$6:$H$305,CALCULO!$D$6:$D$305,$A12)</f>
        <v>0</v>
      </c>
      <c r="E12" s="31">
        <f>SUMIFS(CALCULO!$I$6:$I$305,CALCULO!$D$6:$D$305,$A12)</f>
        <v>0</v>
      </c>
      <c r="F12" s="31">
        <f>C12+D12+E12</f>
        <v>0</v>
      </c>
      <c r="G12" s="28">
        <f>SUMIFS(CALCULO!$Q$6:$Q$305,CALCULO!$D$6:$D$305,$A12)</f>
        <v>0</v>
      </c>
      <c r="H12" s="28">
        <f>SUMIFS(CALCULO!$BL$6:$BL$305,CALCULO!$D$6:$D$305,$A12)</f>
        <v>0</v>
      </c>
      <c r="I12" s="28">
        <f>G12-H12</f>
        <v>0</v>
      </c>
      <c r="J12" s="29">
        <f>IF(G12=0,0,I12/G12)</f>
        <v>0</v>
      </c>
      <c r="K12" s="28">
        <f>IF($A12&gt;$C$3,0,INDEX(COSTOS_FIJOS!$G$42:$AD$42,7))</f>
        <v>0</v>
      </c>
      <c r="L12" s="28">
        <f>SUMIFS(CALCULO!$CA$6:$CA$305,CALCULO!$D$6:$D$305,$A12)</f>
        <v>0</v>
      </c>
      <c r="M12" s="28">
        <f>K12-L12</f>
        <v>0</v>
      </c>
      <c r="N12" s="28">
        <f>SUMIFS(CALCULO!$CB$6:$CB$305,CALCULO!$D$6:$D$305,$A12)+SUMIFS(CALCULO!$CC$6:$CC$305,CALCULO!$D$6:$D$305,$A12)</f>
        <v>0</v>
      </c>
      <c r="O12" s="77">
        <f>I12-K12-N12</f>
        <v>0</v>
      </c>
      <c r="P12" s="29">
        <f>IF(G12=0,0,O12/G12)</f>
        <v>0</v>
      </c>
      <c r="Q12" s="30">
        <f>IF(F12=0,0,(H12+K12+N12)/F12)</f>
        <v>0</v>
      </c>
      <c r="R12" s="30">
        <f>IF(F12=0,0,G12/F12)</f>
        <v>0</v>
      </c>
      <c r="S12" s="30">
        <f>IF(F12=0,0,O12/F12)</f>
        <v>0</v>
      </c>
      <c r="T12" s="31" t="str">
        <f>IF(F12=0,"s/d",IF(I12-N12&lt;=0,"No cubre",K12/((I12-N12)/F12)))</f>
        <v>s/d</v>
      </c>
      <c r="U12" s="78" t="str">
        <f>IF(ISNUMBER(T12),T12/(F12/B12),"s/d")</f>
        <v>s/d</v>
      </c>
      <c r="V12" s="29" t="str">
        <f>IF(ISNUMBER(T12),(F12-T12)/F12,"s/d")</f>
        <v>s/d</v>
      </c>
      <c r="W12" s="28">
        <f>SUMIFS(CALCULO!$CL$6:$CL$305,CALCULO!$D$6:$D$305,$A12)</f>
        <v>0</v>
      </c>
      <c r="X12" s="28">
        <f>SUMIFS(CALCULO!$CM$6:$CM$305,CALCULO!$D$6:$D$305,$A12)</f>
        <v>0</v>
      </c>
      <c r="Y12" s="28">
        <f>SUMIFS(CALCULO!$CN$6:$CN$305,CALCULO!$D$6:$D$305,$A12)</f>
        <v>0</v>
      </c>
      <c r="Z12" s="28">
        <f>-M12</f>
        <v>0</v>
      </c>
      <c r="AA12" s="55">
        <f>ROUND(O12-(W12+X12+Y12+Z12),4)</f>
        <v>0</v>
      </c>
      <c r="AB12" s="28">
        <f>H12+K12+N12</f>
        <v>0</v>
      </c>
      <c r="AC12" s="29">
        <f>IFERROR(SUMIFS(CALCULO!$CQ$6:$CQ$305,CALCULO!$D$6:$D$305,$A12)/SUMIFS(CALCULO!$CP$6:$CP$305,CALCULO!$D$6:$D$305,$A12)-1,0)</f>
        <v>0</v>
      </c>
    </row>
    <row r="13">
      <c r="A13" s="75">
        <f>EDATE(Fecha_Inicio,7)</f>
        <v>46478.0</v>
      </c>
      <c r="B13" s="76">
        <f>COUNTIFS(CALCULO!$D$6:$D$305,$A13)</f>
        <v>0</v>
      </c>
      <c r="C13" s="31">
        <f>SUMIFS(CALCULO!$G$6:$G$305,CALCULO!$D$6:$D$305,$A13)</f>
        <v>0</v>
      </c>
      <c r="D13" s="31">
        <f>SUMIFS(CALCULO!$H$6:$H$305,CALCULO!$D$6:$D$305,$A13)</f>
        <v>0</v>
      </c>
      <c r="E13" s="31">
        <f>SUMIFS(CALCULO!$I$6:$I$305,CALCULO!$D$6:$D$305,$A13)</f>
        <v>0</v>
      </c>
      <c r="F13" s="31">
        <f>C13+D13+E13</f>
        <v>0</v>
      </c>
      <c r="G13" s="28">
        <f>SUMIFS(CALCULO!$Q$6:$Q$305,CALCULO!$D$6:$D$305,$A13)</f>
        <v>0</v>
      </c>
      <c r="H13" s="28">
        <f>SUMIFS(CALCULO!$BL$6:$BL$305,CALCULO!$D$6:$D$305,$A13)</f>
        <v>0</v>
      </c>
      <c r="I13" s="28">
        <f>G13-H13</f>
        <v>0</v>
      </c>
      <c r="J13" s="29">
        <f>IF(G13=0,0,I13/G13)</f>
        <v>0</v>
      </c>
      <c r="K13" s="28">
        <f>IF($A13&gt;$C$3,0,INDEX(COSTOS_FIJOS!$G$42:$AD$42,8))</f>
        <v>0</v>
      </c>
      <c r="L13" s="28">
        <f>SUMIFS(CALCULO!$CA$6:$CA$305,CALCULO!$D$6:$D$305,$A13)</f>
        <v>0</v>
      </c>
      <c r="M13" s="28">
        <f>K13-L13</f>
        <v>0</v>
      </c>
      <c r="N13" s="28">
        <f>SUMIFS(CALCULO!$CB$6:$CB$305,CALCULO!$D$6:$D$305,$A13)+SUMIFS(CALCULO!$CC$6:$CC$305,CALCULO!$D$6:$D$305,$A13)</f>
        <v>0</v>
      </c>
      <c r="O13" s="77">
        <f>I13-K13-N13</f>
        <v>0</v>
      </c>
      <c r="P13" s="29">
        <f>IF(G13=0,0,O13/G13)</f>
        <v>0</v>
      </c>
      <c r="Q13" s="30">
        <f>IF(F13=0,0,(H13+K13+N13)/F13)</f>
        <v>0</v>
      </c>
      <c r="R13" s="30">
        <f>IF(F13=0,0,G13/F13)</f>
        <v>0</v>
      </c>
      <c r="S13" s="30">
        <f>IF(F13=0,0,O13/F13)</f>
        <v>0</v>
      </c>
      <c r="T13" s="31" t="str">
        <f>IF(F13=0,"s/d",IF(I13-N13&lt;=0,"No cubre",K13/((I13-N13)/F13)))</f>
        <v>s/d</v>
      </c>
      <c r="U13" s="78" t="str">
        <f>IF(ISNUMBER(T13),T13/(F13/B13),"s/d")</f>
        <v>s/d</v>
      </c>
      <c r="V13" s="29" t="str">
        <f>IF(ISNUMBER(T13),(F13-T13)/F13,"s/d")</f>
        <v>s/d</v>
      </c>
      <c r="W13" s="28">
        <f>SUMIFS(CALCULO!$CL$6:$CL$305,CALCULO!$D$6:$D$305,$A13)</f>
        <v>0</v>
      </c>
      <c r="X13" s="28">
        <f>SUMIFS(CALCULO!$CM$6:$CM$305,CALCULO!$D$6:$D$305,$A13)</f>
        <v>0</v>
      </c>
      <c r="Y13" s="28">
        <f>SUMIFS(CALCULO!$CN$6:$CN$305,CALCULO!$D$6:$D$305,$A13)</f>
        <v>0</v>
      </c>
      <c r="Z13" s="28">
        <f>-M13</f>
        <v>0</v>
      </c>
      <c r="AA13" s="55">
        <f>ROUND(O13-(W13+X13+Y13+Z13),4)</f>
        <v>0</v>
      </c>
      <c r="AB13" s="28">
        <f>H13+K13+N13</f>
        <v>0</v>
      </c>
      <c r="AC13" s="29">
        <f>IFERROR(SUMIFS(CALCULO!$CQ$6:$CQ$305,CALCULO!$D$6:$D$305,$A13)/SUMIFS(CALCULO!$CP$6:$CP$305,CALCULO!$D$6:$D$305,$A13)-1,0)</f>
        <v>0</v>
      </c>
    </row>
    <row r="14">
      <c r="A14" s="75">
        <f>EDATE(Fecha_Inicio,8)</f>
        <v>46508.0</v>
      </c>
      <c r="B14" s="76">
        <f>COUNTIFS(CALCULO!$D$6:$D$305,$A14)</f>
        <v>0</v>
      </c>
      <c r="C14" s="31">
        <f>SUMIFS(CALCULO!$G$6:$G$305,CALCULO!$D$6:$D$305,$A14)</f>
        <v>0</v>
      </c>
      <c r="D14" s="31">
        <f>SUMIFS(CALCULO!$H$6:$H$305,CALCULO!$D$6:$D$305,$A14)</f>
        <v>0</v>
      </c>
      <c r="E14" s="31">
        <f>SUMIFS(CALCULO!$I$6:$I$305,CALCULO!$D$6:$D$305,$A14)</f>
        <v>0</v>
      </c>
      <c r="F14" s="31">
        <f>C14+D14+E14</f>
        <v>0</v>
      </c>
      <c r="G14" s="28">
        <f>SUMIFS(CALCULO!$Q$6:$Q$305,CALCULO!$D$6:$D$305,$A14)</f>
        <v>0</v>
      </c>
      <c r="H14" s="28">
        <f>SUMIFS(CALCULO!$BL$6:$BL$305,CALCULO!$D$6:$D$305,$A14)</f>
        <v>0</v>
      </c>
      <c r="I14" s="28">
        <f>G14-H14</f>
        <v>0</v>
      </c>
      <c r="J14" s="29">
        <f>IF(G14=0,0,I14/G14)</f>
        <v>0</v>
      </c>
      <c r="K14" s="28">
        <f>IF($A14&gt;$C$3,0,INDEX(COSTOS_FIJOS!$G$42:$AD$42,9))</f>
        <v>0</v>
      </c>
      <c r="L14" s="28">
        <f>SUMIFS(CALCULO!$CA$6:$CA$305,CALCULO!$D$6:$D$305,$A14)</f>
        <v>0</v>
      </c>
      <c r="M14" s="28">
        <f>K14-L14</f>
        <v>0</v>
      </c>
      <c r="N14" s="28">
        <f>SUMIFS(CALCULO!$CB$6:$CB$305,CALCULO!$D$6:$D$305,$A14)+SUMIFS(CALCULO!$CC$6:$CC$305,CALCULO!$D$6:$D$305,$A14)</f>
        <v>0</v>
      </c>
      <c r="O14" s="77">
        <f>I14-K14-N14</f>
        <v>0</v>
      </c>
      <c r="P14" s="29">
        <f>IF(G14=0,0,O14/G14)</f>
        <v>0</v>
      </c>
      <c r="Q14" s="30">
        <f>IF(F14=0,0,(H14+K14+N14)/F14)</f>
        <v>0</v>
      </c>
      <c r="R14" s="30">
        <f>IF(F14=0,0,G14/F14)</f>
        <v>0</v>
      </c>
      <c r="S14" s="30">
        <f>IF(F14=0,0,O14/F14)</f>
        <v>0</v>
      </c>
      <c r="T14" s="31" t="str">
        <f>IF(F14=0,"s/d",IF(I14-N14&lt;=0,"No cubre",K14/((I14-N14)/F14)))</f>
        <v>s/d</v>
      </c>
      <c r="U14" s="78" t="str">
        <f>IF(ISNUMBER(T14),T14/(F14/B14),"s/d")</f>
        <v>s/d</v>
      </c>
      <c r="V14" s="29" t="str">
        <f>IF(ISNUMBER(T14),(F14-T14)/F14,"s/d")</f>
        <v>s/d</v>
      </c>
      <c r="W14" s="28">
        <f>SUMIFS(CALCULO!$CL$6:$CL$305,CALCULO!$D$6:$D$305,$A14)</f>
        <v>0</v>
      </c>
      <c r="X14" s="28">
        <f>SUMIFS(CALCULO!$CM$6:$CM$305,CALCULO!$D$6:$D$305,$A14)</f>
        <v>0</v>
      </c>
      <c r="Y14" s="28">
        <f>SUMIFS(CALCULO!$CN$6:$CN$305,CALCULO!$D$6:$D$305,$A14)</f>
        <v>0</v>
      </c>
      <c r="Z14" s="28">
        <f>-M14</f>
        <v>0</v>
      </c>
      <c r="AA14" s="55">
        <f>ROUND(O14-(W14+X14+Y14+Z14),4)</f>
        <v>0</v>
      </c>
      <c r="AB14" s="28">
        <f>H14+K14+N14</f>
        <v>0</v>
      </c>
      <c r="AC14" s="29">
        <f>IFERROR(SUMIFS(CALCULO!$CQ$6:$CQ$305,CALCULO!$D$6:$D$305,$A14)/SUMIFS(CALCULO!$CP$6:$CP$305,CALCULO!$D$6:$D$305,$A14)-1,0)</f>
        <v>0</v>
      </c>
    </row>
    <row r="15">
      <c r="A15" s="75">
        <f>EDATE(Fecha_Inicio,9)</f>
        <v>46539.0</v>
      </c>
      <c r="B15" s="76">
        <f>COUNTIFS(CALCULO!$D$6:$D$305,$A15)</f>
        <v>0</v>
      </c>
      <c r="C15" s="31">
        <f>SUMIFS(CALCULO!$G$6:$G$305,CALCULO!$D$6:$D$305,$A15)</f>
        <v>0</v>
      </c>
      <c r="D15" s="31">
        <f>SUMIFS(CALCULO!$H$6:$H$305,CALCULO!$D$6:$D$305,$A15)</f>
        <v>0</v>
      </c>
      <c r="E15" s="31">
        <f>SUMIFS(CALCULO!$I$6:$I$305,CALCULO!$D$6:$D$305,$A15)</f>
        <v>0</v>
      </c>
      <c r="F15" s="31">
        <f>C15+D15+E15</f>
        <v>0</v>
      </c>
      <c r="G15" s="28">
        <f>SUMIFS(CALCULO!$Q$6:$Q$305,CALCULO!$D$6:$D$305,$A15)</f>
        <v>0</v>
      </c>
      <c r="H15" s="28">
        <f>SUMIFS(CALCULO!$BL$6:$BL$305,CALCULO!$D$6:$D$305,$A15)</f>
        <v>0</v>
      </c>
      <c r="I15" s="28">
        <f>G15-H15</f>
        <v>0</v>
      </c>
      <c r="J15" s="29">
        <f>IF(G15=0,0,I15/G15)</f>
        <v>0</v>
      </c>
      <c r="K15" s="28">
        <f>IF($A15&gt;$C$3,0,INDEX(COSTOS_FIJOS!$G$42:$AD$42,10))</f>
        <v>0</v>
      </c>
      <c r="L15" s="28">
        <f>SUMIFS(CALCULO!$CA$6:$CA$305,CALCULO!$D$6:$D$305,$A15)</f>
        <v>0</v>
      </c>
      <c r="M15" s="28">
        <f>K15-L15</f>
        <v>0</v>
      </c>
      <c r="N15" s="28">
        <f>SUMIFS(CALCULO!$CB$6:$CB$305,CALCULO!$D$6:$D$305,$A15)+SUMIFS(CALCULO!$CC$6:$CC$305,CALCULO!$D$6:$D$305,$A15)</f>
        <v>0</v>
      </c>
      <c r="O15" s="77">
        <f>I15-K15-N15</f>
        <v>0</v>
      </c>
      <c r="P15" s="29">
        <f>IF(G15=0,0,O15/G15)</f>
        <v>0</v>
      </c>
      <c r="Q15" s="30">
        <f>IF(F15=0,0,(H15+K15+N15)/F15)</f>
        <v>0</v>
      </c>
      <c r="R15" s="30">
        <f>IF(F15=0,0,G15/F15)</f>
        <v>0</v>
      </c>
      <c r="S15" s="30">
        <f>IF(F15=0,0,O15/F15)</f>
        <v>0</v>
      </c>
      <c r="T15" s="31" t="str">
        <f>IF(F15=0,"s/d",IF(I15-N15&lt;=0,"No cubre",K15/((I15-N15)/F15)))</f>
        <v>s/d</v>
      </c>
      <c r="U15" s="78" t="str">
        <f>IF(ISNUMBER(T15),T15/(F15/B15),"s/d")</f>
        <v>s/d</v>
      </c>
      <c r="V15" s="29" t="str">
        <f>IF(ISNUMBER(T15),(F15-T15)/F15,"s/d")</f>
        <v>s/d</v>
      </c>
      <c r="W15" s="28">
        <f>SUMIFS(CALCULO!$CL$6:$CL$305,CALCULO!$D$6:$D$305,$A15)</f>
        <v>0</v>
      </c>
      <c r="X15" s="28">
        <f>SUMIFS(CALCULO!$CM$6:$CM$305,CALCULO!$D$6:$D$305,$A15)</f>
        <v>0</v>
      </c>
      <c r="Y15" s="28">
        <f>SUMIFS(CALCULO!$CN$6:$CN$305,CALCULO!$D$6:$D$305,$A15)</f>
        <v>0</v>
      </c>
      <c r="Z15" s="28">
        <f>-M15</f>
        <v>0</v>
      </c>
      <c r="AA15" s="55">
        <f>ROUND(O15-(W15+X15+Y15+Z15),4)</f>
        <v>0</v>
      </c>
      <c r="AB15" s="28">
        <f>H15+K15+N15</f>
        <v>0</v>
      </c>
      <c r="AC15" s="29">
        <f>IFERROR(SUMIFS(CALCULO!$CQ$6:$CQ$305,CALCULO!$D$6:$D$305,$A15)/SUMIFS(CALCULO!$CP$6:$CP$305,CALCULO!$D$6:$D$305,$A15)-1,0)</f>
        <v>0</v>
      </c>
    </row>
    <row r="16">
      <c r="A16" s="75">
        <f>EDATE(Fecha_Inicio,10)</f>
        <v>46569.0</v>
      </c>
      <c r="B16" s="76">
        <f>COUNTIFS(CALCULO!$D$6:$D$305,$A16)</f>
        <v>0</v>
      </c>
      <c r="C16" s="31">
        <f>SUMIFS(CALCULO!$G$6:$G$305,CALCULO!$D$6:$D$305,$A16)</f>
        <v>0</v>
      </c>
      <c r="D16" s="31">
        <f>SUMIFS(CALCULO!$H$6:$H$305,CALCULO!$D$6:$D$305,$A16)</f>
        <v>0</v>
      </c>
      <c r="E16" s="31">
        <f>SUMIFS(CALCULO!$I$6:$I$305,CALCULO!$D$6:$D$305,$A16)</f>
        <v>0</v>
      </c>
      <c r="F16" s="31">
        <f>C16+D16+E16</f>
        <v>0</v>
      </c>
      <c r="G16" s="28">
        <f>SUMIFS(CALCULO!$Q$6:$Q$305,CALCULO!$D$6:$D$305,$A16)</f>
        <v>0</v>
      </c>
      <c r="H16" s="28">
        <f>SUMIFS(CALCULO!$BL$6:$BL$305,CALCULO!$D$6:$D$305,$A16)</f>
        <v>0</v>
      </c>
      <c r="I16" s="28">
        <f>G16-H16</f>
        <v>0</v>
      </c>
      <c r="J16" s="29">
        <f>IF(G16=0,0,I16/G16)</f>
        <v>0</v>
      </c>
      <c r="K16" s="28">
        <f>IF($A16&gt;$C$3,0,INDEX(COSTOS_FIJOS!$G$42:$AD$42,11))</f>
        <v>0</v>
      </c>
      <c r="L16" s="28">
        <f>SUMIFS(CALCULO!$CA$6:$CA$305,CALCULO!$D$6:$D$305,$A16)</f>
        <v>0</v>
      </c>
      <c r="M16" s="28">
        <f>K16-L16</f>
        <v>0</v>
      </c>
      <c r="N16" s="28">
        <f>SUMIFS(CALCULO!$CB$6:$CB$305,CALCULO!$D$6:$D$305,$A16)+SUMIFS(CALCULO!$CC$6:$CC$305,CALCULO!$D$6:$D$305,$A16)</f>
        <v>0</v>
      </c>
      <c r="O16" s="77">
        <f>I16-K16-N16</f>
        <v>0</v>
      </c>
      <c r="P16" s="29">
        <f>IF(G16=0,0,O16/G16)</f>
        <v>0</v>
      </c>
      <c r="Q16" s="30">
        <f>IF(F16=0,0,(H16+K16+N16)/F16)</f>
        <v>0</v>
      </c>
      <c r="R16" s="30">
        <f>IF(F16=0,0,G16/F16)</f>
        <v>0</v>
      </c>
      <c r="S16" s="30">
        <f>IF(F16=0,0,O16/F16)</f>
        <v>0</v>
      </c>
      <c r="T16" s="31" t="str">
        <f>IF(F16=0,"s/d",IF(I16-N16&lt;=0,"No cubre",K16/((I16-N16)/F16)))</f>
        <v>s/d</v>
      </c>
      <c r="U16" s="78" t="str">
        <f>IF(ISNUMBER(T16),T16/(F16/B16),"s/d")</f>
        <v>s/d</v>
      </c>
      <c r="V16" s="29" t="str">
        <f>IF(ISNUMBER(T16),(F16-T16)/F16,"s/d")</f>
        <v>s/d</v>
      </c>
      <c r="W16" s="28">
        <f>SUMIFS(CALCULO!$CL$6:$CL$305,CALCULO!$D$6:$D$305,$A16)</f>
        <v>0</v>
      </c>
      <c r="X16" s="28">
        <f>SUMIFS(CALCULO!$CM$6:$CM$305,CALCULO!$D$6:$D$305,$A16)</f>
        <v>0</v>
      </c>
      <c r="Y16" s="28">
        <f>SUMIFS(CALCULO!$CN$6:$CN$305,CALCULO!$D$6:$D$305,$A16)</f>
        <v>0</v>
      </c>
      <c r="Z16" s="28">
        <f>-M16</f>
        <v>0</v>
      </c>
      <c r="AA16" s="55">
        <f>ROUND(O16-(W16+X16+Y16+Z16),4)</f>
        <v>0</v>
      </c>
      <c r="AB16" s="28">
        <f>H16+K16+N16</f>
        <v>0</v>
      </c>
      <c r="AC16" s="29">
        <f>IFERROR(SUMIFS(CALCULO!$CQ$6:$CQ$305,CALCULO!$D$6:$D$305,$A16)/SUMIFS(CALCULO!$CP$6:$CP$305,CALCULO!$D$6:$D$305,$A16)-1,0)</f>
        <v>0</v>
      </c>
    </row>
    <row r="17">
      <c r="A17" s="75">
        <f>EDATE(Fecha_Inicio,11)</f>
        <v>46600.0</v>
      </c>
      <c r="B17" s="76">
        <f>COUNTIFS(CALCULO!$D$6:$D$305,$A17)</f>
        <v>0</v>
      </c>
      <c r="C17" s="31">
        <f>SUMIFS(CALCULO!$G$6:$G$305,CALCULO!$D$6:$D$305,$A17)</f>
        <v>0</v>
      </c>
      <c r="D17" s="31">
        <f>SUMIFS(CALCULO!$H$6:$H$305,CALCULO!$D$6:$D$305,$A17)</f>
        <v>0</v>
      </c>
      <c r="E17" s="31">
        <f>SUMIFS(CALCULO!$I$6:$I$305,CALCULO!$D$6:$D$305,$A17)</f>
        <v>0</v>
      </c>
      <c r="F17" s="31">
        <f>C17+D17+E17</f>
        <v>0</v>
      </c>
      <c r="G17" s="28">
        <f>SUMIFS(CALCULO!$Q$6:$Q$305,CALCULO!$D$6:$D$305,$A17)</f>
        <v>0</v>
      </c>
      <c r="H17" s="28">
        <f>SUMIFS(CALCULO!$BL$6:$BL$305,CALCULO!$D$6:$D$305,$A17)</f>
        <v>0</v>
      </c>
      <c r="I17" s="28">
        <f>G17-H17</f>
        <v>0</v>
      </c>
      <c r="J17" s="29">
        <f>IF(G17=0,0,I17/G17)</f>
        <v>0</v>
      </c>
      <c r="K17" s="28">
        <f>IF($A17&gt;$C$3,0,INDEX(COSTOS_FIJOS!$G$42:$AD$42,12))</f>
        <v>0</v>
      </c>
      <c r="L17" s="28">
        <f>SUMIFS(CALCULO!$CA$6:$CA$305,CALCULO!$D$6:$D$305,$A17)</f>
        <v>0</v>
      </c>
      <c r="M17" s="28">
        <f>K17-L17</f>
        <v>0</v>
      </c>
      <c r="N17" s="28">
        <f>SUMIFS(CALCULO!$CB$6:$CB$305,CALCULO!$D$6:$D$305,$A17)+SUMIFS(CALCULO!$CC$6:$CC$305,CALCULO!$D$6:$D$305,$A17)</f>
        <v>0</v>
      </c>
      <c r="O17" s="77">
        <f>I17-K17-N17</f>
        <v>0</v>
      </c>
      <c r="P17" s="29">
        <f>IF(G17=0,0,O17/G17)</f>
        <v>0</v>
      </c>
      <c r="Q17" s="30">
        <f>IF(F17=0,0,(H17+K17+N17)/F17)</f>
        <v>0</v>
      </c>
      <c r="R17" s="30">
        <f>IF(F17=0,0,G17/F17)</f>
        <v>0</v>
      </c>
      <c r="S17" s="30">
        <f>IF(F17=0,0,O17/F17)</f>
        <v>0</v>
      </c>
      <c r="T17" s="31" t="str">
        <f>IF(F17=0,"s/d",IF(I17-N17&lt;=0,"No cubre",K17/((I17-N17)/F17)))</f>
        <v>s/d</v>
      </c>
      <c r="U17" s="78" t="str">
        <f>IF(ISNUMBER(T17),T17/(F17/B17),"s/d")</f>
        <v>s/d</v>
      </c>
      <c r="V17" s="29" t="str">
        <f>IF(ISNUMBER(T17),(F17-T17)/F17,"s/d")</f>
        <v>s/d</v>
      </c>
      <c r="W17" s="28">
        <f>SUMIFS(CALCULO!$CL$6:$CL$305,CALCULO!$D$6:$D$305,$A17)</f>
        <v>0</v>
      </c>
      <c r="X17" s="28">
        <f>SUMIFS(CALCULO!$CM$6:$CM$305,CALCULO!$D$6:$D$305,$A17)</f>
        <v>0</v>
      </c>
      <c r="Y17" s="28">
        <f>SUMIFS(CALCULO!$CN$6:$CN$305,CALCULO!$D$6:$D$305,$A17)</f>
        <v>0</v>
      </c>
      <c r="Z17" s="28">
        <f>-M17</f>
        <v>0</v>
      </c>
      <c r="AA17" s="55">
        <f>ROUND(O17-(W17+X17+Y17+Z17),4)</f>
        <v>0</v>
      </c>
      <c r="AB17" s="28">
        <f>H17+K17+N17</f>
        <v>0</v>
      </c>
      <c r="AC17" s="29">
        <f>IFERROR(SUMIFS(CALCULO!$CQ$6:$CQ$305,CALCULO!$D$6:$D$305,$A17)/SUMIFS(CALCULO!$CP$6:$CP$305,CALCULO!$D$6:$D$305,$A17)-1,0)</f>
        <v>0</v>
      </c>
    </row>
    <row r="18">
      <c r="A18" s="75">
        <f>EDATE(Fecha_Inicio,12)</f>
        <v>46631.0</v>
      </c>
      <c r="B18" s="76">
        <f>COUNTIFS(CALCULO!$D$6:$D$305,$A18)</f>
        <v>0</v>
      </c>
      <c r="C18" s="31">
        <f>SUMIFS(CALCULO!$G$6:$G$305,CALCULO!$D$6:$D$305,$A18)</f>
        <v>0</v>
      </c>
      <c r="D18" s="31">
        <f>SUMIFS(CALCULO!$H$6:$H$305,CALCULO!$D$6:$D$305,$A18)</f>
        <v>0</v>
      </c>
      <c r="E18" s="31">
        <f>SUMIFS(CALCULO!$I$6:$I$305,CALCULO!$D$6:$D$305,$A18)</f>
        <v>0</v>
      </c>
      <c r="F18" s="31">
        <f>C18+D18+E18</f>
        <v>0</v>
      </c>
      <c r="G18" s="28">
        <f>SUMIFS(CALCULO!$Q$6:$Q$305,CALCULO!$D$6:$D$305,$A18)</f>
        <v>0</v>
      </c>
      <c r="H18" s="28">
        <f>SUMIFS(CALCULO!$BL$6:$BL$305,CALCULO!$D$6:$D$305,$A18)</f>
        <v>0</v>
      </c>
      <c r="I18" s="28">
        <f>G18-H18</f>
        <v>0</v>
      </c>
      <c r="J18" s="29">
        <f>IF(G18=0,0,I18/G18)</f>
        <v>0</v>
      </c>
      <c r="K18" s="28">
        <f>IF($A18&gt;$C$3,0,INDEX(COSTOS_FIJOS!$G$42:$AD$42,13))</f>
        <v>0</v>
      </c>
      <c r="L18" s="28">
        <f>SUMIFS(CALCULO!$CA$6:$CA$305,CALCULO!$D$6:$D$305,$A18)</f>
        <v>0</v>
      </c>
      <c r="M18" s="28">
        <f>K18-L18</f>
        <v>0</v>
      </c>
      <c r="N18" s="28">
        <f>SUMIFS(CALCULO!$CB$6:$CB$305,CALCULO!$D$6:$D$305,$A18)+SUMIFS(CALCULO!$CC$6:$CC$305,CALCULO!$D$6:$D$305,$A18)</f>
        <v>0</v>
      </c>
      <c r="O18" s="77">
        <f>I18-K18-N18</f>
        <v>0</v>
      </c>
      <c r="P18" s="29">
        <f>IF(G18=0,0,O18/G18)</f>
        <v>0</v>
      </c>
      <c r="Q18" s="30">
        <f>IF(F18=0,0,(H18+K18+N18)/F18)</f>
        <v>0</v>
      </c>
      <c r="R18" s="30">
        <f>IF(F18=0,0,G18/F18)</f>
        <v>0</v>
      </c>
      <c r="S18" s="30">
        <f>IF(F18=0,0,O18/F18)</f>
        <v>0</v>
      </c>
      <c r="T18" s="31" t="str">
        <f>IF(F18=0,"s/d",IF(I18-N18&lt;=0,"No cubre",K18/((I18-N18)/F18)))</f>
        <v>s/d</v>
      </c>
      <c r="U18" s="78" t="str">
        <f>IF(ISNUMBER(T18),T18/(F18/B18),"s/d")</f>
        <v>s/d</v>
      </c>
      <c r="V18" s="29" t="str">
        <f>IF(ISNUMBER(T18),(F18-T18)/F18,"s/d")</f>
        <v>s/d</v>
      </c>
      <c r="W18" s="28">
        <f>SUMIFS(CALCULO!$CL$6:$CL$305,CALCULO!$D$6:$D$305,$A18)</f>
        <v>0</v>
      </c>
      <c r="X18" s="28">
        <f>SUMIFS(CALCULO!$CM$6:$CM$305,CALCULO!$D$6:$D$305,$A18)</f>
        <v>0</v>
      </c>
      <c r="Y18" s="28">
        <f>SUMIFS(CALCULO!$CN$6:$CN$305,CALCULO!$D$6:$D$305,$A18)</f>
        <v>0</v>
      </c>
      <c r="Z18" s="28">
        <f>-M18</f>
        <v>0</v>
      </c>
      <c r="AA18" s="55">
        <f>ROUND(O18-(W18+X18+Y18+Z18),4)</f>
        <v>0</v>
      </c>
      <c r="AB18" s="28">
        <f>H18+K18+N18</f>
        <v>0</v>
      </c>
      <c r="AC18" s="29">
        <f>IFERROR(SUMIFS(CALCULO!$CQ$6:$CQ$305,CALCULO!$D$6:$D$305,$A18)/SUMIFS(CALCULO!$CP$6:$CP$305,CALCULO!$D$6:$D$305,$A18)-1,0)</f>
        <v>0</v>
      </c>
    </row>
    <row r="19">
      <c r="A19" s="75">
        <f>EDATE(Fecha_Inicio,13)</f>
        <v>46661.0</v>
      </c>
      <c r="B19" s="76">
        <f>COUNTIFS(CALCULO!$D$6:$D$305,$A19)</f>
        <v>0</v>
      </c>
      <c r="C19" s="31">
        <f>SUMIFS(CALCULO!$G$6:$G$305,CALCULO!$D$6:$D$305,$A19)</f>
        <v>0</v>
      </c>
      <c r="D19" s="31">
        <f>SUMIFS(CALCULO!$H$6:$H$305,CALCULO!$D$6:$D$305,$A19)</f>
        <v>0</v>
      </c>
      <c r="E19" s="31">
        <f>SUMIFS(CALCULO!$I$6:$I$305,CALCULO!$D$6:$D$305,$A19)</f>
        <v>0</v>
      </c>
      <c r="F19" s="31">
        <f>C19+D19+E19</f>
        <v>0</v>
      </c>
      <c r="G19" s="28">
        <f>SUMIFS(CALCULO!$Q$6:$Q$305,CALCULO!$D$6:$D$305,$A19)</f>
        <v>0</v>
      </c>
      <c r="H19" s="28">
        <f>SUMIFS(CALCULO!$BL$6:$BL$305,CALCULO!$D$6:$D$305,$A19)</f>
        <v>0</v>
      </c>
      <c r="I19" s="28">
        <f>G19-H19</f>
        <v>0</v>
      </c>
      <c r="J19" s="29">
        <f>IF(G19=0,0,I19/G19)</f>
        <v>0</v>
      </c>
      <c r="K19" s="28">
        <f>IF($A19&gt;$C$3,0,INDEX(COSTOS_FIJOS!$G$42:$AD$42,14))</f>
        <v>0</v>
      </c>
      <c r="L19" s="28">
        <f>SUMIFS(CALCULO!$CA$6:$CA$305,CALCULO!$D$6:$D$305,$A19)</f>
        <v>0</v>
      </c>
      <c r="M19" s="28">
        <f>K19-L19</f>
        <v>0</v>
      </c>
      <c r="N19" s="28">
        <f>SUMIFS(CALCULO!$CB$6:$CB$305,CALCULO!$D$6:$D$305,$A19)+SUMIFS(CALCULO!$CC$6:$CC$305,CALCULO!$D$6:$D$305,$A19)</f>
        <v>0</v>
      </c>
      <c r="O19" s="77">
        <f>I19-K19-N19</f>
        <v>0</v>
      </c>
      <c r="P19" s="29">
        <f>IF(G19=0,0,O19/G19)</f>
        <v>0</v>
      </c>
      <c r="Q19" s="30">
        <f>IF(F19=0,0,(H19+K19+N19)/F19)</f>
        <v>0</v>
      </c>
      <c r="R19" s="30">
        <f>IF(F19=0,0,G19/F19)</f>
        <v>0</v>
      </c>
      <c r="S19" s="30">
        <f>IF(F19=0,0,O19/F19)</f>
        <v>0</v>
      </c>
      <c r="T19" s="31" t="str">
        <f>IF(F19=0,"s/d",IF(I19-N19&lt;=0,"No cubre",K19/((I19-N19)/F19)))</f>
        <v>s/d</v>
      </c>
      <c r="U19" s="78" t="str">
        <f>IF(ISNUMBER(T19),T19/(F19/B19),"s/d")</f>
        <v>s/d</v>
      </c>
      <c r="V19" s="29" t="str">
        <f>IF(ISNUMBER(T19),(F19-T19)/F19,"s/d")</f>
        <v>s/d</v>
      </c>
      <c r="W19" s="28">
        <f>SUMIFS(CALCULO!$CL$6:$CL$305,CALCULO!$D$6:$D$305,$A19)</f>
        <v>0</v>
      </c>
      <c r="X19" s="28">
        <f>SUMIFS(CALCULO!$CM$6:$CM$305,CALCULO!$D$6:$D$305,$A19)</f>
        <v>0</v>
      </c>
      <c r="Y19" s="28">
        <f>SUMIFS(CALCULO!$CN$6:$CN$305,CALCULO!$D$6:$D$305,$A19)</f>
        <v>0</v>
      </c>
      <c r="Z19" s="28">
        <f>-M19</f>
        <v>0</v>
      </c>
      <c r="AA19" s="55">
        <f>ROUND(O19-(W19+X19+Y19+Z19),4)</f>
        <v>0</v>
      </c>
      <c r="AB19" s="28">
        <f>H19+K19+N19</f>
        <v>0</v>
      </c>
      <c r="AC19" s="29">
        <f>IFERROR(SUMIFS(CALCULO!$CQ$6:$CQ$305,CALCULO!$D$6:$D$305,$A19)/SUMIFS(CALCULO!$CP$6:$CP$305,CALCULO!$D$6:$D$305,$A19)-1,0)</f>
        <v>0</v>
      </c>
    </row>
    <row r="20">
      <c r="A20" s="75">
        <f>EDATE(Fecha_Inicio,14)</f>
        <v>46692.0</v>
      </c>
      <c r="B20" s="76">
        <f>COUNTIFS(CALCULO!$D$6:$D$305,$A20)</f>
        <v>0</v>
      </c>
      <c r="C20" s="31">
        <f>SUMIFS(CALCULO!$G$6:$G$305,CALCULO!$D$6:$D$305,$A20)</f>
        <v>0</v>
      </c>
      <c r="D20" s="31">
        <f>SUMIFS(CALCULO!$H$6:$H$305,CALCULO!$D$6:$D$305,$A20)</f>
        <v>0</v>
      </c>
      <c r="E20" s="31">
        <f>SUMIFS(CALCULO!$I$6:$I$305,CALCULO!$D$6:$D$305,$A20)</f>
        <v>0</v>
      </c>
      <c r="F20" s="31">
        <f>C20+D20+E20</f>
        <v>0</v>
      </c>
      <c r="G20" s="28">
        <f>SUMIFS(CALCULO!$Q$6:$Q$305,CALCULO!$D$6:$D$305,$A20)</f>
        <v>0</v>
      </c>
      <c r="H20" s="28">
        <f>SUMIFS(CALCULO!$BL$6:$BL$305,CALCULO!$D$6:$D$305,$A20)</f>
        <v>0</v>
      </c>
      <c r="I20" s="28">
        <f>G20-H20</f>
        <v>0</v>
      </c>
      <c r="J20" s="29">
        <f>IF(G20=0,0,I20/G20)</f>
        <v>0</v>
      </c>
      <c r="K20" s="28">
        <f>IF($A20&gt;$C$3,0,INDEX(COSTOS_FIJOS!$G$42:$AD$42,15))</f>
        <v>0</v>
      </c>
      <c r="L20" s="28">
        <f>SUMIFS(CALCULO!$CA$6:$CA$305,CALCULO!$D$6:$D$305,$A20)</f>
        <v>0</v>
      </c>
      <c r="M20" s="28">
        <f>K20-L20</f>
        <v>0</v>
      </c>
      <c r="N20" s="28">
        <f>SUMIFS(CALCULO!$CB$6:$CB$305,CALCULO!$D$6:$D$305,$A20)+SUMIFS(CALCULO!$CC$6:$CC$305,CALCULO!$D$6:$D$305,$A20)</f>
        <v>0</v>
      </c>
      <c r="O20" s="77">
        <f>I20-K20-N20</f>
        <v>0</v>
      </c>
      <c r="P20" s="29">
        <f>IF(G20=0,0,O20/G20)</f>
        <v>0</v>
      </c>
      <c r="Q20" s="30">
        <f>IF(F20=0,0,(H20+K20+N20)/F20)</f>
        <v>0</v>
      </c>
      <c r="R20" s="30">
        <f>IF(F20=0,0,G20/F20)</f>
        <v>0</v>
      </c>
      <c r="S20" s="30">
        <f>IF(F20=0,0,O20/F20)</f>
        <v>0</v>
      </c>
      <c r="T20" s="31" t="str">
        <f>IF(F20=0,"s/d",IF(I20-N20&lt;=0,"No cubre",K20/((I20-N20)/F20)))</f>
        <v>s/d</v>
      </c>
      <c r="U20" s="78" t="str">
        <f>IF(ISNUMBER(T20),T20/(F20/B20),"s/d")</f>
        <v>s/d</v>
      </c>
      <c r="V20" s="29" t="str">
        <f>IF(ISNUMBER(T20),(F20-T20)/F20,"s/d")</f>
        <v>s/d</v>
      </c>
      <c r="W20" s="28">
        <f>SUMIFS(CALCULO!$CL$6:$CL$305,CALCULO!$D$6:$D$305,$A20)</f>
        <v>0</v>
      </c>
      <c r="X20" s="28">
        <f>SUMIFS(CALCULO!$CM$6:$CM$305,CALCULO!$D$6:$D$305,$A20)</f>
        <v>0</v>
      </c>
      <c r="Y20" s="28">
        <f>SUMIFS(CALCULO!$CN$6:$CN$305,CALCULO!$D$6:$D$305,$A20)</f>
        <v>0</v>
      </c>
      <c r="Z20" s="28">
        <f>-M20</f>
        <v>0</v>
      </c>
      <c r="AA20" s="55">
        <f>ROUND(O20-(W20+X20+Y20+Z20),4)</f>
        <v>0</v>
      </c>
      <c r="AB20" s="28">
        <f>H20+K20+N20</f>
        <v>0</v>
      </c>
      <c r="AC20" s="29">
        <f>IFERROR(SUMIFS(CALCULO!$CQ$6:$CQ$305,CALCULO!$D$6:$D$305,$A20)/SUMIFS(CALCULO!$CP$6:$CP$305,CALCULO!$D$6:$D$305,$A20)-1,0)</f>
        <v>0</v>
      </c>
    </row>
    <row r="21">
      <c r="A21" s="75">
        <f>EDATE(Fecha_Inicio,15)</f>
        <v>46722.0</v>
      </c>
      <c r="B21" s="76">
        <f>COUNTIFS(CALCULO!$D$6:$D$305,$A21)</f>
        <v>0</v>
      </c>
      <c r="C21" s="31">
        <f>SUMIFS(CALCULO!$G$6:$G$305,CALCULO!$D$6:$D$305,$A21)</f>
        <v>0</v>
      </c>
      <c r="D21" s="31">
        <f>SUMIFS(CALCULO!$H$6:$H$305,CALCULO!$D$6:$D$305,$A21)</f>
        <v>0</v>
      </c>
      <c r="E21" s="31">
        <f>SUMIFS(CALCULO!$I$6:$I$305,CALCULO!$D$6:$D$305,$A21)</f>
        <v>0</v>
      </c>
      <c r="F21" s="31">
        <f>C21+D21+E21</f>
        <v>0</v>
      </c>
      <c r="G21" s="28">
        <f>SUMIFS(CALCULO!$Q$6:$Q$305,CALCULO!$D$6:$D$305,$A21)</f>
        <v>0</v>
      </c>
      <c r="H21" s="28">
        <f>SUMIFS(CALCULO!$BL$6:$BL$305,CALCULO!$D$6:$D$305,$A21)</f>
        <v>0</v>
      </c>
      <c r="I21" s="28">
        <f>G21-H21</f>
        <v>0</v>
      </c>
      <c r="J21" s="29">
        <f>IF(G21=0,0,I21/G21)</f>
        <v>0</v>
      </c>
      <c r="K21" s="28">
        <f>IF($A21&gt;$C$3,0,INDEX(COSTOS_FIJOS!$G$42:$AD$42,16))</f>
        <v>0</v>
      </c>
      <c r="L21" s="28">
        <f>SUMIFS(CALCULO!$CA$6:$CA$305,CALCULO!$D$6:$D$305,$A21)</f>
        <v>0</v>
      </c>
      <c r="M21" s="28">
        <f>K21-L21</f>
        <v>0</v>
      </c>
      <c r="N21" s="28">
        <f>SUMIFS(CALCULO!$CB$6:$CB$305,CALCULO!$D$6:$D$305,$A21)+SUMIFS(CALCULO!$CC$6:$CC$305,CALCULO!$D$6:$D$305,$A21)</f>
        <v>0</v>
      </c>
      <c r="O21" s="77">
        <f>I21-K21-N21</f>
        <v>0</v>
      </c>
      <c r="P21" s="29">
        <f>IF(G21=0,0,O21/G21)</f>
        <v>0</v>
      </c>
      <c r="Q21" s="30">
        <f>IF(F21=0,0,(H21+K21+N21)/F21)</f>
        <v>0</v>
      </c>
      <c r="R21" s="30">
        <f>IF(F21=0,0,G21/F21)</f>
        <v>0</v>
      </c>
      <c r="S21" s="30">
        <f>IF(F21=0,0,O21/F21)</f>
        <v>0</v>
      </c>
      <c r="T21" s="31" t="str">
        <f>IF(F21=0,"s/d",IF(I21-N21&lt;=0,"No cubre",K21/((I21-N21)/F21)))</f>
        <v>s/d</v>
      </c>
      <c r="U21" s="78" t="str">
        <f>IF(ISNUMBER(T21),T21/(F21/B21),"s/d")</f>
        <v>s/d</v>
      </c>
      <c r="V21" s="29" t="str">
        <f>IF(ISNUMBER(T21),(F21-T21)/F21,"s/d")</f>
        <v>s/d</v>
      </c>
      <c r="W21" s="28">
        <f>SUMIFS(CALCULO!$CL$6:$CL$305,CALCULO!$D$6:$D$305,$A21)</f>
        <v>0</v>
      </c>
      <c r="X21" s="28">
        <f>SUMIFS(CALCULO!$CM$6:$CM$305,CALCULO!$D$6:$D$305,$A21)</f>
        <v>0</v>
      </c>
      <c r="Y21" s="28">
        <f>SUMIFS(CALCULO!$CN$6:$CN$305,CALCULO!$D$6:$D$305,$A21)</f>
        <v>0</v>
      </c>
      <c r="Z21" s="28">
        <f>-M21</f>
        <v>0</v>
      </c>
      <c r="AA21" s="55">
        <f>ROUND(O21-(W21+X21+Y21+Z21),4)</f>
        <v>0</v>
      </c>
      <c r="AB21" s="28">
        <f>H21+K21+N21</f>
        <v>0</v>
      </c>
      <c r="AC21" s="29">
        <f>IFERROR(SUMIFS(CALCULO!$CQ$6:$CQ$305,CALCULO!$D$6:$D$305,$A21)/SUMIFS(CALCULO!$CP$6:$CP$305,CALCULO!$D$6:$D$305,$A21)-1,0)</f>
        <v>0</v>
      </c>
    </row>
    <row r="22">
      <c r="A22" s="75">
        <f>EDATE(Fecha_Inicio,16)</f>
        <v>46753.0</v>
      </c>
      <c r="B22" s="76">
        <f>COUNTIFS(CALCULO!$D$6:$D$305,$A22)</f>
        <v>0</v>
      </c>
      <c r="C22" s="31">
        <f>SUMIFS(CALCULO!$G$6:$G$305,CALCULO!$D$6:$D$305,$A22)</f>
        <v>0</v>
      </c>
      <c r="D22" s="31">
        <f>SUMIFS(CALCULO!$H$6:$H$305,CALCULO!$D$6:$D$305,$A22)</f>
        <v>0</v>
      </c>
      <c r="E22" s="31">
        <f>SUMIFS(CALCULO!$I$6:$I$305,CALCULO!$D$6:$D$305,$A22)</f>
        <v>0</v>
      </c>
      <c r="F22" s="31">
        <f>C22+D22+E22</f>
        <v>0</v>
      </c>
      <c r="G22" s="28">
        <f>SUMIFS(CALCULO!$Q$6:$Q$305,CALCULO!$D$6:$D$305,$A22)</f>
        <v>0</v>
      </c>
      <c r="H22" s="28">
        <f>SUMIFS(CALCULO!$BL$6:$BL$305,CALCULO!$D$6:$D$305,$A22)</f>
        <v>0</v>
      </c>
      <c r="I22" s="28">
        <f>G22-H22</f>
        <v>0</v>
      </c>
      <c r="J22" s="29">
        <f>IF(G22=0,0,I22/G22)</f>
        <v>0</v>
      </c>
      <c r="K22" s="28">
        <f>IF($A22&gt;$C$3,0,INDEX(COSTOS_FIJOS!$G$42:$AD$42,17))</f>
        <v>0</v>
      </c>
      <c r="L22" s="28">
        <f>SUMIFS(CALCULO!$CA$6:$CA$305,CALCULO!$D$6:$D$305,$A22)</f>
        <v>0</v>
      </c>
      <c r="M22" s="28">
        <f>K22-L22</f>
        <v>0</v>
      </c>
      <c r="N22" s="28">
        <f>SUMIFS(CALCULO!$CB$6:$CB$305,CALCULO!$D$6:$D$305,$A22)+SUMIFS(CALCULO!$CC$6:$CC$305,CALCULO!$D$6:$D$305,$A22)</f>
        <v>0</v>
      </c>
      <c r="O22" s="77">
        <f>I22-K22-N22</f>
        <v>0</v>
      </c>
      <c r="P22" s="29">
        <f>IF(G22=0,0,O22/G22)</f>
        <v>0</v>
      </c>
      <c r="Q22" s="30">
        <f>IF(F22=0,0,(H22+K22+N22)/F22)</f>
        <v>0</v>
      </c>
      <c r="R22" s="30">
        <f>IF(F22=0,0,G22/F22)</f>
        <v>0</v>
      </c>
      <c r="S22" s="30">
        <f>IF(F22=0,0,O22/F22)</f>
        <v>0</v>
      </c>
      <c r="T22" s="31" t="str">
        <f>IF(F22=0,"s/d",IF(I22-N22&lt;=0,"No cubre",K22/((I22-N22)/F22)))</f>
        <v>s/d</v>
      </c>
      <c r="U22" s="78" t="str">
        <f>IF(ISNUMBER(T22),T22/(F22/B22),"s/d")</f>
        <v>s/d</v>
      </c>
      <c r="V22" s="29" t="str">
        <f>IF(ISNUMBER(T22),(F22-T22)/F22,"s/d")</f>
        <v>s/d</v>
      </c>
      <c r="W22" s="28">
        <f>SUMIFS(CALCULO!$CL$6:$CL$305,CALCULO!$D$6:$D$305,$A22)</f>
        <v>0</v>
      </c>
      <c r="X22" s="28">
        <f>SUMIFS(CALCULO!$CM$6:$CM$305,CALCULO!$D$6:$D$305,$A22)</f>
        <v>0</v>
      </c>
      <c r="Y22" s="28">
        <f>SUMIFS(CALCULO!$CN$6:$CN$305,CALCULO!$D$6:$D$305,$A22)</f>
        <v>0</v>
      </c>
      <c r="Z22" s="28">
        <f>-M22</f>
        <v>0</v>
      </c>
      <c r="AA22" s="55">
        <f>ROUND(O22-(W22+X22+Y22+Z22),4)</f>
        <v>0</v>
      </c>
      <c r="AB22" s="28">
        <f>H22+K22+N22</f>
        <v>0</v>
      </c>
      <c r="AC22" s="29">
        <f>IFERROR(SUMIFS(CALCULO!$CQ$6:$CQ$305,CALCULO!$D$6:$D$305,$A22)/SUMIFS(CALCULO!$CP$6:$CP$305,CALCULO!$D$6:$D$305,$A22)-1,0)</f>
        <v>0</v>
      </c>
    </row>
    <row r="23">
      <c r="A23" s="75">
        <f>EDATE(Fecha_Inicio,17)</f>
        <v>46784.0</v>
      </c>
      <c r="B23" s="76">
        <f>COUNTIFS(CALCULO!$D$6:$D$305,$A23)</f>
        <v>0</v>
      </c>
      <c r="C23" s="31">
        <f>SUMIFS(CALCULO!$G$6:$G$305,CALCULO!$D$6:$D$305,$A23)</f>
        <v>0</v>
      </c>
      <c r="D23" s="31">
        <f>SUMIFS(CALCULO!$H$6:$H$305,CALCULO!$D$6:$D$305,$A23)</f>
        <v>0</v>
      </c>
      <c r="E23" s="31">
        <f>SUMIFS(CALCULO!$I$6:$I$305,CALCULO!$D$6:$D$305,$A23)</f>
        <v>0</v>
      </c>
      <c r="F23" s="31">
        <f>C23+D23+E23</f>
        <v>0</v>
      </c>
      <c r="G23" s="28">
        <f>SUMIFS(CALCULO!$Q$6:$Q$305,CALCULO!$D$6:$D$305,$A23)</f>
        <v>0</v>
      </c>
      <c r="H23" s="28">
        <f>SUMIFS(CALCULO!$BL$6:$BL$305,CALCULO!$D$6:$D$305,$A23)</f>
        <v>0</v>
      </c>
      <c r="I23" s="28">
        <f>G23-H23</f>
        <v>0</v>
      </c>
      <c r="J23" s="29">
        <f>IF(G23=0,0,I23/G23)</f>
        <v>0</v>
      </c>
      <c r="K23" s="28">
        <f>IF($A23&gt;$C$3,0,INDEX(COSTOS_FIJOS!$G$42:$AD$42,18))</f>
        <v>0</v>
      </c>
      <c r="L23" s="28">
        <f>SUMIFS(CALCULO!$CA$6:$CA$305,CALCULO!$D$6:$D$305,$A23)</f>
        <v>0</v>
      </c>
      <c r="M23" s="28">
        <f>K23-L23</f>
        <v>0</v>
      </c>
      <c r="N23" s="28">
        <f>SUMIFS(CALCULO!$CB$6:$CB$305,CALCULO!$D$6:$D$305,$A23)+SUMIFS(CALCULO!$CC$6:$CC$305,CALCULO!$D$6:$D$305,$A23)</f>
        <v>0</v>
      </c>
      <c r="O23" s="77">
        <f>I23-K23-N23</f>
        <v>0</v>
      </c>
      <c r="P23" s="29">
        <f>IF(G23=0,0,O23/G23)</f>
        <v>0</v>
      </c>
      <c r="Q23" s="30">
        <f>IF(F23=0,0,(H23+K23+N23)/F23)</f>
        <v>0</v>
      </c>
      <c r="R23" s="30">
        <f>IF(F23=0,0,G23/F23)</f>
        <v>0</v>
      </c>
      <c r="S23" s="30">
        <f>IF(F23=0,0,O23/F23)</f>
        <v>0</v>
      </c>
      <c r="T23" s="31" t="str">
        <f>IF(F23=0,"s/d",IF(I23-N23&lt;=0,"No cubre",K23/((I23-N23)/F23)))</f>
        <v>s/d</v>
      </c>
      <c r="U23" s="78" t="str">
        <f>IF(ISNUMBER(T23),T23/(F23/B23),"s/d")</f>
        <v>s/d</v>
      </c>
      <c r="V23" s="29" t="str">
        <f>IF(ISNUMBER(T23),(F23-T23)/F23,"s/d")</f>
        <v>s/d</v>
      </c>
      <c r="W23" s="28">
        <f>SUMIFS(CALCULO!$CL$6:$CL$305,CALCULO!$D$6:$D$305,$A23)</f>
        <v>0</v>
      </c>
      <c r="X23" s="28">
        <f>SUMIFS(CALCULO!$CM$6:$CM$305,CALCULO!$D$6:$D$305,$A23)</f>
        <v>0</v>
      </c>
      <c r="Y23" s="28">
        <f>SUMIFS(CALCULO!$CN$6:$CN$305,CALCULO!$D$6:$D$305,$A23)</f>
        <v>0</v>
      </c>
      <c r="Z23" s="28">
        <f>-M23</f>
        <v>0</v>
      </c>
      <c r="AA23" s="55">
        <f>ROUND(O23-(W23+X23+Y23+Z23),4)</f>
        <v>0</v>
      </c>
      <c r="AB23" s="28">
        <f>H23+K23+N23</f>
        <v>0</v>
      </c>
      <c r="AC23" s="29">
        <f>IFERROR(SUMIFS(CALCULO!$CQ$6:$CQ$305,CALCULO!$D$6:$D$305,$A23)/SUMIFS(CALCULO!$CP$6:$CP$305,CALCULO!$D$6:$D$305,$A23)-1,0)</f>
        <v>0</v>
      </c>
    </row>
    <row r="24">
      <c r="A24" s="75">
        <f>EDATE(Fecha_Inicio,18)</f>
        <v>46813.0</v>
      </c>
      <c r="B24" s="76">
        <f>COUNTIFS(CALCULO!$D$6:$D$305,$A24)</f>
        <v>0</v>
      </c>
      <c r="C24" s="31">
        <f>SUMIFS(CALCULO!$G$6:$G$305,CALCULO!$D$6:$D$305,$A24)</f>
        <v>0</v>
      </c>
      <c r="D24" s="31">
        <f>SUMIFS(CALCULO!$H$6:$H$305,CALCULO!$D$6:$D$305,$A24)</f>
        <v>0</v>
      </c>
      <c r="E24" s="31">
        <f>SUMIFS(CALCULO!$I$6:$I$305,CALCULO!$D$6:$D$305,$A24)</f>
        <v>0</v>
      </c>
      <c r="F24" s="31">
        <f>C24+D24+E24</f>
        <v>0</v>
      </c>
      <c r="G24" s="28">
        <f>SUMIFS(CALCULO!$Q$6:$Q$305,CALCULO!$D$6:$D$305,$A24)</f>
        <v>0</v>
      </c>
      <c r="H24" s="28">
        <f>SUMIFS(CALCULO!$BL$6:$BL$305,CALCULO!$D$6:$D$305,$A24)</f>
        <v>0</v>
      </c>
      <c r="I24" s="28">
        <f>G24-H24</f>
        <v>0</v>
      </c>
      <c r="J24" s="29">
        <f>IF(G24=0,0,I24/G24)</f>
        <v>0</v>
      </c>
      <c r="K24" s="28">
        <f>IF($A24&gt;$C$3,0,INDEX(COSTOS_FIJOS!$G$42:$AD$42,19))</f>
        <v>0</v>
      </c>
      <c r="L24" s="28">
        <f>SUMIFS(CALCULO!$CA$6:$CA$305,CALCULO!$D$6:$D$305,$A24)</f>
        <v>0</v>
      </c>
      <c r="M24" s="28">
        <f>K24-L24</f>
        <v>0</v>
      </c>
      <c r="N24" s="28">
        <f>SUMIFS(CALCULO!$CB$6:$CB$305,CALCULO!$D$6:$D$305,$A24)+SUMIFS(CALCULO!$CC$6:$CC$305,CALCULO!$D$6:$D$305,$A24)</f>
        <v>0</v>
      </c>
      <c r="O24" s="77">
        <f>I24-K24-N24</f>
        <v>0</v>
      </c>
      <c r="P24" s="29">
        <f>IF(G24=0,0,O24/G24)</f>
        <v>0</v>
      </c>
      <c r="Q24" s="30">
        <f>IF(F24=0,0,(H24+K24+N24)/F24)</f>
        <v>0</v>
      </c>
      <c r="R24" s="30">
        <f>IF(F24=0,0,G24/F24)</f>
        <v>0</v>
      </c>
      <c r="S24" s="30">
        <f>IF(F24=0,0,O24/F24)</f>
        <v>0</v>
      </c>
      <c r="T24" s="31" t="str">
        <f>IF(F24=0,"s/d",IF(I24-N24&lt;=0,"No cubre",K24/((I24-N24)/F24)))</f>
        <v>s/d</v>
      </c>
      <c r="U24" s="78" t="str">
        <f>IF(ISNUMBER(T24),T24/(F24/B24),"s/d")</f>
        <v>s/d</v>
      </c>
      <c r="V24" s="29" t="str">
        <f>IF(ISNUMBER(T24),(F24-T24)/F24,"s/d")</f>
        <v>s/d</v>
      </c>
      <c r="W24" s="28">
        <f>SUMIFS(CALCULO!$CL$6:$CL$305,CALCULO!$D$6:$D$305,$A24)</f>
        <v>0</v>
      </c>
      <c r="X24" s="28">
        <f>SUMIFS(CALCULO!$CM$6:$CM$305,CALCULO!$D$6:$D$305,$A24)</f>
        <v>0</v>
      </c>
      <c r="Y24" s="28">
        <f>SUMIFS(CALCULO!$CN$6:$CN$305,CALCULO!$D$6:$D$305,$A24)</f>
        <v>0</v>
      </c>
      <c r="Z24" s="28">
        <f>-M24</f>
        <v>0</v>
      </c>
      <c r="AA24" s="55">
        <f>ROUND(O24-(W24+X24+Y24+Z24),4)</f>
        <v>0</v>
      </c>
      <c r="AB24" s="28">
        <f>H24+K24+N24</f>
        <v>0</v>
      </c>
      <c r="AC24" s="29">
        <f>IFERROR(SUMIFS(CALCULO!$CQ$6:$CQ$305,CALCULO!$D$6:$D$305,$A24)/SUMIFS(CALCULO!$CP$6:$CP$305,CALCULO!$D$6:$D$305,$A24)-1,0)</f>
        <v>0</v>
      </c>
    </row>
    <row r="25">
      <c r="A25" s="75">
        <f>EDATE(Fecha_Inicio,19)</f>
        <v>46844.0</v>
      </c>
      <c r="B25" s="76">
        <f>COUNTIFS(CALCULO!$D$6:$D$305,$A25)</f>
        <v>0</v>
      </c>
      <c r="C25" s="31">
        <f>SUMIFS(CALCULO!$G$6:$G$305,CALCULO!$D$6:$D$305,$A25)</f>
        <v>0</v>
      </c>
      <c r="D25" s="31">
        <f>SUMIFS(CALCULO!$H$6:$H$305,CALCULO!$D$6:$D$305,$A25)</f>
        <v>0</v>
      </c>
      <c r="E25" s="31">
        <f>SUMIFS(CALCULO!$I$6:$I$305,CALCULO!$D$6:$D$305,$A25)</f>
        <v>0</v>
      </c>
      <c r="F25" s="31">
        <f>C25+D25+E25</f>
        <v>0</v>
      </c>
      <c r="G25" s="28">
        <f>SUMIFS(CALCULO!$Q$6:$Q$305,CALCULO!$D$6:$D$305,$A25)</f>
        <v>0</v>
      </c>
      <c r="H25" s="28">
        <f>SUMIFS(CALCULO!$BL$6:$BL$305,CALCULO!$D$6:$D$305,$A25)</f>
        <v>0</v>
      </c>
      <c r="I25" s="28">
        <f>G25-H25</f>
        <v>0</v>
      </c>
      <c r="J25" s="29">
        <f>IF(G25=0,0,I25/G25)</f>
        <v>0</v>
      </c>
      <c r="K25" s="28">
        <f>IF($A25&gt;$C$3,0,INDEX(COSTOS_FIJOS!$G$42:$AD$42,20))</f>
        <v>0</v>
      </c>
      <c r="L25" s="28">
        <f>SUMIFS(CALCULO!$CA$6:$CA$305,CALCULO!$D$6:$D$305,$A25)</f>
        <v>0</v>
      </c>
      <c r="M25" s="28">
        <f>K25-L25</f>
        <v>0</v>
      </c>
      <c r="N25" s="28">
        <f>SUMIFS(CALCULO!$CB$6:$CB$305,CALCULO!$D$6:$D$305,$A25)+SUMIFS(CALCULO!$CC$6:$CC$305,CALCULO!$D$6:$D$305,$A25)</f>
        <v>0</v>
      </c>
      <c r="O25" s="77">
        <f>I25-K25-N25</f>
        <v>0</v>
      </c>
      <c r="P25" s="29">
        <f>IF(G25=0,0,O25/G25)</f>
        <v>0</v>
      </c>
      <c r="Q25" s="30">
        <f>IF(F25=0,0,(H25+K25+N25)/F25)</f>
        <v>0</v>
      </c>
      <c r="R25" s="30">
        <f>IF(F25=0,0,G25/F25)</f>
        <v>0</v>
      </c>
      <c r="S25" s="30">
        <f>IF(F25=0,0,O25/F25)</f>
        <v>0</v>
      </c>
      <c r="T25" s="31" t="str">
        <f>IF(F25=0,"s/d",IF(I25-N25&lt;=0,"No cubre",K25/((I25-N25)/F25)))</f>
        <v>s/d</v>
      </c>
      <c r="U25" s="78" t="str">
        <f>IF(ISNUMBER(T25),T25/(F25/B25),"s/d")</f>
        <v>s/d</v>
      </c>
      <c r="V25" s="29" t="str">
        <f>IF(ISNUMBER(T25),(F25-T25)/F25,"s/d")</f>
        <v>s/d</v>
      </c>
      <c r="W25" s="28">
        <f>SUMIFS(CALCULO!$CL$6:$CL$305,CALCULO!$D$6:$D$305,$A25)</f>
        <v>0</v>
      </c>
      <c r="X25" s="28">
        <f>SUMIFS(CALCULO!$CM$6:$CM$305,CALCULO!$D$6:$D$305,$A25)</f>
        <v>0</v>
      </c>
      <c r="Y25" s="28">
        <f>SUMIFS(CALCULO!$CN$6:$CN$305,CALCULO!$D$6:$D$305,$A25)</f>
        <v>0</v>
      </c>
      <c r="Z25" s="28">
        <f>-M25</f>
        <v>0</v>
      </c>
      <c r="AA25" s="55">
        <f>ROUND(O25-(W25+X25+Y25+Z25),4)</f>
        <v>0</v>
      </c>
      <c r="AB25" s="28">
        <f>H25+K25+N25</f>
        <v>0</v>
      </c>
      <c r="AC25" s="29">
        <f>IFERROR(SUMIFS(CALCULO!$CQ$6:$CQ$305,CALCULO!$D$6:$D$305,$A25)/SUMIFS(CALCULO!$CP$6:$CP$305,CALCULO!$D$6:$D$305,$A25)-1,0)</f>
        <v>0</v>
      </c>
    </row>
    <row r="26">
      <c r="A26" s="75">
        <f>EDATE(Fecha_Inicio,20)</f>
        <v>46874.0</v>
      </c>
      <c r="B26" s="76">
        <f>COUNTIFS(CALCULO!$D$6:$D$305,$A26)</f>
        <v>0</v>
      </c>
      <c r="C26" s="31">
        <f>SUMIFS(CALCULO!$G$6:$G$305,CALCULO!$D$6:$D$305,$A26)</f>
        <v>0</v>
      </c>
      <c r="D26" s="31">
        <f>SUMIFS(CALCULO!$H$6:$H$305,CALCULO!$D$6:$D$305,$A26)</f>
        <v>0</v>
      </c>
      <c r="E26" s="31">
        <f>SUMIFS(CALCULO!$I$6:$I$305,CALCULO!$D$6:$D$305,$A26)</f>
        <v>0</v>
      </c>
      <c r="F26" s="31">
        <f>C26+D26+E26</f>
        <v>0</v>
      </c>
      <c r="G26" s="28">
        <f>SUMIFS(CALCULO!$Q$6:$Q$305,CALCULO!$D$6:$D$305,$A26)</f>
        <v>0</v>
      </c>
      <c r="H26" s="28">
        <f>SUMIFS(CALCULO!$BL$6:$BL$305,CALCULO!$D$6:$D$305,$A26)</f>
        <v>0</v>
      </c>
      <c r="I26" s="28">
        <f>G26-H26</f>
        <v>0</v>
      </c>
      <c r="J26" s="29">
        <f>IF(G26=0,0,I26/G26)</f>
        <v>0</v>
      </c>
      <c r="K26" s="28">
        <f>IF($A26&gt;$C$3,0,INDEX(COSTOS_FIJOS!$G$42:$AD$42,21))</f>
        <v>0</v>
      </c>
      <c r="L26" s="28">
        <f>SUMIFS(CALCULO!$CA$6:$CA$305,CALCULO!$D$6:$D$305,$A26)</f>
        <v>0</v>
      </c>
      <c r="M26" s="28">
        <f>K26-L26</f>
        <v>0</v>
      </c>
      <c r="N26" s="28">
        <f>SUMIFS(CALCULO!$CB$6:$CB$305,CALCULO!$D$6:$D$305,$A26)+SUMIFS(CALCULO!$CC$6:$CC$305,CALCULO!$D$6:$D$305,$A26)</f>
        <v>0</v>
      </c>
      <c r="O26" s="77">
        <f>I26-K26-N26</f>
        <v>0</v>
      </c>
      <c r="P26" s="29">
        <f>IF(G26=0,0,O26/G26)</f>
        <v>0</v>
      </c>
      <c r="Q26" s="30">
        <f>IF(F26=0,0,(H26+K26+N26)/F26)</f>
        <v>0</v>
      </c>
      <c r="R26" s="30">
        <f>IF(F26=0,0,G26/F26)</f>
        <v>0</v>
      </c>
      <c r="S26" s="30">
        <f>IF(F26=0,0,O26/F26)</f>
        <v>0</v>
      </c>
      <c r="T26" s="31" t="str">
        <f>IF(F26=0,"s/d",IF(I26-N26&lt;=0,"No cubre",K26/((I26-N26)/F26)))</f>
        <v>s/d</v>
      </c>
      <c r="U26" s="78" t="str">
        <f>IF(ISNUMBER(T26),T26/(F26/B26),"s/d")</f>
        <v>s/d</v>
      </c>
      <c r="V26" s="29" t="str">
        <f>IF(ISNUMBER(T26),(F26-T26)/F26,"s/d")</f>
        <v>s/d</v>
      </c>
      <c r="W26" s="28">
        <f>SUMIFS(CALCULO!$CL$6:$CL$305,CALCULO!$D$6:$D$305,$A26)</f>
        <v>0</v>
      </c>
      <c r="X26" s="28">
        <f>SUMIFS(CALCULO!$CM$6:$CM$305,CALCULO!$D$6:$D$305,$A26)</f>
        <v>0</v>
      </c>
      <c r="Y26" s="28">
        <f>SUMIFS(CALCULO!$CN$6:$CN$305,CALCULO!$D$6:$D$305,$A26)</f>
        <v>0</v>
      </c>
      <c r="Z26" s="28">
        <f>-M26</f>
        <v>0</v>
      </c>
      <c r="AA26" s="55">
        <f>ROUND(O26-(W26+X26+Y26+Z26),4)</f>
        <v>0</v>
      </c>
      <c r="AB26" s="28">
        <f>H26+K26+N26</f>
        <v>0</v>
      </c>
      <c r="AC26" s="29">
        <f>IFERROR(SUMIFS(CALCULO!$CQ$6:$CQ$305,CALCULO!$D$6:$D$305,$A26)/SUMIFS(CALCULO!$CP$6:$CP$305,CALCULO!$D$6:$D$305,$A26)-1,0)</f>
        <v>0</v>
      </c>
    </row>
    <row r="27">
      <c r="A27" s="75">
        <f>EDATE(Fecha_Inicio,21)</f>
        <v>46905.0</v>
      </c>
      <c r="B27" s="76">
        <f>COUNTIFS(CALCULO!$D$6:$D$305,$A27)</f>
        <v>0</v>
      </c>
      <c r="C27" s="31">
        <f>SUMIFS(CALCULO!$G$6:$G$305,CALCULO!$D$6:$D$305,$A27)</f>
        <v>0</v>
      </c>
      <c r="D27" s="31">
        <f>SUMIFS(CALCULO!$H$6:$H$305,CALCULO!$D$6:$D$305,$A27)</f>
        <v>0</v>
      </c>
      <c r="E27" s="31">
        <f>SUMIFS(CALCULO!$I$6:$I$305,CALCULO!$D$6:$D$305,$A27)</f>
        <v>0</v>
      </c>
      <c r="F27" s="31">
        <f>C27+D27+E27</f>
        <v>0</v>
      </c>
      <c r="G27" s="28">
        <f>SUMIFS(CALCULO!$Q$6:$Q$305,CALCULO!$D$6:$D$305,$A27)</f>
        <v>0</v>
      </c>
      <c r="H27" s="28">
        <f>SUMIFS(CALCULO!$BL$6:$BL$305,CALCULO!$D$6:$D$305,$A27)</f>
        <v>0</v>
      </c>
      <c r="I27" s="28">
        <f>G27-H27</f>
        <v>0</v>
      </c>
      <c r="J27" s="29">
        <f>IF(G27=0,0,I27/G27)</f>
        <v>0</v>
      </c>
      <c r="K27" s="28">
        <f>IF($A27&gt;$C$3,0,INDEX(COSTOS_FIJOS!$G$42:$AD$42,22))</f>
        <v>0</v>
      </c>
      <c r="L27" s="28">
        <f>SUMIFS(CALCULO!$CA$6:$CA$305,CALCULO!$D$6:$D$305,$A27)</f>
        <v>0</v>
      </c>
      <c r="M27" s="28">
        <f>K27-L27</f>
        <v>0</v>
      </c>
      <c r="N27" s="28">
        <f>SUMIFS(CALCULO!$CB$6:$CB$305,CALCULO!$D$6:$D$305,$A27)+SUMIFS(CALCULO!$CC$6:$CC$305,CALCULO!$D$6:$D$305,$A27)</f>
        <v>0</v>
      </c>
      <c r="O27" s="77">
        <f>I27-K27-N27</f>
        <v>0</v>
      </c>
      <c r="P27" s="29">
        <f>IF(G27=0,0,O27/G27)</f>
        <v>0</v>
      </c>
      <c r="Q27" s="30">
        <f>IF(F27=0,0,(H27+K27+N27)/F27)</f>
        <v>0</v>
      </c>
      <c r="R27" s="30">
        <f>IF(F27=0,0,G27/F27)</f>
        <v>0</v>
      </c>
      <c r="S27" s="30">
        <f>IF(F27=0,0,O27/F27)</f>
        <v>0</v>
      </c>
      <c r="T27" s="31" t="str">
        <f>IF(F27=0,"s/d",IF(I27-N27&lt;=0,"No cubre",K27/((I27-N27)/F27)))</f>
        <v>s/d</v>
      </c>
      <c r="U27" s="78" t="str">
        <f>IF(ISNUMBER(T27),T27/(F27/B27),"s/d")</f>
        <v>s/d</v>
      </c>
      <c r="V27" s="29" t="str">
        <f>IF(ISNUMBER(T27),(F27-T27)/F27,"s/d")</f>
        <v>s/d</v>
      </c>
      <c r="W27" s="28">
        <f>SUMIFS(CALCULO!$CL$6:$CL$305,CALCULO!$D$6:$D$305,$A27)</f>
        <v>0</v>
      </c>
      <c r="X27" s="28">
        <f>SUMIFS(CALCULO!$CM$6:$CM$305,CALCULO!$D$6:$D$305,$A27)</f>
        <v>0</v>
      </c>
      <c r="Y27" s="28">
        <f>SUMIFS(CALCULO!$CN$6:$CN$305,CALCULO!$D$6:$D$305,$A27)</f>
        <v>0</v>
      </c>
      <c r="Z27" s="28">
        <f>-M27</f>
        <v>0</v>
      </c>
      <c r="AA27" s="55">
        <f>ROUND(O27-(W27+X27+Y27+Z27),4)</f>
        <v>0</v>
      </c>
      <c r="AB27" s="28">
        <f>H27+K27+N27</f>
        <v>0</v>
      </c>
      <c r="AC27" s="29">
        <f>IFERROR(SUMIFS(CALCULO!$CQ$6:$CQ$305,CALCULO!$D$6:$D$305,$A27)/SUMIFS(CALCULO!$CP$6:$CP$305,CALCULO!$D$6:$D$305,$A27)-1,0)</f>
        <v>0</v>
      </c>
    </row>
    <row r="28">
      <c r="A28" s="75">
        <f>EDATE(Fecha_Inicio,22)</f>
        <v>46935.0</v>
      </c>
      <c r="B28" s="76">
        <f>COUNTIFS(CALCULO!$D$6:$D$305,$A28)</f>
        <v>0</v>
      </c>
      <c r="C28" s="31">
        <f>SUMIFS(CALCULO!$G$6:$G$305,CALCULO!$D$6:$D$305,$A28)</f>
        <v>0</v>
      </c>
      <c r="D28" s="31">
        <f>SUMIFS(CALCULO!$H$6:$H$305,CALCULO!$D$6:$D$305,$A28)</f>
        <v>0</v>
      </c>
      <c r="E28" s="31">
        <f>SUMIFS(CALCULO!$I$6:$I$305,CALCULO!$D$6:$D$305,$A28)</f>
        <v>0</v>
      </c>
      <c r="F28" s="31">
        <f>C28+D28+E28</f>
        <v>0</v>
      </c>
      <c r="G28" s="28">
        <f>SUMIFS(CALCULO!$Q$6:$Q$305,CALCULO!$D$6:$D$305,$A28)</f>
        <v>0</v>
      </c>
      <c r="H28" s="28">
        <f>SUMIFS(CALCULO!$BL$6:$BL$305,CALCULO!$D$6:$D$305,$A28)</f>
        <v>0</v>
      </c>
      <c r="I28" s="28">
        <f>G28-H28</f>
        <v>0</v>
      </c>
      <c r="J28" s="29">
        <f>IF(G28=0,0,I28/G28)</f>
        <v>0</v>
      </c>
      <c r="K28" s="28">
        <f>IF($A28&gt;$C$3,0,INDEX(COSTOS_FIJOS!$G$42:$AD$42,23))</f>
        <v>0</v>
      </c>
      <c r="L28" s="28">
        <f>SUMIFS(CALCULO!$CA$6:$CA$305,CALCULO!$D$6:$D$305,$A28)</f>
        <v>0</v>
      </c>
      <c r="M28" s="28">
        <f>K28-L28</f>
        <v>0</v>
      </c>
      <c r="N28" s="28">
        <f>SUMIFS(CALCULO!$CB$6:$CB$305,CALCULO!$D$6:$D$305,$A28)+SUMIFS(CALCULO!$CC$6:$CC$305,CALCULO!$D$6:$D$305,$A28)</f>
        <v>0</v>
      </c>
      <c r="O28" s="77">
        <f>I28-K28-N28</f>
        <v>0</v>
      </c>
      <c r="P28" s="29">
        <f>IF(G28=0,0,O28/G28)</f>
        <v>0</v>
      </c>
      <c r="Q28" s="30">
        <f>IF(F28=0,0,(H28+K28+N28)/F28)</f>
        <v>0</v>
      </c>
      <c r="R28" s="30">
        <f>IF(F28=0,0,G28/F28)</f>
        <v>0</v>
      </c>
      <c r="S28" s="30">
        <f>IF(F28=0,0,O28/F28)</f>
        <v>0</v>
      </c>
      <c r="T28" s="31" t="str">
        <f>IF(F28=0,"s/d",IF(I28-N28&lt;=0,"No cubre",K28/((I28-N28)/F28)))</f>
        <v>s/d</v>
      </c>
      <c r="U28" s="78" t="str">
        <f>IF(ISNUMBER(T28),T28/(F28/B28),"s/d")</f>
        <v>s/d</v>
      </c>
      <c r="V28" s="29" t="str">
        <f>IF(ISNUMBER(T28),(F28-T28)/F28,"s/d")</f>
        <v>s/d</v>
      </c>
      <c r="W28" s="28">
        <f>SUMIFS(CALCULO!$CL$6:$CL$305,CALCULO!$D$6:$D$305,$A28)</f>
        <v>0</v>
      </c>
      <c r="X28" s="28">
        <f>SUMIFS(CALCULO!$CM$6:$CM$305,CALCULO!$D$6:$D$305,$A28)</f>
        <v>0</v>
      </c>
      <c r="Y28" s="28">
        <f>SUMIFS(CALCULO!$CN$6:$CN$305,CALCULO!$D$6:$D$305,$A28)</f>
        <v>0</v>
      </c>
      <c r="Z28" s="28">
        <f>-M28</f>
        <v>0</v>
      </c>
      <c r="AA28" s="55">
        <f>ROUND(O28-(W28+X28+Y28+Z28),4)</f>
        <v>0</v>
      </c>
      <c r="AB28" s="28">
        <f>H28+K28+N28</f>
        <v>0</v>
      </c>
      <c r="AC28" s="29">
        <f>IFERROR(SUMIFS(CALCULO!$CQ$6:$CQ$305,CALCULO!$D$6:$D$305,$A28)/SUMIFS(CALCULO!$CP$6:$CP$305,CALCULO!$D$6:$D$305,$A28)-1,0)</f>
        <v>0</v>
      </c>
    </row>
    <row r="29">
      <c r="A29" s="75">
        <f>EDATE(Fecha_Inicio,23)</f>
        <v>46966.0</v>
      </c>
      <c r="B29" s="76">
        <f>COUNTIFS(CALCULO!$D$6:$D$305,$A29)</f>
        <v>0</v>
      </c>
      <c r="C29" s="31">
        <f>SUMIFS(CALCULO!$G$6:$G$305,CALCULO!$D$6:$D$305,$A29)</f>
        <v>0</v>
      </c>
      <c r="D29" s="31">
        <f>SUMIFS(CALCULO!$H$6:$H$305,CALCULO!$D$6:$D$305,$A29)</f>
        <v>0</v>
      </c>
      <c r="E29" s="31">
        <f>SUMIFS(CALCULO!$I$6:$I$305,CALCULO!$D$6:$D$305,$A29)</f>
        <v>0</v>
      </c>
      <c r="F29" s="31">
        <f>C29+D29+E29</f>
        <v>0</v>
      </c>
      <c r="G29" s="28">
        <f>SUMIFS(CALCULO!$Q$6:$Q$305,CALCULO!$D$6:$D$305,$A29)</f>
        <v>0</v>
      </c>
      <c r="H29" s="28">
        <f>SUMIFS(CALCULO!$BL$6:$BL$305,CALCULO!$D$6:$D$305,$A29)</f>
        <v>0</v>
      </c>
      <c r="I29" s="28">
        <f>G29-H29</f>
        <v>0</v>
      </c>
      <c r="J29" s="29">
        <f>IF(G29=0,0,I29/G29)</f>
        <v>0</v>
      </c>
      <c r="K29" s="28">
        <f>IF($A29&gt;$C$3,0,INDEX(COSTOS_FIJOS!$G$42:$AD$42,24))</f>
        <v>0</v>
      </c>
      <c r="L29" s="28">
        <f>SUMIFS(CALCULO!$CA$6:$CA$305,CALCULO!$D$6:$D$305,$A29)</f>
        <v>0</v>
      </c>
      <c r="M29" s="28">
        <f>K29-L29</f>
        <v>0</v>
      </c>
      <c r="N29" s="28">
        <f>SUMIFS(CALCULO!$CB$6:$CB$305,CALCULO!$D$6:$D$305,$A29)+SUMIFS(CALCULO!$CC$6:$CC$305,CALCULO!$D$6:$D$305,$A29)</f>
        <v>0</v>
      </c>
      <c r="O29" s="77">
        <f>I29-K29-N29</f>
        <v>0</v>
      </c>
      <c r="P29" s="29">
        <f>IF(G29=0,0,O29/G29)</f>
        <v>0</v>
      </c>
      <c r="Q29" s="30">
        <f>IF(F29=0,0,(H29+K29+N29)/F29)</f>
        <v>0</v>
      </c>
      <c r="R29" s="30">
        <f>IF(F29=0,0,G29/F29)</f>
        <v>0</v>
      </c>
      <c r="S29" s="30">
        <f>IF(F29=0,0,O29/F29)</f>
        <v>0</v>
      </c>
      <c r="T29" s="31" t="str">
        <f>IF(F29=0,"s/d",IF(I29-N29&lt;=0,"No cubre",K29/((I29-N29)/F29)))</f>
        <v>s/d</v>
      </c>
      <c r="U29" s="78" t="str">
        <f>IF(ISNUMBER(T29),T29/(F29/B29),"s/d")</f>
        <v>s/d</v>
      </c>
      <c r="V29" s="29" t="str">
        <f>IF(ISNUMBER(T29),(F29-T29)/F29,"s/d")</f>
        <v>s/d</v>
      </c>
      <c r="W29" s="28">
        <f>SUMIFS(CALCULO!$CL$6:$CL$305,CALCULO!$D$6:$D$305,$A29)</f>
        <v>0</v>
      </c>
      <c r="X29" s="28">
        <f>SUMIFS(CALCULO!$CM$6:$CM$305,CALCULO!$D$6:$D$305,$A29)</f>
        <v>0</v>
      </c>
      <c r="Y29" s="28">
        <f>SUMIFS(CALCULO!$CN$6:$CN$305,CALCULO!$D$6:$D$305,$A29)</f>
        <v>0</v>
      </c>
      <c r="Z29" s="28">
        <f>-M29</f>
        <v>0</v>
      </c>
      <c r="AA29" s="55">
        <f>ROUND(O29-(W29+X29+Y29+Z29),4)</f>
        <v>0</v>
      </c>
      <c r="AB29" s="28">
        <f>H29+K29+N29</f>
        <v>0</v>
      </c>
      <c r="AC29" s="29">
        <f>IFERROR(SUMIFS(CALCULO!$CQ$6:$CQ$305,CALCULO!$D$6:$D$305,$A29)/SUMIFS(CALCULO!$CP$6:$CP$305,CALCULO!$D$6:$D$305,$A29)-1,0)</f>
        <v>0</v>
      </c>
    </row>
    <row r="30">
      <c r="A30" s="32" t="inlineStr">
        <is>
          <t>TOTAL</t>
        </is>
      </c>
      <c r="B30" s="79">
        <f>SUM(B6:B29)</f>
        <v>4</v>
      </c>
      <c r="C30" s="33">
        <f>SUM(C6:C29)</f>
        <v>19700</v>
      </c>
      <c r="D30" s="33">
        <f>SUM(D6:D29)</f>
        <v>9100</v>
      </c>
      <c r="E30" s="33">
        <f>SUM(E6:E29)</f>
        <v>11300</v>
      </c>
      <c r="F30" s="33">
        <f>SUM(F6:F29)</f>
        <v>40100</v>
      </c>
      <c r="G30" s="34">
        <f>SUM(G6:G29)</f>
        <v>32230</v>
      </c>
      <c r="H30" s="34">
        <f>SUM(H6:H29)</f>
        <v>13036.25</v>
      </c>
      <c r="I30" s="34">
        <f>SUM(I6:I29)</f>
        <v>19193.75</v>
      </c>
      <c r="J30" s="35">
        <f>IF(G30=0,0,I30/G30)</f>
        <v>0.595524356189885</v>
      </c>
      <c r="K30" s="34">
        <f>SUM(K6:K29)</f>
        <v>6480.13333333333</v>
      </c>
      <c r="L30" s="34">
        <f>SUM(L6:L29)</f>
        <v>6480.13333333333</v>
      </c>
      <c r="M30" s="34">
        <f>SUM(M6:M29)</f>
        <v>0</v>
      </c>
      <c r="N30" s="34">
        <f>SUM(N6:N29)</f>
        <v>3545.3</v>
      </c>
      <c r="O30" s="34">
        <f>SUM(O6:O29)</f>
        <v>9168.31666666667</v>
      </c>
      <c r="P30" s="35">
        <f>IF(G30=0,0,O30/G30)</f>
        <v>0.284465301478953</v>
      </c>
      <c r="Q30" s="36">
        <f>IF(F30=0,0,(H30+K30+N30)/F30)</f>
        <v>0.575104322527016</v>
      </c>
      <c r="R30" s="36">
        <f>IF(F30=0,0,G30/F30)</f>
        <v>0.803740648379052</v>
      </c>
      <c r="S30" s="36">
        <f>IF(F30=0,0,O30/F30)</f>
        <v>0.228636325852037</v>
      </c>
      <c r="T30" s="33" t="n"/>
      <c r="U30" s="80" t="n"/>
      <c r="V30" s="35" t="n"/>
      <c r="W30" s="34">
        <f>SUM(W6:W29)</f>
        <v>8420.22083066034</v>
      </c>
      <c r="X30" s="34">
        <f>SUM(X6:X29)</f>
        <v>861.634333280298</v>
      </c>
      <c r="Y30" s="34">
        <f>SUM(Y6:Y29)</f>
        <v>-113.538497273967</v>
      </c>
      <c r="Z30" s="34">
        <f>SUM(Z6:Z29)</f>
        <v>0</v>
      </c>
      <c r="AA30" s="57">
        <f>SUM(AA6:AA29)</f>
        <v>0</v>
      </c>
      <c r="AB30" s="34">
        <f>SUM(AB6:AB29)</f>
        <v>23061.6833333333</v>
      </c>
      <c r="AC30" s="35" t="n"/>
    </row>
    <row r="32">
      <c r="A32" s="3" t="inlineStr">
        <is>
          <t>LIQUIDACIÓN ANUAL ESTIMADA DEL IMPUESTO SOBRE UTILIDADES</t>
        </is>
      </c>
    </row>
    <row r="33" ht="42" customHeight="1">
      <c r="A33" s="5" t="inlineStr">
        <is>
          <t>Año</t>
        </is>
      </c>
      <c r="B33" s="5" t="inlineStr">
        <is>
          <t>Utilidad antes de impuesto</t>
        </is>
      </c>
      <c r="C33" s="5" t="inlineStr">
        <is>
          <t>Impuesto sobre utilidades (estimado)</t>
        </is>
      </c>
      <c r="D33" s="5" t="inlineStr">
        <is>
          <t>Utilidad neta estimada</t>
        </is>
      </c>
      <c r="E33" s="5" t="inlineStr">
        <is>
          <t>Margen neto %</t>
        </is>
      </c>
    </row>
    <row r="34">
      <c r="A34" s="76">
        <f>YEAR(Fecha_Inicio)+0</f>
        <v>2026</v>
      </c>
      <c r="B34" s="28">
        <f>SUMPRODUCT((YEAR($A$6:$A$29)=A34)*$O$6:$O$29)</f>
        <v>9168.31666666667</v>
      </c>
      <c r="C34" s="28">
        <f>MAX(0,B34)*Imp_Utilidades</f>
        <v>3208.91083333333</v>
      </c>
      <c r="D34" s="77">
        <f>B34-C34</f>
        <v>5959.40583333333</v>
      </c>
      <c r="E34" s="29">
        <f>IFERROR(D34/SUMPRODUCT((YEAR($A$6:$A$29)=A34)*$G$6:$G$29),0)</f>
        <v>0.18490244596132</v>
      </c>
    </row>
    <row r="35">
      <c r="A35" s="76">
        <f>YEAR(Fecha_Inicio)+1</f>
        <v>2027</v>
      </c>
      <c r="B35" s="28">
        <f>SUMPRODUCT((YEAR($A$6:$A$29)=A35)*$O$6:$O$29)</f>
        <v>0</v>
      </c>
      <c r="C35" s="28">
        <f>MAX(0,B35)*Imp_Utilidades</f>
        <v>0</v>
      </c>
      <c r="D35" s="77">
        <f>B35-C35</f>
        <v>0</v>
      </c>
      <c r="E35" s="29">
        <f>IFERROR(D35/SUMPRODUCT((YEAR($A$6:$A$29)=A35)*$G$6:$G$29),0)</f>
        <v>0</v>
      </c>
    </row>
    <row r="36">
      <c r="A36" s="76">
        <f>YEAR(Fecha_Inicio)+2</f>
        <v>2028</v>
      </c>
      <c r="B36" s="28">
        <f>SUMPRODUCT((YEAR($A$6:$A$29)=A36)*$O$6:$O$29)</f>
        <v>0</v>
      </c>
      <c r="C36" s="28">
        <f>MAX(0,B36)*Imp_Utilidades</f>
        <v>0</v>
      </c>
      <c r="D36" s="77">
        <f>B36-C36</f>
        <v>0</v>
      </c>
      <c r="E36" s="29">
        <f>IFERROR(D36/SUMPRODUCT((YEAR($A$6:$A$29)=A36)*$G$6:$G$29),0)</f>
        <v>0</v>
      </c>
    </row>
    <row r="38">
      <c r="A38" s="2" t="inlineStr">
        <is>
          <t>El impuesto sobre utilidades se liquida por año fiscal, con pagos a cuenta. Las pérdidas de un mes compensan las ganancias de otro dentro del mismo año. Confirme con el contador.</t>
        </is>
      </c>
    </row>
  </sheetData>
  <sheetProtection selectLockedCells="0" selectUnlockedCells="0" sheet="1" objects="0" insertRows="1" insertHyperlinks="1" autoFilter="0" scenarios="0" formatColumns="0" deleteColumns="1" insertColumns="1" pivotTables="1" deleteRows="1" formatCells="1" formatRows="0" sort="1"/>
  <pageMargins left="0.75" right="0.75" top="1" bottom="1" header="0.5" footer="0.5"/>
  <pageSetup orientation="landscape" fitToHeight="0" fitToWidth="1"/>
</worksheet>
</file>

<file path=xl/worksheets/sheet13.xml><?xml version="1.0" encoding="utf-8"?>
<worksheet xmlns="http://schemas.openxmlformats.org/spreadsheetml/2006/main">
  <sheetPr>
    <tabColor rgb="007030A0"/>
    <outlinePr summaryBelow="1" summaryRight="1"/>
    <pageSetUpPr fitToPage="1"/>
  </sheetPr>
  <dimension ref="A1:I79"/>
  <sheetViews>
    <sheetView showGridLines="0" zoomScale="90" workbookViewId="0">
      <selection activeCell="A1" sqref="A1"/>
    </sheetView>
  </sheetViews>
  <sheetFormatPr baseColWidth="8" defaultRowHeight="15"/>
  <cols>
    <col width="3" customWidth="1" min="1" max="1"/>
    <col width="44" customWidth="1" min="2" max="2"/>
    <col width="14" customWidth="1" min="3" max="3"/>
    <col width="14" customWidth="1" min="4" max="4"/>
    <col width="14" customWidth="1" min="5" max="5"/>
    <col width="16" customWidth="1" min="6" max="6"/>
    <col width="13" customWidth="1" min="7" max="7"/>
    <col width="13" customWidth="1" min="8" max="8"/>
    <col width="13" customWidth="1" min="9" max="9"/>
    <col width="13" customWidth="1" min="10" max="10"/>
    <col width="13" customWidth="1" min="11" max="11"/>
  </cols>
  <sheetData>
    <row r="1" ht="24" customHeight="1">
      <c r="A1" s="1" t="inlineStr">
        <is>
          <t>Simulador de escenarios («¿qué pasaría si...?»)</t>
        </is>
      </c>
    </row>
    <row r="2">
      <c r="A2" s="2" t="inlineStr">
        <is>
          <t>«Valor actual» trae los datos reales del libro. Escriba en «Valor a simular» para probar un escenario; bórrelo para volver al dato real. El simulador no modifica el libro.</t>
        </is>
      </c>
    </row>
    <row r="4">
      <c r="B4" s="5" t="inlineStr">
        <is>
          <t>Supuesto</t>
        </is>
      </c>
      <c r="C4" s="5" t="inlineStr">
        <is>
          <t>Valor actual</t>
        </is>
      </c>
      <c r="D4" s="5" t="inlineStr">
        <is>
          <t>Valor a simular</t>
        </is>
      </c>
      <c r="E4" s="5" t="inlineStr">
        <is>
          <t>Valor usado</t>
        </is>
      </c>
      <c r="F4" s="5" t="inlineStr">
        <is>
          <t>Unidad</t>
        </is>
      </c>
    </row>
    <row r="5">
      <c r="B5" s="8" t="inlineStr">
        <is>
          <t>kg Occidente por contenedor</t>
        </is>
      </c>
      <c r="C5" s="81">
        <f>IFERROR(AVERAGE(CALCULO!$G$6:$G$305),0)</f>
        <v>4925</v>
      </c>
      <c r="D5" s="44" t="n"/>
      <c r="E5" s="82">
        <f>IF(D5="",C5,D5)</f>
        <v>4925</v>
      </c>
      <c r="F5" s="8" t="inlineStr">
        <is>
          <t>kg</t>
        </is>
      </c>
    </row>
    <row r="6">
      <c r="B6" s="8" t="inlineStr">
        <is>
          <t>kg Centro por contenedor</t>
        </is>
      </c>
      <c r="C6" s="81">
        <f>IFERROR(AVERAGE(CALCULO!$H$6:$H$305),0)</f>
        <v>2275</v>
      </c>
      <c r="D6" s="44" t="n"/>
      <c r="E6" s="82">
        <f>IF(D6="",C6,D6)</f>
        <v>2275</v>
      </c>
      <c r="F6" s="8" t="inlineStr">
        <is>
          <t>kg</t>
        </is>
      </c>
    </row>
    <row r="7">
      <c r="B7" s="8" t="inlineStr">
        <is>
          <t>kg Oriente por contenedor</t>
        </is>
      </c>
      <c r="C7" s="81">
        <f>IFERROR(AVERAGE(CALCULO!$I$6:$I$305),0)</f>
        <v>2825</v>
      </c>
      <c r="D7" s="44" t="n"/>
      <c r="E7" s="82">
        <f>IF(D7="",C7,D7)</f>
        <v>2825</v>
      </c>
      <c r="F7" s="8" t="inlineStr">
        <is>
          <t>kg</t>
        </is>
      </c>
    </row>
    <row r="8">
      <c r="B8" s="8" t="inlineStr">
        <is>
          <t>Contenedores por mes</t>
        </is>
      </c>
      <c r="C8" s="83">
        <f>MAX(1,IFERROR(COUNT(CALCULO!$A$6:$A$305)/COUNTIF(RESUMEN_MES!$B$6:$B$29,"&gt;0"),1))</f>
        <v>2</v>
      </c>
      <c r="D8" s="45" t="n"/>
      <c r="E8" s="84">
        <f>IF(D8="",C8,D8)</f>
        <v>2</v>
      </c>
      <c r="F8" s="8" t="inlineStr">
        <is>
          <t>cont./mes</t>
        </is>
      </c>
    </row>
    <row r="9">
      <c r="B9" s="8" t="inlineStr">
        <is>
          <t>Tarifa Occidente</t>
        </is>
      </c>
      <c r="C9" s="85">
        <f>INDEX(PRECIOS!$B$6:$B$55,MATCH(MAX(PRECIOS!$A$6:$A$55),PRECIOS!$A$6:$A$55,0))</f>
        <v>0.8</v>
      </c>
      <c r="D9" s="54" t="n"/>
      <c r="E9" s="86">
        <f>IF(D9="",C9,D9)</f>
        <v>0.8</v>
      </c>
      <c r="F9" s="8" t="inlineStr">
        <is>
          <t>USD/kg</t>
        </is>
      </c>
    </row>
    <row r="10">
      <c r="B10" s="8" t="inlineStr">
        <is>
          <t>Tarifa Centro</t>
        </is>
      </c>
      <c r="C10" s="85">
        <f>INDEX(PRECIOS!$C$6:$C$55,MATCH(MAX(PRECIOS!$A$6:$A$55),PRECIOS!$A$6:$A$55,0))</f>
        <v>0.8</v>
      </c>
      <c r="D10" s="54" t="n"/>
      <c r="E10" s="86">
        <f>IF(D10="",C10,D10)</f>
        <v>0.8</v>
      </c>
      <c r="F10" s="8" t="inlineStr">
        <is>
          <t>USD/kg</t>
        </is>
      </c>
    </row>
    <row r="11">
      <c r="B11" s="8" t="inlineStr">
        <is>
          <t>Tarifa Oriente</t>
        </is>
      </c>
      <c r="C11" s="85">
        <f>INDEX(PRECIOS!$D$6:$D$55,MATCH(MAX(PRECIOS!$A$6:$A$55),PRECIOS!$A$6:$A$55,0))</f>
        <v>0.8</v>
      </c>
      <c r="D11" s="54" t="n"/>
      <c r="E11" s="86">
        <f>IF(D11="",C11,D11)</f>
        <v>0.8</v>
      </c>
      <c r="F11" s="8" t="inlineStr">
        <is>
          <t>USD/kg</t>
        </is>
      </c>
    </row>
    <row r="12">
      <c r="B12" s="8" t="inlineStr">
        <is>
          <t>Precio del diésel</t>
        </is>
      </c>
      <c r="C12" s="85">
        <f>INDEX(PRECIOS!$E$6:$E$55,MATCH(MAX(PRECIOS!$A$6:$A$55),PRECIOS!$A$6:$A$55,0))</f>
        <v>2</v>
      </c>
      <c r="D12" s="54" t="n"/>
      <c r="E12" s="86">
        <f>IF(D12="",C12,D12)</f>
        <v>2</v>
      </c>
      <c r="F12" s="8" t="inlineStr">
        <is>
          <t>USD/L</t>
        </is>
      </c>
    </row>
    <row r="13">
      <c r="B13" s="8" t="inlineStr">
        <is>
          <t>Cita del puerto</t>
        </is>
      </c>
      <c r="C13" s="48">
        <f>INDEX(PRECIOS!$F$6:$F$55,MATCH(MAX(PRECIOS!$A$6:$A$55),PRECIOS!$A$6:$A$55,0))</f>
        <v>10</v>
      </c>
      <c r="D13" s="46" t="n"/>
      <c r="E13" s="59">
        <f>IF(D13="",C13,D13)</f>
        <v>10</v>
      </c>
      <c r="F13" s="8" t="inlineStr">
        <is>
          <t>USD/viaje</t>
        </is>
      </c>
    </row>
    <row r="14">
      <c r="B14" s="8" t="inlineStr">
        <is>
          <t>Dieta del chofer</t>
        </is>
      </c>
      <c r="C14" s="48">
        <f>INDEX(PRECIOS!$G$6:$G$55,MATCH(MAX(PRECIOS!$A$6:$A$55),PRECIOS!$A$6:$A$55,0))</f>
        <v>10</v>
      </c>
      <c r="D14" s="46" t="n"/>
      <c r="E14" s="59">
        <f>IF(D14="",C14,D14)</f>
        <v>10</v>
      </c>
      <c r="F14" s="8" t="inlineStr">
        <is>
          <t>USD/viaje</t>
        </is>
      </c>
    </row>
    <row r="15">
      <c r="B15" s="8" t="inlineStr">
        <is>
          <t>Pago por jornal – transitaria</t>
        </is>
      </c>
      <c r="C15" s="48">
        <f>INDEX(PRECIOS!$H$6:$H$55,MATCH(MAX(PRECIOS!$A$6:$A$55),PRECIOS!$A$6:$A$55,0))</f>
        <v>15</v>
      </c>
      <c r="D15" s="46" t="n"/>
      <c r="E15" s="59">
        <f>IF(D15="",C15,D15)</f>
        <v>15</v>
      </c>
      <c r="F15" s="8" t="inlineStr">
        <is>
          <t>USD</t>
        </is>
      </c>
    </row>
    <row r="16">
      <c r="B16" s="8" t="inlineStr">
        <is>
          <t>Pago por jornal – centro transitorio</t>
        </is>
      </c>
      <c r="C16" s="48">
        <f>INDEX(PRECIOS!$I$6:$I$55,MATCH(MAX(PRECIOS!$A$6:$A$55),PRECIOS!$A$6:$A$55,0))</f>
        <v>15</v>
      </c>
      <c r="D16" s="46" t="n"/>
      <c r="E16" s="59">
        <f>IF(D16="",C16,D16)</f>
        <v>15</v>
      </c>
      <c r="F16" s="8" t="inlineStr">
        <is>
          <t>USD</t>
        </is>
      </c>
    </row>
    <row r="17">
      <c r="B17" s="8" t="inlineStr">
        <is>
          <t>Servicio de la transitaria (promedio ENCI / A.V)</t>
        </is>
      </c>
      <c r="C17" s="48">
        <f>(INDEX(PRECIOS!$J$6:$J$55,MATCH(MAX(PRECIOS!$A$6:$A$55),PRECIOS!$A$6:$A$55,0))+INDEX(PRECIOS!$K$6:$K$55,MATCH(MAX(PRECIOS!$A$6:$A$55),PRECIOS!$A$6:$A$55,0)))/2</f>
        <v>0</v>
      </c>
      <c r="D17" s="46" t="n"/>
      <c r="E17" s="59">
        <f>IF(D17="",C17,D17)</f>
        <v>0</v>
      </c>
      <c r="F17" s="8" t="inlineStr">
        <is>
          <t>USD/cont.</t>
        </is>
      </c>
    </row>
    <row r="18">
      <c r="B18" s="8" t="inlineStr">
        <is>
          <t>Comisión variable (% del ingreso)</t>
        </is>
      </c>
      <c r="C18" s="87">
        <f>INDEX(PRECIOS!$L$6:$L$55,MATCH(MAX(PRECIOS!$A$6:$A$55),PRECIOS!$A$6:$A$55,0))</f>
        <v>0.03</v>
      </c>
      <c r="D18" s="53" t="n"/>
      <c r="E18" s="88">
        <f>IF(D18="",C18,D18)</f>
        <v>0.03</v>
      </c>
      <c r="F18" s="8" t="inlineStr">
        <is>
          <t>%</t>
        </is>
      </c>
    </row>
    <row r="19">
      <c r="B19" s="8" t="inlineStr">
        <is>
          <t>Comisión variable (USD/kg)</t>
        </is>
      </c>
      <c r="C19" s="85">
        <f>INDEX(PRECIOS!$M$6:$M$55,MATCH(MAX(PRECIOS!$A$6:$A$55),PRECIOS!$A$6:$A$55,0))</f>
        <v>0.03</v>
      </c>
      <c r="D19" s="54" t="n"/>
      <c r="E19" s="86">
        <f>IF(D19="",C19,D19)</f>
        <v>0.03</v>
      </c>
      <c r="F19" s="8" t="inlineStr">
        <is>
          <t>USD/kg</t>
        </is>
      </c>
    </row>
    <row r="20">
      <c r="B20" s="8" t="inlineStr">
        <is>
          <t>Desgaste del vehículo propio</t>
        </is>
      </c>
      <c r="C20" s="85">
        <f>INDEX(PRECIOS!$N$6:$N$55,MATCH(MAX(PRECIOS!$A$6:$A$55),PRECIOS!$A$6:$A$55,0))</f>
        <v>0.12</v>
      </c>
      <c r="D20" s="54" t="n"/>
      <c r="E20" s="86">
        <f>IF(D20="",C20,D20)</f>
        <v>0.12</v>
      </c>
      <c r="F20" s="8" t="inlineStr">
        <is>
          <t>USD/km</t>
        </is>
      </c>
    </row>
    <row r="21">
      <c r="B21" s="8" t="inlineStr">
        <is>
          <t>Estadía y otros directos medios por contenedor</t>
        </is>
      </c>
      <c r="C21" s="48">
        <f>IFERROR(AVERAGE(CALCULO!$AD$6:$AD$305)+AVERAGE(CALCULO!$BK$6:$BK$305),0)</f>
        <v>38.75</v>
      </c>
      <c r="D21" s="46" t="n"/>
      <c r="E21" s="59">
        <f>IF(D21="",C21,D21)</f>
        <v>38.75</v>
      </c>
      <c r="F21" s="8" t="inlineStr">
        <is>
          <t>USD/cont.</t>
        </is>
      </c>
    </row>
    <row r="22">
      <c r="B22" s="8" t="inlineStr">
        <is>
          <t>Desvío del combustible frente a la norma</t>
        </is>
      </c>
      <c r="C22" s="87">
        <f>IFERROR(SUM(CALCULO!$CQ$6:$CQ$305)/SUM(CALCULO!$CP$6:$CP$305)-1,0)</f>
        <v>0.00433070866141727</v>
      </c>
      <c r="D22" s="53" t="n"/>
      <c r="E22" s="88">
        <f>IF(D22="",C22,D22)</f>
        <v>0.00433070866141727</v>
      </c>
      <c r="F22" s="8" t="inlineStr">
        <is>
          <t>%</t>
        </is>
      </c>
    </row>
    <row r="23">
      <c r="B23" s="8" t="inlineStr">
        <is>
          <t>Fijos generales mensuales</t>
        </is>
      </c>
      <c r="C23" s="89">
        <f>INDEX(COSTOS_FIJOS!$G$38:$AD$38,IFERROR(MATCH(MAX(CALCULO!$D$6:$D$305),COSTOS_FIJOS!$G$5:$AD$5,0),1))</f>
        <v>2640.06666666667</v>
      </c>
      <c r="D23" s="90" t="n"/>
      <c r="E23" s="77">
        <f>IF(D23="",C23,D23)</f>
        <v>2640.06666666667</v>
      </c>
      <c r="F23" s="8" t="inlineStr">
        <is>
          <t>USD/mes</t>
        </is>
      </c>
    </row>
    <row r="24">
      <c r="B24" s="8" t="inlineStr">
        <is>
          <t>Fijos Occidente mensuales</t>
        </is>
      </c>
      <c r="C24" s="89">
        <f>INDEX(COSTOS_FIJOS!$G$39:$AD$39,IFERROR(MATCH(MAX(CALCULO!$D$6:$D$305),COSTOS_FIJOS!$G$5:$AD$5,0),1))</f>
        <v>200</v>
      </c>
      <c r="D24" s="90" t="n"/>
      <c r="E24" s="77">
        <f>IF(D24="",C24,D24)</f>
        <v>200</v>
      </c>
      <c r="F24" s="8" t="inlineStr">
        <is>
          <t>USD/mes</t>
        </is>
      </c>
    </row>
    <row r="25">
      <c r="B25" s="8" t="inlineStr">
        <is>
          <t>Fijos Centro mensuales</t>
        </is>
      </c>
      <c r="C25" s="89">
        <f>INDEX(COSTOS_FIJOS!$G$40:$AD$40,IFERROR(MATCH(MAX(CALCULO!$D$6:$D$305),COSTOS_FIJOS!$G$5:$AD$5,0),1))</f>
        <v>200</v>
      </c>
      <c r="D25" s="90" t="n"/>
      <c r="E25" s="77">
        <f>IF(D25="",C25,D25)</f>
        <v>200</v>
      </c>
      <c r="F25" s="8" t="inlineStr">
        <is>
          <t>USD/mes</t>
        </is>
      </c>
    </row>
    <row r="26">
      <c r="B26" s="8" t="inlineStr">
        <is>
          <t>Fijos Oriente mensuales</t>
        </is>
      </c>
      <c r="C26" s="89">
        <f>INDEX(COSTOS_FIJOS!$G$41:$AD$41,IFERROR(MATCH(MAX(CALCULO!$D$6:$D$305),COSTOS_FIJOS!$G$5:$AD$5,0),1))</f>
        <v>200</v>
      </c>
      <c r="D26" s="90" t="n"/>
      <c r="E26" s="77">
        <f>IF(D26="",C26,D26)</f>
        <v>200</v>
      </c>
      <c r="F26" s="8" t="inlineStr">
        <is>
          <t>USD/mes</t>
        </is>
      </c>
    </row>
    <row r="27">
      <c r="B27" s="2" t="inlineStr">
        <is>
          <t>Fijos y comisiones: se toman del último mes con contenedores y de la última vigencia de PRECIOS.</t>
        </is>
      </c>
    </row>
    <row r="29">
      <c r="B29" s="3" t="inlineStr">
        <is>
          <t>Resultado de un contenedor tipo y del mes</t>
        </is>
      </c>
    </row>
    <row r="30">
      <c r="B30" s="5" t="inlineStr">
        <is>
          <t>Concepto</t>
        </is>
      </c>
      <c r="C30" s="5" t="inlineStr">
        <is>
          <t>Occidente</t>
        </is>
      </c>
      <c r="D30" s="5" t="inlineStr">
        <is>
          <t>Centro</t>
        </is>
      </c>
      <c r="E30" s="5" t="inlineStr">
        <is>
          <t>Oriente</t>
        </is>
      </c>
      <c r="F30" s="5" t="inlineStr">
        <is>
          <t>TOTAL</t>
        </is>
      </c>
    </row>
    <row r="31">
      <c r="B31" s="8" t="inlineStr">
        <is>
          <t>kg</t>
        </is>
      </c>
      <c r="C31" s="31">
        <f>$E$5</f>
        <v>4925</v>
      </c>
      <c r="D31" s="31">
        <f>$E$6</f>
        <v>2275</v>
      </c>
      <c r="E31" s="31">
        <f>$E$7</f>
        <v>2825</v>
      </c>
      <c r="F31" s="33">
        <f>SUM(C31:E31)</f>
        <v>10025</v>
      </c>
    </row>
    <row r="32">
      <c r="B32" s="8" t="inlineStr">
        <is>
          <t>Ingresos</t>
        </is>
      </c>
      <c r="C32" s="28">
        <f>$E$5*$E$9</f>
        <v>3940</v>
      </c>
      <c r="D32" s="28">
        <f>$E$6*$E$10</f>
        <v>1820</v>
      </c>
      <c r="E32" s="28">
        <f>$E$7*$E$11</f>
        <v>2260</v>
      </c>
      <c r="F32" s="34">
        <f>SUM(C32:E32)</f>
        <v>8020</v>
      </c>
    </row>
    <row r="33">
      <c r="B33" s="8" t="inlineStr">
        <is>
          <t>Distribución (combustible y desagrupe regional)</t>
        </is>
      </c>
      <c r="C33" s="28">
        <f>IF($E$5=0,0,ROUNDUP($E$5/Cap_Camion_OCC,0))*L_Dist_OCC*(1+$E$22)*$E$12</f>
        <v>241.03937007874</v>
      </c>
      <c r="D33" s="28">
        <f>IF($E$6=0,0,ROUNDUP($E$6/Cap_Camion_CEN,0))*(L_Tras_CEN+L_Dist_CEN)*(1+$E$22)*$E$12+IF($E$6=0,0,ROUNDUP($E$6/Rend_Desagrupe_CT,0))*$E$16</f>
        <v>848.464566929134</v>
      </c>
      <c r="E33" s="28">
        <f>IF($E$7=0,0,ROUNDUP($E$7/Cap_Camion_ORI,0))*(L_Tras_ORI+L_Dist_ORI)*(1+$E$22)*$E$12+IF($E$7=0,0,ROUNDUP($E$7/Rend_Desagrupe_CT,0))*$E$16</f>
        <v>1325.45669291339</v>
      </c>
      <c r="F33" s="34">
        <f>SUM(C33:E33)</f>
        <v>2414.96062992126</v>
      </c>
    </row>
    <row r="34">
      <c r="B34" s="8" t="inlineStr">
        <is>
          <t>Comisión variable</t>
        </is>
      </c>
      <c r="C34" s="28">
        <f>C32*IF(Base_Comision="% DEL INGRESO",$E$18,0)+C31*IF(Base_Comision="% DEL INGRESO",0,$E$19)</f>
        <v>118.2</v>
      </c>
      <c r="D34" s="28">
        <f>D32*IF(Base_Comision="% DEL INGRESO",$E$18,0)+D31*IF(Base_Comision="% DEL INGRESO",0,$E$19)</f>
        <v>54.6</v>
      </c>
      <c r="E34" s="28">
        <f>E32*IF(Base_Comision="% DEL INGRESO",$E$18,0)+E31*IF(Base_Comision="% DEL INGRESO",0,$E$19)</f>
        <v>67.8</v>
      </c>
      <c r="F34" s="34">
        <f>SUM(C34:E34)</f>
        <v>240.6</v>
      </c>
    </row>
    <row r="35">
      <c r="B35" s="8" t="inlineStr">
        <is>
          <t>Reclamaciones, banca y tributos sobre ingresos</t>
        </is>
      </c>
      <c r="C35" s="28">
        <f>C32*(Pct_Reclamaciones+Pct_Banco+Imp_Ventas_Serv+Contrib_Territorial)</f>
        <v>492.5</v>
      </c>
      <c r="D35" s="28">
        <f>D32*(Pct_Reclamaciones+Pct_Banco+Imp_Ventas_Serv+Contrib_Territorial)</f>
        <v>227.5</v>
      </c>
      <c r="E35" s="28">
        <f>E32*(Pct_Reclamaciones+Pct_Banco+Imp_Ventas_Serv+Contrib_Territorial)</f>
        <v>282.5</v>
      </c>
      <c r="F35" s="34">
        <f>SUM(C35:E35)</f>
        <v>1002.5</v>
      </c>
    </row>
    <row r="36">
      <c r="B36" s="8" t="inlineStr">
        <is>
          <t>Fijos regionales por contenedor</t>
        </is>
      </c>
      <c r="C36" s="28">
        <f>$E$24/$E$8</f>
        <v>100</v>
      </c>
      <c r="D36" s="28">
        <f>$E$25/$E$8</f>
        <v>100</v>
      </c>
      <c r="E36" s="28">
        <f>$E$26/$E$8</f>
        <v>100</v>
      </c>
      <c r="F36" s="34">
        <f>SUM(C36:E36)</f>
        <v>300</v>
      </c>
    </row>
    <row r="37">
      <c r="B37" s="8" t="inlineStr">
        <is>
          <t>Puerto, transitaria, otros y fijos generales (según kg)</t>
        </is>
      </c>
      <c r="C37" s="28">
        <f>IF(($E$5+$E$6+$E$7)=0,0,(Std_Viajes_Puerto*($E$13+$E$14+Litros_Puerto_Viaje*(1+$E$22)*$E$12+Km_Puerto_Viaje*$E$20)+IF(($E$5+$E$6+$E$7)=0,0,ROUNDUP(($E$5+$E$6+$E$7)/Rend_Desagrupe,0))*$E$15+$E$17+$E$21+$E$23/$E$8)*C31/($E$5+$E$6+$E$7))</f>
        <v>828.236644936216</v>
      </c>
      <c r="D37" s="28">
        <f>IF(($E$5+$E$6+$E$7)=0,0,(Std_Viajes_Puerto*($E$13+$E$14+Litros_Puerto_Viaje*(1+$E$22)*$E$12+Km_Puerto_Viaje*$E$20)+IF(($E$5+$E$6+$E$7)=0,0,ROUNDUP(($E$5+$E$6+$E$7)/Rend_Desagrupe,0))*$E$15+$E$17+$E$21+$E$23/$E$8)*D31/($E$5+$E$6+$E$7))</f>
        <v>382.586470503531</v>
      </c>
      <c r="E37" s="28">
        <f>IF(($E$5+$E$6+$E$7)=0,0,(Std_Viajes_Puerto*($E$13+$E$14+Litros_Puerto_Viaje*(1+$E$22)*$E$12+Km_Puerto_Viaje*$E$20)+IF(($E$5+$E$6+$E$7)=0,0,ROUNDUP(($E$5+$E$6+$E$7)/Rend_Desagrupe,0))*$E$15+$E$17+$E$21+$E$23/$E$8)*E31/($E$5+$E$6+$E$7))</f>
        <v>475.079902932956</v>
      </c>
      <c r="F37" s="34">
        <f>SUM(C37:E37)</f>
        <v>1685.9030183727</v>
      </c>
    </row>
    <row r="38">
      <c r="B38" s="9" t="inlineStr">
        <is>
          <t>UTILIDAD ANTES DE IMPUESTO POR CONTENEDOR</t>
        </is>
      </c>
      <c r="C38" s="77">
        <f>C32-C33-C34-C35-C36-C37</f>
        <v>2160.02398498504</v>
      </c>
      <c r="D38" s="77">
        <f>D32-D33-D34-D35-D36-D37</f>
        <v>206.848962567335</v>
      </c>
      <c r="E38" s="77">
        <f>E32-E33-E34-E35-E36-E37</f>
        <v>9.16340415365801</v>
      </c>
      <c r="F38" s="34">
        <f>SUM(C38:E38)</f>
        <v>2376.03635170604</v>
      </c>
    </row>
    <row r="39">
      <c r="B39" s="8" t="inlineStr">
        <is>
          <t>Margen %</t>
        </is>
      </c>
      <c r="C39" s="29">
        <f>IF(C32=0,0,C38/C32)</f>
        <v>0.548229437813463</v>
      </c>
      <c r="D39" s="29">
        <f>IF(D32=0,0,D38/D32)</f>
        <v>0.113653276135898</v>
      </c>
      <c r="E39" s="29">
        <f>IF(E32=0,0,E38/E32)</f>
        <v>0.00405460360781328</v>
      </c>
      <c r="F39" s="35">
        <f>IF(F32=0,0,F38/F32)</f>
        <v>0.296263884252623</v>
      </c>
    </row>
    <row r="40">
      <c r="B40" s="8" t="inlineStr">
        <is>
          <t>Utilidad por kg</t>
        </is>
      </c>
      <c r="C40" s="30">
        <f>IF(C31=0,0,C38/C31)</f>
        <v>0.43858355025077</v>
      </c>
      <c r="D40" s="30">
        <f>IF(D31=0,0,D38/D31)</f>
        <v>0.0909226209087187</v>
      </c>
      <c r="E40" s="30">
        <f>IF(E31=0,0,E38/E31)</f>
        <v>0.00324368288625062</v>
      </c>
      <c r="F40" s="36">
        <f>IF(F31=0,0,F38/F31)</f>
        <v>0.237011107402099</v>
      </c>
    </row>
    <row r="41">
      <c r="B41" s="8" t="inlineStr">
        <is>
          <t>TARIFA MÍNIMA DE EQUILIBRIO (USD/kg)</t>
        </is>
      </c>
      <c r="C41" s="30">
        <f>IF(C31=0,"s/d",(C33+C31*IF(Base_Comision="% DEL INGRESO",0,$E$19)+C36+C37)/(C31*(1-(Pct_Reclamaciones+Pct_Banco+Imp_Ventas_Serv+Contrib_Territorial)-IF(Base_Comision="% DEL INGRESO",$E$18,0))))</f>
        <v>0.280966212720982</v>
      </c>
      <c r="D41" s="30">
        <f>IF(D31=0,"s/d",(D33+D31*IF(Base_Comision="% DEL INGRESO",0,$E$19)+D36+D37)/(D31*(1-(Pct_Reclamaciones+Pct_Banco+Imp_Ventas_Serv+Contrib_Territorial)-IF(Base_Comision="% DEL INGRESO",$E$18,0))))</f>
        <v>0.692399265196783</v>
      </c>
      <c r="E41" s="30">
        <f>IF(E31=0,"s/d",(E33+E31*IF(Base_Comision="% DEL INGRESO",0,$E$19)+E36+E37)/(E31*(1-(Pct_Reclamaciones+Pct_Banco+Imp_Ventas_Serv+Contrib_Territorial)-IF(Base_Comision="% DEL INGRESO",$E$18,0))))</f>
        <v>0.796161322028106</v>
      </c>
      <c r="F41" s="36">
        <f>IF(F31=0,"s/d",(F33+F31*IF(Base_Comision="% DEL INGRESO",0,$E$19)+F36+F37)/(F31*(1-(Pct_Reclamaciones+Pct_Banco+Imp_Ventas_Serv+Contrib_Territorial)-IF(Base_Comision="% DEL INGRESO",$E$18,0))))</f>
        <v>0.519513482364381</v>
      </c>
    </row>
    <row r="42">
      <c r="B42" s="2" t="inlineStr">
        <is>
          <t>Tarifa mínima: precio por kg con el que la región cubre exactamente sus costos y su parte de los compartidos. En TOTAL, tarifa única equivalente.</t>
        </is>
      </c>
    </row>
    <row r="44">
      <c r="B44" s="9" t="inlineStr">
        <is>
          <t>Utilidad antes de impuesto del MES</t>
        </is>
      </c>
      <c r="F44" s="34">
        <f>F38*$E$8</f>
        <v>4752.07270341208</v>
      </c>
    </row>
    <row r="45">
      <c r="B45" s="8" t="inlineStr">
        <is>
          <t>Impuesto sobre utilidades estimado del mes</t>
        </is>
      </c>
      <c r="F45" s="28">
        <f>MAX(0,F44)*Imp_Utilidades</f>
        <v>1663.22544619423</v>
      </c>
    </row>
    <row r="46">
      <c r="B46" s="9" t="inlineStr">
        <is>
          <t>Utilidad neta estimada del mes</t>
        </is>
      </c>
      <c r="F46" s="34">
        <f>F44-F45</f>
        <v>3088.84725721785</v>
      </c>
    </row>
    <row r="47">
      <c r="B47" s="8" t="inlineStr">
        <is>
          <t>Contribución por contenedor (antes de los costos fijos)</t>
        </is>
      </c>
      <c r="F47" s="28">
        <f>($F$32-$F$33-$F$34-$F$35-((Std_Viajes_Puerto*($E$13+$E$14+Litros_Puerto_Viaje*(1+$E$22)*$E$12+Km_Puerto_Viaje*$E$20)+IF(($E$5+$E$6+$E$7)=0,0,ROUNDUP(($E$5+$E$6+$E$7)/Rend_Desagrupe,0))*$E$15+$E$17+$E$21+$E$23/$E$8)-$E$23/$E$8))</f>
        <v>3996.06968503937</v>
      </c>
    </row>
    <row r="48">
      <c r="B48" s="9" t="inlineStr">
        <is>
          <t>PUNTO DE EQUILIBRIO (contenedores por mes)</t>
        </is>
      </c>
      <c r="F48" s="80">
        <f>IF(F47&lt;=0,"No cubre",($E$23+$E$24+$E$25+$E$26)/F47)</f>
        <v>0.810813354631163</v>
      </c>
    </row>
    <row r="50">
      <c r="B50" s="3" t="inlineStr">
        <is>
          <t>Sensibilidad: utilidad mensual antes de impuesto según la tarifa y el precio del diésel</t>
        </is>
      </c>
    </row>
    <row r="51">
      <c r="B51" s="91" t="inlineStr">
        <is>
          <t>Variación de las tarifas ↓ / precio del diésel (USD/L) →</t>
        </is>
      </c>
      <c r="C51" s="54" t="n">
        <v>1.5</v>
      </c>
      <c r="D51" s="54" t="n">
        <v>1.75</v>
      </c>
      <c r="E51" s="54" t="n">
        <v>2</v>
      </c>
      <c r="F51" s="54" t="n">
        <v>2.25</v>
      </c>
      <c r="G51" s="54" t="n">
        <v>2.5</v>
      </c>
      <c r="H51" s="54" t="n">
        <v>2.75</v>
      </c>
      <c r="I51" s="54" t="n">
        <v>3</v>
      </c>
    </row>
    <row r="52">
      <c r="B52" s="92" t="n">
        <v>-0.2</v>
      </c>
      <c r="C52" s="28">
        <f>$E$8*($C$63*(1+$B52)*(1-(Pct_Reclamaciones+Pct_Banco+Imp_Ventas_Serv+Contrib_Territorial)-IF(Base_Comision="% DEL INGRESO",$E$18,0))-$C$64*C$51-$C$65)-$C$66</f>
        <v>3256.55286089239</v>
      </c>
      <c r="D52" s="28">
        <f>$E$8*($C$63*(1+$B52)*(1-(Pct_Reclamaciones+Pct_Banco+Imp_Ventas_Serv+Contrib_Territorial)-IF(Base_Comision="% DEL INGRESO",$E$18,0))-$C$64*D$51-$C$65)-$C$66</f>
        <v>2648.93278215223</v>
      </c>
      <c r="E52" s="28">
        <f>$E$8*($C$63*(1+$B52)*(1-(Pct_Reclamaciones+Pct_Banco+Imp_Ventas_Serv+Contrib_Territorial)-IF(Base_Comision="% DEL INGRESO",$E$18,0))-$C$64*E$51-$C$65)-$C$66</f>
        <v>2041.31270341207</v>
      </c>
      <c r="F52" s="28">
        <f>$E$8*($C$63*(1+$B52)*(1-(Pct_Reclamaciones+Pct_Banco+Imp_Ventas_Serv+Contrib_Territorial)-IF(Base_Comision="% DEL INGRESO",$E$18,0))-$C$64*F$51-$C$65)-$C$66</f>
        <v>1433.69262467192</v>
      </c>
      <c r="G52" s="28">
        <f>$E$8*($C$63*(1+$B52)*(1-(Pct_Reclamaciones+Pct_Banco+Imp_Ventas_Serv+Contrib_Territorial)-IF(Base_Comision="% DEL INGRESO",$E$18,0))-$C$64*G$51-$C$65)-$C$66</f>
        <v>826.072545931758</v>
      </c>
      <c r="H52" s="28">
        <f>$E$8*($C$63*(1+$B52)*(1-(Pct_Reclamaciones+Pct_Banco+Imp_Ventas_Serv+Contrib_Territorial)-IF(Base_Comision="% DEL INGRESO",$E$18,0))-$C$64*H$51-$C$65)-$C$66</f>
        <v>218.452467191602</v>
      </c>
      <c r="I52" s="28">
        <f>$E$8*($C$63*(1+$B52)*(1-(Pct_Reclamaciones+Pct_Banco+Imp_Ventas_Serv+Contrib_Territorial)-IF(Base_Comision="% DEL INGRESO",$E$18,0))-$C$64*I$51-$C$65)-$C$66</f>
        <v>-389.167611548556</v>
      </c>
    </row>
    <row r="53">
      <c r="B53" s="92" t="n">
        <v>-0.15</v>
      </c>
      <c r="C53" s="28">
        <f>$E$8*($C$63*(1+$B53)*(1-(Pct_Reclamaciones+Pct_Banco+Imp_Ventas_Serv+Contrib_Territorial)-IF(Base_Comision="% DEL INGRESO",$E$18,0))-$C$64*C$51-$C$65)-$C$66</f>
        <v>3934.24286089239</v>
      </c>
      <c r="D53" s="28">
        <f>$E$8*($C$63*(1+$B53)*(1-(Pct_Reclamaciones+Pct_Banco+Imp_Ventas_Serv+Contrib_Territorial)-IF(Base_Comision="% DEL INGRESO",$E$18,0))-$C$64*D$51-$C$65)-$C$66</f>
        <v>3326.62278215223</v>
      </c>
      <c r="E53" s="28">
        <f>$E$8*($C$63*(1+$B53)*(1-(Pct_Reclamaciones+Pct_Banco+Imp_Ventas_Serv+Contrib_Territorial)-IF(Base_Comision="% DEL INGRESO",$E$18,0))-$C$64*E$51-$C$65)-$C$66</f>
        <v>2719.00270341207</v>
      </c>
      <c r="F53" s="28">
        <f>$E$8*($C$63*(1+$B53)*(1-(Pct_Reclamaciones+Pct_Banco+Imp_Ventas_Serv+Contrib_Territorial)-IF(Base_Comision="% DEL INGRESO",$E$18,0))-$C$64*F$51-$C$65)-$C$66</f>
        <v>2111.38262467192</v>
      </c>
      <c r="G53" s="28">
        <f>$E$8*($C$63*(1+$B53)*(1-(Pct_Reclamaciones+Pct_Banco+Imp_Ventas_Serv+Contrib_Territorial)-IF(Base_Comision="% DEL INGRESO",$E$18,0))-$C$64*G$51-$C$65)-$C$66</f>
        <v>1503.76254593176</v>
      </c>
      <c r="H53" s="28">
        <f>$E$8*($C$63*(1+$B53)*(1-(Pct_Reclamaciones+Pct_Banco+Imp_Ventas_Serv+Contrib_Territorial)-IF(Base_Comision="% DEL INGRESO",$E$18,0))-$C$64*H$51-$C$65)-$C$66</f>
        <v>896.142467191602</v>
      </c>
      <c r="I53" s="28">
        <f>$E$8*($C$63*(1+$B53)*(1-(Pct_Reclamaciones+Pct_Banco+Imp_Ventas_Serv+Contrib_Territorial)-IF(Base_Comision="% DEL INGRESO",$E$18,0))-$C$64*I$51-$C$65)-$C$66</f>
        <v>288.522388451444</v>
      </c>
    </row>
    <row r="54">
      <c r="B54" s="92" t="n">
        <v>-0.1</v>
      </c>
      <c r="C54" s="28">
        <f>$E$8*($C$63*(1+$B54)*(1-(Pct_Reclamaciones+Pct_Banco+Imp_Ventas_Serv+Contrib_Territorial)-IF(Base_Comision="% DEL INGRESO",$E$18,0))-$C$64*C$51-$C$65)-$C$66</f>
        <v>4611.93286089239</v>
      </c>
      <c r="D54" s="28">
        <f>$E$8*($C$63*(1+$B54)*(1-(Pct_Reclamaciones+Pct_Banco+Imp_Ventas_Serv+Contrib_Territorial)-IF(Base_Comision="% DEL INGRESO",$E$18,0))-$C$64*D$51-$C$65)-$C$66</f>
        <v>4004.31278215223</v>
      </c>
      <c r="E54" s="28">
        <f>$E$8*($C$63*(1+$B54)*(1-(Pct_Reclamaciones+Pct_Banco+Imp_Ventas_Serv+Contrib_Territorial)-IF(Base_Comision="% DEL INGRESO",$E$18,0))-$C$64*E$51-$C$65)-$C$66</f>
        <v>3396.69270341207</v>
      </c>
      <c r="F54" s="28">
        <f>$E$8*($C$63*(1+$B54)*(1-(Pct_Reclamaciones+Pct_Banco+Imp_Ventas_Serv+Contrib_Territorial)-IF(Base_Comision="% DEL INGRESO",$E$18,0))-$C$64*F$51-$C$65)-$C$66</f>
        <v>2789.07262467192</v>
      </c>
      <c r="G54" s="28">
        <f>$E$8*($C$63*(1+$B54)*(1-(Pct_Reclamaciones+Pct_Banco+Imp_Ventas_Serv+Contrib_Territorial)-IF(Base_Comision="% DEL INGRESO",$E$18,0))-$C$64*G$51-$C$65)-$C$66</f>
        <v>2181.45254593176</v>
      </c>
      <c r="H54" s="28">
        <f>$E$8*($C$63*(1+$B54)*(1-(Pct_Reclamaciones+Pct_Banco+Imp_Ventas_Serv+Contrib_Territorial)-IF(Base_Comision="% DEL INGRESO",$E$18,0))-$C$64*H$51-$C$65)-$C$66</f>
        <v>1573.8324671916</v>
      </c>
      <c r="I54" s="28">
        <f>$E$8*($C$63*(1+$B54)*(1-(Pct_Reclamaciones+Pct_Banco+Imp_Ventas_Serv+Contrib_Territorial)-IF(Base_Comision="% DEL INGRESO",$E$18,0))-$C$64*I$51-$C$65)-$C$66</f>
        <v>966.212388451445</v>
      </c>
    </row>
    <row r="55">
      <c r="B55" s="92" t="n">
        <v>-0.05</v>
      </c>
      <c r="C55" s="28">
        <f>$E$8*($C$63*(1+$B55)*(1-(Pct_Reclamaciones+Pct_Banco+Imp_Ventas_Serv+Contrib_Territorial)-IF(Base_Comision="% DEL INGRESO",$E$18,0))-$C$64*C$51-$C$65)-$C$66</f>
        <v>5289.62286089239</v>
      </c>
      <c r="D55" s="28">
        <f>$E$8*($C$63*(1+$B55)*(1-(Pct_Reclamaciones+Pct_Banco+Imp_Ventas_Serv+Contrib_Territorial)-IF(Base_Comision="% DEL INGRESO",$E$18,0))-$C$64*D$51-$C$65)-$C$66</f>
        <v>4682.00278215223</v>
      </c>
      <c r="E55" s="28">
        <f>$E$8*($C$63*(1+$B55)*(1-(Pct_Reclamaciones+Pct_Banco+Imp_Ventas_Serv+Contrib_Territorial)-IF(Base_Comision="% DEL INGRESO",$E$18,0))-$C$64*E$51-$C$65)-$C$66</f>
        <v>4074.38270341207</v>
      </c>
      <c r="F55" s="28">
        <f>$E$8*($C$63*(1+$B55)*(1-(Pct_Reclamaciones+Pct_Banco+Imp_Ventas_Serv+Contrib_Territorial)-IF(Base_Comision="% DEL INGRESO",$E$18,0))-$C$64*F$51-$C$65)-$C$66</f>
        <v>3466.76262467192</v>
      </c>
      <c r="G55" s="28">
        <f>$E$8*($C$63*(1+$B55)*(1-(Pct_Reclamaciones+Pct_Banco+Imp_Ventas_Serv+Contrib_Territorial)-IF(Base_Comision="% DEL INGRESO",$E$18,0))-$C$64*G$51-$C$65)-$C$66</f>
        <v>2859.14254593176</v>
      </c>
      <c r="H55" s="28">
        <f>$E$8*($C$63*(1+$B55)*(1-(Pct_Reclamaciones+Pct_Banco+Imp_Ventas_Serv+Contrib_Territorial)-IF(Base_Comision="% DEL INGRESO",$E$18,0))-$C$64*H$51-$C$65)-$C$66</f>
        <v>2251.5224671916</v>
      </c>
      <c r="I55" s="28">
        <f>$E$8*($C$63*(1+$B55)*(1-(Pct_Reclamaciones+Pct_Banco+Imp_Ventas_Serv+Contrib_Territorial)-IF(Base_Comision="% DEL INGRESO",$E$18,0))-$C$64*I$51-$C$65)-$C$66</f>
        <v>1643.90238845144</v>
      </c>
    </row>
    <row r="56">
      <c r="B56" s="92" t="n">
        <v>0</v>
      </c>
      <c r="C56" s="28">
        <f>$E$8*($C$63*(1+$B56)*(1-(Pct_Reclamaciones+Pct_Banco+Imp_Ventas_Serv+Contrib_Territorial)-IF(Base_Comision="% DEL INGRESO",$E$18,0))-$C$64*C$51-$C$65)-$C$66</f>
        <v>5967.31286089239</v>
      </c>
      <c r="D56" s="28">
        <f>$E$8*($C$63*(1+$B56)*(1-(Pct_Reclamaciones+Pct_Banco+Imp_Ventas_Serv+Contrib_Territorial)-IF(Base_Comision="% DEL INGRESO",$E$18,0))-$C$64*D$51-$C$65)-$C$66</f>
        <v>5359.69278215223</v>
      </c>
      <c r="E56" s="28">
        <f>$E$8*($C$63*(1+$B56)*(1-(Pct_Reclamaciones+Pct_Banco+Imp_Ventas_Serv+Contrib_Territorial)-IF(Base_Comision="% DEL INGRESO",$E$18,0))-$C$64*E$51-$C$65)-$C$66</f>
        <v>4752.07270341207</v>
      </c>
      <c r="F56" s="28">
        <f>$E$8*($C$63*(1+$B56)*(1-(Pct_Reclamaciones+Pct_Banco+Imp_Ventas_Serv+Contrib_Territorial)-IF(Base_Comision="% DEL INGRESO",$E$18,0))-$C$64*F$51-$C$65)-$C$66</f>
        <v>4144.45262467192</v>
      </c>
      <c r="G56" s="28">
        <f>$E$8*($C$63*(1+$B56)*(1-(Pct_Reclamaciones+Pct_Banco+Imp_Ventas_Serv+Contrib_Territorial)-IF(Base_Comision="% DEL INGRESO",$E$18,0))-$C$64*G$51-$C$65)-$C$66</f>
        <v>3536.83254593176</v>
      </c>
      <c r="H56" s="28">
        <f>$E$8*($C$63*(1+$B56)*(1-(Pct_Reclamaciones+Pct_Banco+Imp_Ventas_Serv+Contrib_Territorial)-IF(Base_Comision="% DEL INGRESO",$E$18,0))-$C$64*H$51-$C$65)-$C$66</f>
        <v>2929.2124671916</v>
      </c>
      <c r="I56" s="28">
        <f>$E$8*($C$63*(1+$B56)*(1-(Pct_Reclamaciones+Pct_Banco+Imp_Ventas_Serv+Contrib_Territorial)-IF(Base_Comision="% DEL INGRESO",$E$18,0))-$C$64*I$51-$C$65)-$C$66</f>
        <v>2321.59238845144</v>
      </c>
    </row>
    <row r="57">
      <c r="B57" s="92" t="n">
        <v>0.05</v>
      </c>
      <c r="C57" s="28">
        <f>$E$8*($C$63*(1+$B57)*(1-(Pct_Reclamaciones+Pct_Banco+Imp_Ventas_Serv+Contrib_Territorial)-IF(Base_Comision="% DEL INGRESO",$E$18,0))-$C$64*C$51-$C$65)-$C$66</f>
        <v>6645.00286089239</v>
      </c>
      <c r="D57" s="28">
        <f>$E$8*($C$63*(1+$B57)*(1-(Pct_Reclamaciones+Pct_Banco+Imp_Ventas_Serv+Contrib_Territorial)-IF(Base_Comision="% DEL INGRESO",$E$18,0))-$C$64*D$51-$C$65)-$C$66</f>
        <v>6037.38278215223</v>
      </c>
      <c r="E57" s="28">
        <f>$E$8*($C$63*(1+$B57)*(1-(Pct_Reclamaciones+Pct_Banco+Imp_Ventas_Serv+Contrib_Territorial)-IF(Base_Comision="% DEL INGRESO",$E$18,0))-$C$64*E$51-$C$65)-$C$66</f>
        <v>5429.76270341207</v>
      </c>
      <c r="F57" s="28">
        <f>$E$8*($C$63*(1+$B57)*(1-(Pct_Reclamaciones+Pct_Banco+Imp_Ventas_Serv+Contrib_Territorial)-IF(Base_Comision="% DEL INGRESO",$E$18,0))-$C$64*F$51-$C$65)-$C$66</f>
        <v>4822.14262467192</v>
      </c>
      <c r="G57" s="28">
        <f>$E$8*($C$63*(1+$B57)*(1-(Pct_Reclamaciones+Pct_Banco+Imp_Ventas_Serv+Contrib_Territorial)-IF(Base_Comision="% DEL INGRESO",$E$18,0))-$C$64*G$51-$C$65)-$C$66</f>
        <v>4214.52254593176</v>
      </c>
      <c r="H57" s="28">
        <f>$E$8*($C$63*(1+$B57)*(1-(Pct_Reclamaciones+Pct_Banco+Imp_Ventas_Serv+Contrib_Territorial)-IF(Base_Comision="% DEL INGRESO",$E$18,0))-$C$64*H$51-$C$65)-$C$66</f>
        <v>3606.9024671916</v>
      </c>
      <c r="I57" s="28">
        <f>$E$8*($C$63*(1+$B57)*(1-(Pct_Reclamaciones+Pct_Banco+Imp_Ventas_Serv+Contrib_Territorial)-IF(Base_Comision="% DEL INGRESO",$E$18,0))-$C$64*I$51-$C$65)-$C$66</f>
        <v>2999.28238845144</v>
      </c>
    </row>
    <row r="58">
      <c r="B58" s="92" t="n">
        <v>0.1</v>
      </c>
      <c r="C58" s="28">
        <f>$E$8*($C$63*(1+$B58)*(1-(Pct_Reclamaciones+Pct_Banco+Imp_Ventas_Serv+Contrib_Territorial)-IF(Base_Comision="% DEL INGRESO",$E$18,0))-$C$64*C$51-$C$65)-$C$66</f>
        <v>7322.69286089239</v>
      </c>
      <c r="D58" s="28">
        <f>$E$8*($C$63*(1+$B58)*(1-(Pct_Reclamaciones+Pct_Banco+Imp_Ventas_Serv+Contrib_Territorial)-IF(Base_Comision="% DEL INGRESO",$E$18,0))-$C$64*D$51-$C$65)-$C$66</f>
        <v>6715.07278215223</v>
      </c>
      <c r="E58" s="28">
        <f>$E$8*($C$63*(1+$B58)*(1-(Pct_Reclamaciones+Pct_Banco+Imp_Ventas_Serv+Contrib_Territorial)-IF(Base_Comision="% DEL INGRESO",$E$18,0))-$C$64*E$51-$C$65)-$C$66</f>
        <v>6107.45270341208</v>
      </c>
      <c r="F58" s="28">
        <f>$E$8*($C$63*(1+$B58)*(1-(Pct_Reclamaciones+Pct_Banco+Imp_Ventas_Serv+Contrib_Territorial)-IF(Base_Comision="% DEL INGRESO",$E$18,0))-$C$64*F$51-$C$65)-$C$66</f>
        <v>5499.83262467192</v>
      </c>
      <c r="G58" s="28">
        <f>$E$8*($C$63*(1+$B58)*(1-(Pct_Reclamaciones+Pct_Banco+Imp_Ventas_Serv+Contrib_Territorial)-IF(Base_Comision="% DEL INGRESO",$E$18,0))-$C$64*G$51-$C$65)-$C$66</f>
        <v>4892.21254593176</v>
      </c>
      <c r="H58" s="28">
        <f>$E$8*($C$63*(1+$B58)*(1-(Pct_Reclamaciones+Pct_Banco+Imp_Ventas_Serv+Contrib_Territorial)-IF(Base_Comision="% DEL INGRESO",$E$18,0))-$C$64*H$51-$C$65)-$C$66</f>
        <v>4284.5924671916</v>
      </c>
      <c r="I58" s="28">
        <f>$E$8*($C$63*(1+$B58)*(1-(Pct_Reclamaciones+Pct_Banco+Imp_Ventas_Serv+Contrib_Territorial)-IF(Base_Comision="% DEL INGRESO",$E$18,0))-$C$64*I$51-$C$65)-$C$66</f>
        <v>3676.97238845145</v>
      </c>
    </row>
    <row r="59">
      <c r="B59" s="92" t="n">
        <v>0.15</v>
      </c>
      <c r="C59" s="28">
        <f>$E$8*($C$63*(1+$B59)*(1-(Pct_Reclamaciones+Pct_Banco+Imp_Ventas_Serv+Contrib_Territorial)-IF(Base_Comision="% DEL INGRESO",$E$18,0))-$C$64*C$51-$C$65)-$C$66</f>
        <v>8000.38286089239</v>
      </c>
      <c r="D59" s="28">
        <f>$E$8*($C$63*(1+$B59)*(1-(Pct_Reclamaciones+Pct_Banco+Imp_Ventas_Serv+Contrib_Territorial)-IF(Base_Comision="% DEL INGRESO",$E$18,0))-$C$64*D$51-$C$65)-$C$66</f>
        <v>7392.76278215223</v>
      </c>
      <c r="E59" s="28">
        <f>$E$8*($C$63*(1+$B59)*(1-(Pct_Reclamaciones+Pct_Banco+Imp_Ventas_Serv+Contrib_Territorial)-IF(Base_Comision="% DEL INGRESO",$E$18,0))-$C$64*E$51-$C$65)-$C$66</f>
        <v>6785.14270341207</v>
      </c>
      <c r="F59" s="28">
        <f>$E$8*($C$63*(1+$B59)*(1-(Pct_Reclamaciones+Pct_Banco+Imp_Ventas_Serv+Contrib_Territorial)-IF(Base_Comision="% DEL INGRESO",$E$18,0))-$C$64*F$51-$C$65)-$C$66</f>
        <v>6177.52262467192</v>
      </c>
      <c r="G59" s="28">
        <f>$E$8*($C$63*(1+$B59)*(1-(Pct_Reclamaciones+Pct_Banco+Imp_Ventas_Serv+Contrib_Territorial)-IF(Base_Comision="% DEL INGRESO",$E$18,0))-$C$64*G$51-$C$65)-$C$66</f>
        <v>5569.90254593176</v>
      </c>
      <c r="H59" s="28">
        <f>$E$8*($C$63*(1+$B59)*(1-(Pct_Reclamaciones+Pct_Banco+Imp_Ventas_Serv+Contrib_Territorial)-IF(Base_Comision="% DEL INGRESO",$E$18,0))-$C$64*H$51-$C$65)-$C$66</f>
        <v>4962.2824671916</v>
      </c>
      <c r="I59" s="28">
        <f>$E$8*($C$63*(1+$B59)*(1-(Pct_Reclamaciones+Pct_Banco+Imp_Ventas_Serv+Contrib_Territorial)-IF(Base_Comision="% DEL INGRESO",$E$18,0))-$C$64*I$51-$C$65)-$C$66</f>
        <v>4354.66238845145</v>
      </c>
    </row>
    <row r="60">
      <c r="B60" s="92" t="n">
        <v>0.2</v>
      </c>
      <c r="C60" s="28">
        <f>$E$8*($C$63*(1+$B60)*(1-(Pct_Reclamaciones+Pct_Banco+Imp_Ventas_Serv+Contrib_Territorial)-IF(Base_Comision="% DEL INGRESO",$E$18,0))-$C$64*C$51-$C$65)-$C$66</f>
        <v>8678.07286089239</v>
      </c>
      <c r="D60" s="28">
        <f>$E$8*($C$63*(1+$B60)*(1-(Pct_Reclamaciones+Pct_Banco+Imp_Ventas_Serv+Contrib_Territorial)-IF(Base_Comision="% DEL INGRESO",$E$18,0))-$C$64*D$51-$C$65)-$C$66</f>
        <v>8070.45278215223</v>
      </c>
      <c r="E60" s="28">
        <f>$E$8*($C$63*(1+$B60)*(1-(Pct_Reclamaciones+Pct_Banco+Imp_Ventas_Serv+Contrib_Territorial)-IF(Base_Comision="% DEL INGRESO",$E$18,0))-$C$64*E$51-$C$65)-$C$66</f>
        <v>7462.83270341207</v>
      </c>
      <c r="F60" s="28">
        <f>$E$8*($C$63*(1+$B60)*(1-(Pct_Reclamaciones+Pct_Banco+Imp_Ventas_Serv+Contrib_Territorial)-IF(Base_Comision="% DEL INGRESO",$E$18,0))-$C$64*F$51-$C$65)-$C$66</f>
        <v>6855.21262467192</v>
      </c>
      <c r="G60" s="28">
        <f>$E$8*($C$63*(1+$B60)*(1-(Pct_Reclamaciones+Pct_Banco+Imp_Ventas_Serv+Contrib_Territorial)-IF(Base_Comision="% DEL INGRESO",$E$18,0))-$C$64*G$51-$C$65)-$C$66</f>
        <v>6247.59254593176</v>
      </c>
      <c r="H60" s="28">
        <f>$E$8*($C$63*(1+$B60)*(1-(Pct_Reclamaciones+Pct_Banco+Imp_Ventas_Serv+Contrib_Territorial)-IF(Base_Comision="% DEL INGRESO",$E$18,0))-$C$64*H$51-$C$65)-$C$66</f>
        <v>5639.9724671916</v>
      </c>
      <c r="I60" s="28">
        <f>$E$8*($C$63*(1+$B60)*(1-(Pct_Reclamaciones+Pct_Banco+Imp_Ventas_Serv+Contrib_Territorial)-IF(Base_Comision="% DEL INGRESO",$E$18,0))-$C$64*I$51-$C$65)-$C$66</f>
        <v>5032.35238845144</v>
      </c>
    </row>
    <row r="62">
      <c r="B62" s="2" t="inlineStr">
        <is>
          <t>Auxiliares de la tabla (no editar)</t>
        </is>
      </c>
    </row>
    <row r="63">
      <c r="B63" s="8" t="inlineStr">
        <is>
          <t>Ingreso base por contenedor</t>
        </is>
      </c>
      <c r="C63" s="28">
        <f>F32</f>
        <v>8020</v>
      </c>
    </row>
    <row r="64">
      <c r="B64" s="8" t="inlineStr">
        <is>
          <t>Litros por contenedor (con desvío)</t>
        </is>
      </c>
      <c r="C64" s="78">
        <f>(Std_Viajes_Puerto*Litros_Puerto_Viaje+IF($E$5=0,0,ROUNDUP($E$5/Cap_Camion_OCC,0))*L_Dist_OCC+IF($E$6=0,0,ROUNDUP($E$6/Cap_Camion_CEN,0))*(L_Tras_CEN+L_Dist_CEN)+IF($E$7=0,0,ROUNDUP($E$7/Cap_Camion_ORI,0))*(L_Tras_ORI+L_Dist_ORI))*(1+$E$22)</f>
        <v>1215.24015748031</v>
      </c>
    </row>
    <row r="65">
      <c r="B65" s="8" t="inlineStr">
        <is>
          <t>Costos variables sin combustible ni % sobre ingreso</t>
        </is>
      </c>
      <c r="C65" s="28">
        <f>(F33+F37-$E$23/$E$8)-(C64*$E$12)+($E$5+$E$6+$E$7)*IF(Base_Comision="% DEL INGRESO",0,$E$19)</f>
        <v>350.35</v>
      </c>
    </row>
    <row r="66">
      <c r="B66" s="8" t="inlineStr">
        <is>
          <t>Costos fijos totales del mes</t>
        </is>
      </c>
      <c r="C66" s="28">
        <f>($E$23+$E$24+$E$25+$E$26)</f>
        <v>3240.06666666667</v>
      </c>
    </row>
    <row r="68">
      <c r="B68" s="3" t="inlineStr">
        <is>
          <t>Sensibilidad: utilidad mensual según la cantidad de contenedores</t>
        </is>
      </c>
    </row>
    <row r="69">
      <c r="B69" s="5" t="inlineStr">
        <is>
          <t>Contenedores por mes</t>
        </is>
      </c>
      <c r="C69" s="5" t="inlineStr">
        <is>
          <t>Utilidad del mes</t>
        </is>
      </c>
      <c r="D69" s="5" t="inlineStr">
        <is>
          <t>Utilidad por contenedor</t>
        </is>
      </c>
    </row>
    <row r="70">
      <c r="B70" s="93" t="n">
        <v>1</v>
      </c>
      <c r="C70" s="28">
        <f>B70*(($F$32-$F$33-$F$34-$F$35-((Std_Viajes_Puerto*($E$13+$E$14+Litros_Puerto_Viaje*(1+$E$22)*$E$12+Km_Puerto_Viaje*$E$20)+IF(($E$5+$E$6+$E$7)=0,0,ROUNDUP(($E$5+$E$6+$E$7)/Rend_Desagrupe,0))*$E$15+$E$17+$E$21+$E$23/$E$8)-$E$23/$E$8)))-($E$23+$E$24+$E$25+$E$26)</f>
        <v>756.003018372704</v>
      </c>
      <c r="D70" s="28">
        <f>C70/B70</f>
        <v>756.003018372704</v>
      </c>
    </row>
    <row r="71">
      <c r="B71" s="93" t="n">
        <v>2</v>
      </c>
      <c r="C71" s="28">
        <f>B71*(($F$32-$F$33-$F$34-$F$35-((Std_Viajes_Puerto*($E$13+$E$14+Litros_Puerto_Viaje*(1+$E$22)*$E$12+Km_Puerto_Viaje*$E$20)+IF(($E$5+$E$6+$E$7)=0,0,ROUNDUP(($E$5+$E$6+$E$7)/Rend_Desagrupe,0))*$E$15+$E$17+$E$21+$E$23/$E$8)-$E$23/$E$8)))-($E$23+$E$24+$E$25+$E$26)</f>
        <v>4752.07270341208</v>
      </c>
      <c r="D71" s="28">
        <f>C71/B71</f>
        <v>2376.03635170604</v>
      </c>
    </row>
    <row r="72">
      <c r="B72" s="93" t="n">
        <v>3</v>
      </c>
      <c r="C72" s="28">
        <f>B72*(($F$32-$F$33-$F$34-$F$35-((Std_Viajes_Puerto*($E$13+$E$14+Litros_Puerto_Viaje*(1+$E$22)*$E$12+Km_Puerto_Viaje*$E$20)+IF(($E$5+$E$6+$E$7)=0,0,ROUNDUP(($E$5+$E$6+$E$7)/Rend_Desagrupe,0))*$E$15+$E$17+$E$21+$E$23/$E$8)-$E$23/$E$8)))-($E$23+$E$24+$E$25+$E$26)</f>
        <v>8748.14238845144</v>
      </c>
      <c r="D72" s="28">
        <f>C72/B72</f>
        <v>2916.04746281715</v>
      </c>
    </row>
    <row r="73">
      <c r="B73" s="93" t="n">
        <v>4</v>
      </c>
      <c r="C73" s="28">
        <f>B73*(($F$32-$F$33-$F$34-$F$35-((Std_Viajes_Puerto*($E$13+$E$14+Litros_Puerto_Viaje*(1+$E$22)*$E$12+Km_Puerto_Viaje*$E$20)+IF(($E$5+$E$6+$E$7)=0,0,ROUNDUP(($E$5+$E$6+$E$7)/Rend_Desagrupe,0))*$E$15+$E$17+$E$21+$E$23/$E$8)-$E$23/$E$8)))-($E$23+$E$24+$E$25+$E$26)</f>
        <v>12744.2120734908</v>
      </c>
      <c r="D73" s="28">
        <f>C73/B73</f>
        <v>3186.0530183727</v>
      </c>
    </row>
    <row r="74">
      <c r="B74" s="93" t="n">
        <v>5</v>
      </c>
      <c r="C74" s="28">
        <f>B74*(($F$32-$F$33-$F$34-$F$35-((Std_Viajes_Puerto*($E$13+$E$14+Litros_Puerto_Viaje*(1+$E$22)*$E$12+Km_Puerto_Viaje*$E$20)+IF(($E$5+$E$6+$E$7)=0,0,ROUNDUP(($E$5+$E$6+$E$7)/Rend_Desagrupe,0))*$E$15+$E$17+$E$21+$E$23/$E$8)-$E$23/$E$8)))-($E$23+$E$24+$E$25+$E$26)</f>
        <v>16740.2817585302</v>
      </c>
      <c r="D74" s="28">
        <f>C74/B74</f>
        <v>3348.05635170604</v>
      </c>
    </row>
    <row r="75">
      <c r="B75" s="93" t="n">
        <v>6</v>
      </c>
      <c r="C75" s="28">
        <f>B75*(($F$32-$F$33-$F$34-$F$35-((Std_Viajes_Puerto*($E$13+$E$14+Litros_Puerto_Viaje*(1+$E$22)*$E$12+Km_Puerto_Viaje*$E$20)+IF(($E$5+$E$6+$E$7)=0,0,ROUNDUP(($E$5+$E$6+$E$7)/Rend_Desagrupe,0))*$E$15+$E$17+$E$21+$E$23/$E$8)-$E$23/$E$8)))-($E$23+$E$24+$E$25+$E$26)</f>
        <v>20736.3514435696</v>
      </c>
      <c r="D75" s="28">
        <f>C75/B75</f>
        <v>3456.05857392826</v>
      </c>
    </row>
    <row r="76">
      <c r="B76" s="93" t="n">
        <v>7</v>
      </c>
      <c r="C76" s="28">
        <f>B76*(($F$32-$F$33-$F$34-$F$35-((Std_Viajes_Puerto*($E$13+$E$14+Litros_Puerto_Viaje*(1+$E$22)*$E$12+Km_Puerto_Viaje*$E$20)+IF(($E$5+$E$6+$E$7)=0,0,ROUNDUP(($E$5+$E$6+$E$7)/Rend_Desagrupe,0))*$E$15+$E$17+$E$21+$E$23/$E$8)-$E$23/$E$8)))-($E$23+$E$24+$E$25+$E$26)</f>
        <v>24732.4211286089</v>
      </c>
      <c r="D76" s="28">
        <f>C76/B76</f>
        <v>3533.2030183727</v>
      </c>
    </row>
    <row r="77">
      <c r="B77" s="93" t="n">
        <v>8</v>
      </c>
      <c r="C77" s="28">
        <f>B77*(($F$32-$F$33-$F$34-$F$35-((Std_Viajes_Puerto*($E$13+$E$14+Litros_Puerto_Viaje*(1+$E$22)*$E$12+Km_Puerto_Viaje*$E$20)+IF(($E$5+$E$6+$E$7)=0,0,ROUNDUP(($E$5+$E$6+$E$7)/Rend_Desagrupe,0))*$E$15+$E$17+$E$21+$E$23/$E$8)-$E$23/$E$8)))-($E$23+$E$24+$E$25+$E$26)</f>
        <v>28728.4908136483</v>
      </c>
      <c r="D77" s="28">
        <f>C77/B77</f>
        <v>3591.06135170604</v>
      </c>
    </row>
    <row r="78">
      <c r="B78" s="93" t="n">
        <v>9</v>
      </c>
      <c r="C78" s="28">
        <f>B78*(($F$32-$F$33-$F$34-$F$35-((Std_Viajes_Puerto*($E$13+$E$14+Litros_Puerto_Viaje*(1+$E$22)*$E$12+Km_Puerto_Viaje*$E$20)+IF(($E$5+$E$6+$E$7)=0,0,ROUNDUP(($E$5+$E$6+$E$7)/Rend_Desagrupe,0))*$E$15+$E$17+$E$21+$E$23/$E$8)-$E$23/$E$8)))-($E$23+$E$24+$E$25+$E$26)</f>
        <v>32724.5604986877</v>
      </c>
      <c r="D78" s="28">
        <f>C78/B78</f>
        <v>3636.06227763196</v>
      </c>
    </row>
    <row r="79">
      <c r="B79" s="93" t="n">
        <v>10</v>
      </c>
      <c r="C79" s="28">
        <f>B79*(($F$32-$F$33-$F$34-$F$35-((Std_Viajes_Puerto*($E$13+$E$14+Litros_Puerto_Viaje*(1+$E$22)*$E$12+Km_Puerto_Viaje*$E$20)+IF(($E$5+$E$6+$E$7)=0,0,ROUNDUP(($E$5+$E$6+$E$7)/Rend_Desagrupe,0))*$E$15+$E$17+$E$21+$E$23/$E$8)-$E$23/$E$8)))-($E$23+$E$24+$E$25+$E$26)</f>
        <v>36720.630183727</v>
      </c>
      <c r="D79" s="28">
        <f>C79/B79</f>
        <v>3672.0630183727</v>
      </c>
    </row>
  </sheetData>
  <sheetProtection selectLockedCells="0" selectUnlockedCells="0" sheet="1" objects="0" insertRows="1" insertHyperlinks="1" autoFilter="0" scenarios="0" formatColumns="0" deleteColumns="1" insertColumns="1" pivotTables="1" deleteRows="1" formatCells="1" formatRows="0" sort="1"/>
  <conditionalFormatting sqref="C52:I60">
    <cfRule type="expression" priority="1" dxfId="2">
      <formula>C52&lt;0</formula>
    </cfRule>
    <cfRule type="expression" priority="2" dxfId="3">
      <formula>C52&gt;=0</formula>
    </cfRule>
  </conditionalFormatting>
  <dataValidations count="1">
    <dataValidation sqref="D5:D26" showDropDown="0" showInputMessage="0" showErrorMessage="1" allowBlank="1" errorTitle="Número no válido" error="Escriba un número mayor o igual que 0, sin texto." type="decimal" operator="greaterThanOrEqual">
      <formula1>0</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7F7F7F"/>
    <outlinePr summaryBelow="1" summaryRight="1"/>
    <pageSetUpPr fitToPage="1"/>
  </sheetPr>
  <dimension ref="A1:M21"/>
  <sheetViews>
    <sheetView showGridLines="0" zoomScale="9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14" customWidth="1" min="13" max="13"/>
  </cols>
  <sheetData>
    <row r="1" ht="24" customHeight="1">
      <c r="A1" s="1" t="inlineStr">
        <is>
          <t>Listas de validación</t>
        </is>
      </c>
    </row>
    <row r="2">
      <c r="A2" s="2" t="inlineStr">
        <is>
          <t>Hoja técnica. Los valores alimentan los desplegables del libro.</t>
        </is>
      </c>
    </row>
    <row r="4">
      <c r="A4" s="5" t="inlineStr">
        <is>
          <t>Transitaria</t>
        </is>
      </c>
      <c r="B4" s="5" t="inlineStr">
        <is>
          <t>Region</t>
        </is>
      </c>
      <c r="C4" s="5" t="inlineStr">
        <is>
          <t>SiNo</t>
        </is>
      </c>
      <c r="D4" s="5" t="inlineStr">
        <is>
          <t>Prorrateo</t>
        </is>
      </c>
      <c r="E4" s="5" t="inlineStr">
        <is>
          <t>BaseCom</t>
        </is>
      </c>
      <c r="F4" s="5" t="inlineStr">
        <is>
          <t>Estado</t>
        </is>
      </c>
      <c r="G4" s="5" t="inlineStr">
        <is>
          <t>TipoCont</t>
        </is>
      </c>
      <c r="H4" s="5" t="inlineStr">
        <is>
          <t>Grupo</t>
        </is>
      </c>
      <c r="I4" s="5" t="inlineStr">
        <is>
          <t>Centro</t>
        </is>
      </c>
      <c r="J4" s="5" t="inlineStr">
        <is>
          <t>Elemento</t>
        </is>
      </c>
      <c r="K4" s="5" t="inlineStr">
        <is>
          <t>TipoActivo</t>
        </is>
      </c>
      <c r="L4" s="5" t="inlineStr">
        <is>
          <t>Territorio</t>
        </is>
      </c>
      <c r="M4" s="5" t="inlineStr">
        <is>
          <t>Región</t>
        </is>
      </c>
    </row>
    <row r="5">
      <c r="A5" s="8" t="inlineStr">
        <is>
          <t>ENCI</t>
        </is>
      </c>
      <c r="B5" s="8" t="inlineStr">
        <is>
          <t>Occidente</t>
        </is>
      </c>
      <c r="C5" s="8" t="inlineStr">
        <is>
          <t>Sí</t>
        </is>
      </c>
      <c r="D5" s="8" t="inlineStr">
        <is>
          <t>KG</t>
        </is>
      </c>
      <c r="E5" s="8" t="inlineStr">
        <is>
          <t>% DEL INGRESO</t>
        </is>
      </c>
      <c r="F5" s="8" t="inlineStr">
        <is>
          <t>Abierto</t>
        </is>
      </c>
      <c r="G5" s="8" t="inlineStr">
        <is>
          <t>20'</t>
        </is>
      </c>
      <c r="H5" s="8" t="inlineStr">
        <is>
          <t>Grupo central</t>
        </is>
      </c>
      <c r="I5" s="8" t="inlineStr">
        <is>
          <t>GENERAL</t>
        </is>
      </c>
      <c r="J5" s="8" t="inlineStr">
        <is>
          <t>Materias primas y materiales</t>
        </is>
      </c>
      <c r="K5" s="8" t="inlineStr">
        <is>
          <t>Vehículo propio</t>
        </is>
      </c>
      <c r="L5" s="8" t="inlineStr">
        <is>
          <t>Pinar del Río</t>
        </is>
      </c>
      <c r="M5" s="8" t="inlineStr">
        <is>
          <t>Occidente</t>
        </is>
      </c>
    </row>
    <row r="6">
      <c r="A6" s="8" t="inlineStr">
        <is>
          <t>A.V</t>
        </is>
      </c>
      <c r="B6" s="8" t="inlineStr">
        <is>
          <t>Centro</t>
        </is>
      </c>
      <c r="C6" s="8" t="inlineStr">
        <is>
          <t>No</t>
        </is>
      </c>
      <c r="D6" s="8" t="inlineStr">
        <is>
          <t>CONTENEDOR</t>
        </is>
      </c>
      <c r="E6" s="8" t="inlineStr">
        <is>
          <t>USD POR KG</t>
        </is>
      </c>
      <c r="F6" s="8" t="inlineStr">
        <is>
          <t>Cerrado</t>
        </is>
      </c>
      <c r="G6" s="8" t="inlineStr">
        <is>
          <t>40'</t>
        </is>
      </c>
      <c r="H6" s="8" t="inlineStr">
        <is>
          <t>Provincial</t>
        </is>
      </c>
      <c r="I6" s="8" t="inlineStr">
        <is>
          <t>OCC</t>
        </is>
      </c>
      <c r="J6" s="8" t="inlineStr">
        <is>
          <t>Combustibles y lubricantes</t>
        </is>
      </c>
      <c r="K6" s="8" t="inlineStr">
        <is>
          <t>Equipo</t>
        </is>
      </c>
      <c r="L6" s="8" t="inlineStr">
        <is>
          <t>Artemisa</t>
        </is>
      </c>
      <c r="M6" s="8" t="inlineStr">
        <is>
          <t>Occidente</t>
        </is>
      </c>
    </row>
    <row r="7">
      <c r="A7" s="8" t="inlineStr">
        <is>
          <t>Otra</t>
        </is>
      </c>
      <c r="B7" s="8" t="inlineStr">
        <is>
          <t>Oriente</t>
        </is>
      </c>
      <c r="G7" s="8" t="inlineStr">
        <is>
          <t>40' HC</t>
        </is>
      </c>
      <c r="I7" s="8" t="inlineStr">
        <is>
          <t>CEN</t>
        </is>
      </c>
      <c r="J7" s="8" t="inlineStr">
        <is>
          <t>Energía</t>
        </is>
      </c>
      <c r="K7" s="8" t="inlineStr">
        <is>
          <t>Otro</t>
        </is>
      </c>
      <c r="L7" s="8" t="inlineStr">
        <is>
          <t>La Habana</t>
        </is>
      </c>
      <c r="M7" s="8" t="inlineStr">
        <is>
          <t>Occidente</t>
        </is>
      </c>
    </row>
    <row r="8">
      <c r="G8" s="8" t="inlineStr">
        <is>
          <t>Otro</t>
        </is>
      </c>
      <c r="I8" s="8" t="inlineStr">
        <is>
          <t>ORI</t>
        </is>
      </c>
      <c r="J8" s="8" t="inlineStr">
        <is>
          <t>Gastos de fuerza de trabajo</t>
        </is>
      </c>
      <c r="L8" s="8" t="inlineStr">
        <is>
          <t>Mayabeque</t>
        </is>
      </c>
      <c r="M8" s="8" t="inlineStr">
        <is>
          <t>Occidente</t>
        </is>
      </c>
    </row>
    <row r="9">
      <c r="J9" s="8" t="inlineStr">
        <is>
          <t>Depreciación y amortización</t>
        </is>
      </c>
      <c r="L9" s="8" t="inlineStr">
        <is>
          <t>Matanzas</t>
        </is>
      </c>
      <c r="M9" s="8" t="inlineStr">
        <is>
          <t>Occidente</t>
        </is>
      </c>
    </row>
    <row r="10">
      <c r="J10" s="8" t="inlineStr">
        <is>
          <t>Otros gastos monetarios</t>
        </is>
      </c>
      <c r="L10" s="8" t="inlineStr">
        <is>
          <t>Isla de la Juventud</t>
        </is>
      </c>
      <c r="M10" s="8" t="inlineStr">
        <is>
          <t>Occidente</t>
        </is>
      </c>
    </row>
    <row r="11">
      <c r="L11" s="8" t="inlineStr">
        <is>
          <t>Cienfuegos</t>
        </is>
      </c>
      <c r="M11" s="8" t="inlineStr">
        <is>
          <t>Centro</t>
        </is>
      </c>
    </row>
    <row r="12">
      <c r="L12" s="8" t="inlineStr">
        <is>
          <t>Villa Clara</t>
        </is>
      </c>
      <c r="M12" s="8" t="inlineStr">
        <is>
          <t>Centro</t>
        </is>
      </c>
    </row>
    <row r="13">
      <c r="L13" s="8" t="inlineStr">
        <is>
          <t>Sancti Spíritus</t>
        </is>
      </c>
      <c r="M13" s="8" t="inlineStr">
        <is>
          <t>Centro</t>
        </is>
      </c>
    </row>
    <row r="14">
      <c r="L14" s="8" t="inlineStr">
        <is>
          <t>Ciego de Ávila</t>
        </is>
      </c>
      <c r="M14" s="8" t="inlineStr">
        <is>
          <t>Centro</t>
        </is>
      </c>
    </row>
    <row r="15">
      <c r="L15" s="8" t="inlineStr">
        <is>
          <t>Camagüey</t>
        </is>
      </c>
      <c r="M15" s="8" t="inlineStr">
        <is>
          <t>Centro</t>
        </is>
      </c>
    </row>
    <row r="16">
      <c r="L16" s="8" t="inlineStr">
        <is>
          <t>Las Tunas</t>
        </is>
      </c>
      <c r="M16" s="8" t="inlineStr">
        <is>
          <t>Oriente</t>
        </is>
      </c>
    </row>
    <row r="17">
      <c r="L17" s="8" t="inlineStr">
        <is>
          <t>Holguín</t>
        </is>
      </c>
      <c r="M17" s="8" t="inlineStr">
        <is>
          <t>Oriente</t>
        </is>
      </c>
    </row>
    <row r="18">
      <c r="L18" s="8" t="inlineStr">
        <is>
          <t>Granma</t>
        </is>
      </c>
      <c r="M18" s="8" t="inlineStr">
        <is>
          <t>Oriente</t>
        </is>
      </c>
    </row>
    <row r="19">
      <c r="L19" s="8" t="inlineStr">
        <is>
          <t>Santiago de Cuba</t>
        </is>
      </c>
      <c r="M19" s="8" t="inlineStr">
        <is>
          <t>Oriente</t>
        </is>
      </c>
    </row>
    <row r="20">
      <c r="L20" s="8" t="inlineStr">
        <is>
          <t>Guantánamo</t>
        </is>
      </c>
      <c r="M20" s="8" t="inlineStr">
        <is>
          <t>Oriente</t>
        </is>
      </c>
    </row>
    <row r="21">
      <c r="L21" s="8" t="inlineStr">
        <is>
          <t>Oficina central</t>
        </is>
      </c>
      <c r="M21" s="8" t="inlineStr">
        <is>
          <t>General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2026-10-03T03:50:52Z</dcterms:created>
  <dcterms:modified xmlns:dcterms="http://purl.org/dc/terms/" xmlns:xsi="http://www.w3.org/2001/XMLSchema-instance" xsi:type="dcterms:W3CDTF">2026-10-03T03:50:53Z</dcterms:modified>
</cp:coreProperties>
</file>